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60" tabRatio="600" firstSheet="0" activeTab="6" autoFilterDateGrouping="1"/>
  </bookViews>
  <sheets>
    <sheet name="Paises" sheetId="1" state="visible" r:id="rId1"/>
    <sheet name="Selecoes" sheetId="2" state="visible" r:id="rId2"/>
    <sheet name="Jogadores" sheetId="3" state="visible" r:id="rId3"/>
    <sheet name="Clubes" sheetId="4" state="visible" r:id="rId4"/>
    <sheet name="Stats_Clube" sheetId="5" state="visible" r:id="rId5"/>
    <sheet name="Stats_Selecao" sheetId="6" state="visible" r:id="rId6"/>
    <sheet name="Calendário" sheetId="7" state="visible" r:id="rId7"/>
    <sheet name="atualização" sheetId="8" state="visible" r:id="rId8"/>
    <sheet name="modelo_parametros" sheetId="9" state="visible" r:id="rId9"/>
    <sheet name="modelo_aprendizagem_log" sheetId="10" state="visible" r:id="rId10"/>
  </sheets>
  <definedNames>
    <definedName name="_xlnm._FilterDatabase" localSheetId="7" hidden="1">'atualização'!$A$1:$R$106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10">
    <font>
      <name val="Calibri"/>
      <family val="2"/>
      <color theme="1"/>
      <sz val="11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Calibri"/>
      <family val="2"/>
      <color theme="10"/>
      <sz val="11"/>
      <u val="single"/>
      <scheme val="minor"/>
    </font>
    <font>
      <name val="Helvetica"/>
      <family val="2"/>
      <color theme="1"/>
      <sz val="12"/>
    </font>
    <font>
      <name val="Carlito"/>
      <color rgb="FF000000"/>
      <sz val="11"/>
    </font>
    <font>
      <name val="Aptos Narrow"/>
      <family val="2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EAF4FF"/>
        <bgColor rgb="FF000000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001F4E78"/>
      </patternFill>
    </fill>
  </fills>
  <borders count="10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/>
      <bottom/>
      <diagonal/>
    </border>
    <border>
      <left style="thin">
        <color rgb="FFD9E2F3"/>
      </left>
      <right style="thin">
        <color rgb="FFD9E2F3"/>
      </right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36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0" fontId="3" fillId="0" borderId="0" pivotButton="0" quotePrefix="0" xfId="1"/>
    <xf numFmtId="1" fontId="5" fillId="2" borderId="1" applyAlignment="1" pivotButton="0" quotePrefix="0" xfId="0">
      <alignment horizontal="center"/>
    </xf>
    <xf numFmtId="1" fontId="5" fillId="2" borderId="2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1" fontId="5" fillId="0" borderId="2" applyAlignment="1" pivotButton="0" quotePrefix="0" xfId="0">
      <alignment horizontal="center"/>
    </xf>
    <xf numFmtId="0" fontId="6" fillId="0" borderId="0" applyAlignment="1" pivotButton="0" quotePrefix="0" xfId="0">
      <alignment vertical="top" wrapText="1"/>
    </xf>
    <xf numFmtId="0" fontId="6" fillId="0" borderId="0" applyAlignment="1" pivotButton="0" quotePrefix="0" xfId="0">
      <alignment wrapText="1"/>
    </xf>
    <xf numFmtId="0" fontId="6" fillId="0" borderId="0" pivotButton="0" quotePrefix="0" xfId="0"/>
    <xf numFmtId="0" fontId="0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wrapText="1"/>
    </xf>
    <xf numFmtId="1" fontId="6" fillId="0" borderId="0" pivotButton="0" quotePrefix="0" xfId="0"/>
    <xf numFmtId="1" fontId="6" fillId="0" borderId="0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1" fontId="6" fillId="3" borderId="0" pivotButton="0" quotePrefix="0" xfId="0"/>
    <xf numFmtId="0" fontId="7" fillId="4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pivotButton="0" quotePrefix="0" xfId="0"/>
    <xf numFmtId="0" fontId="8" fillId="5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5" pivotButton="0" quotePrefix="0" xfId="0"/>
    <xf numFmtId="0" fontId="0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right" vertical="center"/>
    </xf>
    <xf numFmtId="0" fontId="0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right" vertical="center"/>
    </xf>
    <xf numFmtId="0" fontId="9" fillId="6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6" applyAlignment="1" pivotButton="0" quotePrefix="0" xfId="0">
      <alignment vertical="center"/>
    </xf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flashscore.com/player/matuludi-tholo/0bHBkSDG/" TargetMode="External" Id="rId1" /><Relationship Type="http://schemas.openxmlformats.org/officeDocument/2006/relationships/hyperlink" Target="https://www.flashscore.com/player/ndamane-kulumani/YqL0wW2d/" TargetMode="External" Id="rId2" /><Relationship Type="http://schemas.openxmlformats.org/officeDocument/2006/relationships/hyperlink" Target="https://www.flashscore.com/player/mbokazi-mbekezeli/0S9zHKl1/" TargetMode="External" Id="rId3" /><Relationship Type="http://schemas.openxmlformats.org/officeDocument/2006/relationships/hyperlink" Target="https://www.flashscore.com/search/?q=samukele-kabini" TargetMode="External" Id="rId4" /><Relationship Type="http://schemas.openxmlformats.org/officeDocument/2006/relationships/hyperlink" Target="https://www.flashscore.com/player/sibisi-nkosinathi/Cn8Yu0m4/" TargetMode="External" Id="rId5" /><Relationship Type="http://schemas.openxmlformats.org/officeDocument/2006/relationships/hyperlink" Target="https://www.fotmob.com/search?q=ime-okon" TargetMode="External" Id="rId6" /><Relationship Type="http://schemas.openxmlformats.org/officeDocument/2006/relationships/hyperlink" Target="https://www.flashscore.com/player/makhanya-olwethu/0E7Ta0xQ/" TargetMode="External" Id="rId7" /><Relationship Type="http://schemas.openxmlformats.org/officeDocument/2006/relationships/hyperlink" Target="https://www.flashscore.com/player/cross-bradley/YXj3FqP1/" TargetMode="External" Id="rId8" /><Relationship Type="http://schemas.openxmlformats.org/officeDocument/2006/relationships/hyperlink" Target="https://www.flashscore.com/player/modiba-aubrey/UgM8F6Wj/" TargetMode="External" Id="rId9" /><Relationship Type="http://schemas.openxmlformats.org/officeDocument/2006/relationships/hyperlink" Target="https://www.zerozero.pt/jogador/yaya-sithole/612344" TargetMode="External" Id="rId10" /><Relationship Type="http://schemas.openxmlformats.org/officeDocument/2006/relationships/hyperlink" Target="https://www.flashscore.com/player/mbatha-thalente/8hWJXfDh/" TargetMode="External" Id="rId11" /><Relationship Type="http://schemas.openxmlformats.org/officeDocument/2006/relationships/hyperlink" Target="https://www.flashscore.com/player/adams-jayden/2XwOdK6d/" TargetMode="External" Id="rId12" /><Relationship Type="http://schemas.openxmlformats.org/officeDocument/2006/relationships/hyperlink" Target="https://www.flashscore.com/player/mofokeng-relebohile/E9GE8SpG/" TargetMode="External" Id="rId13" /><Relationship Type="http://schemas.openxmlformats.org/officeDocument/2006/relationships/hyperlink" Target="https://www.flashscore.com/player/zwane-themba/z3m2FS3N/" TargetMode="External" Id="rId14" /><Relationship Type="http://schemas.openxmlformats.org/officeDocument/2006/relationships/hyperlink" Target="https://www.flashscore.com/search/?q=thapelo-maseko" TargetMode="External" Id="rId15" /><Relationship Type="http://schemas.openxmlformats.org/officeDocument/2006/relationships/hyperlink" Target="https://www.flashscore.com/player/appollis-oswin/KtUxe6MF/" TargetMode="External" Id="rId16" /><Relationship Type="http://schemas.openxmlformats.org/officeDocument/2006/relationships/hyperlink" Target="https://www.flashscore.com/player/sebelebele-kamogelo/n9o7Dr2o/" TargetMode="External" Id="rId17" /><Relationship Type="http://schemas.openxmlformats.org/officeDocument/2006/relationships/hyperlink" Target="https://www.fotmob.com/players/794443/lyle-foster" TargetMode="External" Id="rId18" /><Relationship Type="http://schemas.openxmlformats.org/officeDocument/2006/relationships/hyperlink" Target="https://www.flashscore.com/search/?q=iqraam-rayners" TargetMode="External" Id="rId19" /><Relationship Type="http://schemas.openxmlformats.org/officeDocument/2006/relationships/hyperlink" Target="https://www.flashscore.com/player/makgopa-evidence/ILJvhR5g/" TargetMode="External" Id="rId20" /><Relationship Type="http://schemas.openxmlformats.org/officeDocument/2006/relationships/hyperlink" Target="https://www.flashscore.com/player/moremi-tshepang/KY5bxUeB/" TargetMode="External" Id="rId21" /><Relationship Type="http://schemas.openxmlformats.org/officeDocument/2006/relationships/hyperlink" Target="https://theanalyst.com/players/274/manuel-neuer" TargetMode="External" Id="rId22" /><Relationship Type="http://schemas.openxmlformats.org/officeDocument/2006/relationships/hyperlink" Target="https://www.fotmob.com/players/178778/oliver-baumann" TargetMode="External" Id="rId23" /><Relationship Type="http://schemas.openxmlformats.org/officeDocument/2006/relationships/hyperlink" Target="https://www.fotmob.com/players/550112/alexander-nubel" TargetMode="External" Id="rId24" /><Relationship Type="http://schemas.openxmlformats.org/officeDocument/2006/relationships/hyperlink" Target="https://theanalyst.com/players/1636/antonio-rudiger" TargetMode="External" Id="rId25" /><Relationship Type="http://schemas.openxmlformats.org/officeDocument/2006/relationships/hyperlink" Target="https://theanalyst.com/players/291/waldemar-anton" TargetMode="External" Id="rId26" /><Relationship Type="http://schemas.openxmlformats.org/officeDocument/2006/relationships/hyperlink" Target="https://theanalyst.com/players/142/jonathan-tah" TargetMode="External" Id="rId27" /><Relationship Type="http://schemas.openxmlformats.org/officeDocument/2006/relationships/hyperlink" Target="https://theanalyst.com/players/126/nico-schlotterbeck" TargetMode="External" Id="rId28" /><Relationship Type="http://schemas.openxmlformats.org/officeDocument/2006/relationships/hyperlink" Target="https://www.fotmob.com/players/1257939/nathaniel-brown" TargetMode="External" Id="rId29" /><Relationship Type="http://schemas.openxmlformats.org/officeDocument/2006/relationships/hyperlink" Target="https://theanalyst.com/players/368/david-raum" TargetMode="External" Id="rId30" /><Relationship Type="http://schemas.openxmlformats.org/officeDocument/2006/relationships/hyperlink" Target="https://www.fotmob.com/players/1146522/malick-thiaw" TargetMode="External" Id="rId31" /><Relationship Type="http://schemas.openxmlformats.org/officeDocument/2006/relationships/hyperlink" Target="https://theanalyst.com/players/281/aleksandar-pavlovic" TargetMode="External" Id="rId32" /><Relationship Type="http://schemas.openxmlformats.org/officeDocument/2006/relationships/hyperlink" Target="https://theanalyst.com/players/279/joshua-kimmich" TargetMode="External" Id="rId33" /><Relationship Type="http://schemas.openxmlformats.org/officeDocument/2006/relationships/hyperlink" Target="https://theanalyst.com/players/268/leon-goretzka" TargetMode="External" Id="rId34" /><Relationship Type="http://schemas.openxmlformats.org/officeDocument/2006/relationships/hyperlink" Target="https://theanalyst.com/players/285/jamal-musiala" TargetMode="External" Id="rId35" /><Relationship Type="http://schemas.openxmlformats.org/officeDocument/2006/relationships/hyperlink" Target="https://www.fotmob.com/players/156008/pascal-gross" TargetMode="External" Id="rId36" /><Relationship Type="http://schemas.openxmlformats.org/officeDocument/2006/relationships/hyperlink" Target="https://theanalyst.com/players/507/angelo-stiller" TargetMode="External" Id="rId37" /><Relationship Type="http://schemas.openxmlformats.org/officeDocument/2006/relationships/hyperlink" Target="https://www.statmuse.com/fc/ask?q=florian+wirtz+2025-2026+premier+league+stats" TargetMode="External" Id="rId38" /><Relationship Type="http://schemas.openxmlformats.org/officeDocument/2006/relationships/hyperlink" Target="https://theanalyst.com/players/356/nadiem-amiri" TargetMode="External" Id="rId39" /><Relationship Type="http://schemas.openxmlformats.org/officeDocument/2006/relationships/hyperlink" Target="https://theanalyst.com/players/286/felix-nmecha" TargetMode="External" Id="rId40" /><Relationship Type="http://schemas.openxmlformats.org/officeDocument/2006/relationships/hyperlink" Target="https://www.fotmob.com/search?q=lennart-karl" TargetMode="External" Id="rId41" /><Relationship Type="http://schemas.openxmlformats.org/officeDocument/2006/relationships/hyperlink" Target="https://theanalyst.com/players/3789/kai-havertz" TargetMode="External" Id="rId42" /><Relationship Type="http://schemas.openxmlformats.org/officeDocument/2006/relationships/hyperlink" Target="https://theanalyst.com/players/384/jamie-leweling" TargetMode="External" Id="rId43" /><Relationship Type="http://schemas.openxmlformats.org/officeDocument/2006/relationships/hyperlink" Target="https://www.fotmob.com/players/1273916/nick-woltemade" TargetMode="External" Id="rId44" /><Relationship Type="http://schemas.openxmlformats.org/officeDocument/2006/relationships/hyperlink" Target="https://theanalyst.com/players/133/maximilian-beier" TargetMode="External" Id="rId45" /><Relationship Type="http://schemas.openxmlformats.org/officeDocument/2006/relationships/hyperlink" Target="https://theanalyst.com/players/265/leroy-sane" TargetMode="External" Id="rId46" /><Relationship Type="http://schemas.openxmlformats.org/officeDocument/2006/relationships/hyperlink" Target="https://theanalyst.com/players/397/deniz-undav" TargetMode="External" Id="rId47" /><Relationship Type="http://schemas.openxmlformats.org/officeDocument/2006/relationships/hyperlink" Target="https://www.fotmob.com/players/917810/nawaf-al-aqidi" TargetMode="External" Id="rId48" /><Relationship Type="http://schemas.openxmlformats.org/officeDocument/2006/relationships/hyperlink" Target="https://www.fotmob.com/players/917796/mohammed-al-yami" TargetMode="External" Id="rId49" /><Relationship Type="http://schemas.openxmlformats.org/officeDocument/2006/relationships/hyperlink" Target="https://www.flashscore.com/search/?q=moha-al-owais" TargetMode="External" Id="rId50" /><Relationship Type="http://schemas.openxmlformats.org/officeDocument/2006/relationships/hyperlink" Target="https://www.flashscore.com/search/?q=ahmed-al-kassar" TargetMode="External" Id="rId51" /><Relationship Type="http://schemas.openxmlformats.org/officeDocument/2006/relationships/hyperlink" Target="https://www.flashscore.com/search/?q=abdulquddus-atiah" TargetMode="External" Id="rId52" /><Relationship Type="http://schemas.openxmlformats.org/officeDocument/2006/relationships/hyperlink" Target="https://www.fotmob.com/players/1475083/abdulrahman-al-sanbi" TargetMode="External" Id="rId53" /><Relationship Type="http://schemas.openxmlformats.org/officeDocument/2006/relationships/hyperlink" Target="https://www.flashscore.com/search/?q=khalifah-al-dawsari" TargetMode="External" Id="rId54" /><Relationship Type="http://schemas.openxmlformats.org/officeDocument/2006/relationships/hyperlink" Target="https://theanalyst.com/players/10381/ali-majrashi" TargetMode="External" Id="rId55" /><Relationship Type="http://schemas.openxmlformats.org/officeDocument/2006/relationships/hyperlink" Target="https://www.flashscore.com/search/?q=muteb-al-mufarrij" TargetMode="External" Id="rId56" /><Relationship Type="http://schemas.openxmlformats.org/officeDocument/2006/relationships/hyperlink" Target="https://www.fotmob.com/players/917802/abdulelah-al-amri" TargetMode="External" Id="rId57" /><Relationship Type="http://schemas.openxmlformats.org/officeDocument/2006/relationships/hyperlink" Target="https://www.fotmob.com/players/1019123/hassan-tambakti" TargetMode="External" Id="rId58" /><Relationship Type="http://schemas.openxmlformats.org/officeDocument/2006/relationships/hyperlink" Target="https://www.fotmob.com/players/917819/ali-lajami" TargetMode="External" Id="rId59" /><Relationship Type="http://schemas.openxmlformats.org/officeDocument/2006/relationships/hyperlink" Target="https://www.fotmob.com/players/788588/saud-abdulhamid" TargetMode="External" Id="rId60" /><Relationship Type="http://schemas.openxmlformats.org/officeDocument/2006/relationships/hyperlink" Target="https://www.fotmob.com/players/917797/nawaf-boushal" TargetMode="External" Id="rId61" /><Relationship Type="http://schemas.openxmlformats.org/officeDocument/2006/relationships/hyperlink" Target="https://www.flashscore.com/search/?q=hasan-kadesh" TargetMode="External" Id="rId62" /><Relationship Type="http://schemas.openxmlformats.org/officeDocument/2006/relationships/hyperlink" Target="https://www.fotmob.com/players/1532955/rayane-hamidou" TargetMode="External" Id="rId63" /><Relationship Type="http://schemas.openxmlformats.org/officeDocument/2006/relationships/hyperlink" Target="https://www.fotmob.com/players/1204822/moteb-al-harbi" TargetMode="External" Id="rId64" /><Relationship Type="http://schemas.openxmlformats.org/officeDocument/2006/relationships/hyperlink" Target="https://www.flashscore.com/search/?q=abu-al-shamat" TargetMode="External" Id="rId65" /><Relationship Type="http://schemas.openxmlformats.org/officeDocument/2006/relationships/hyperlink" Target="https://www.flashscore.com/search/?q=jehad-thakri" TargetMode="External" Id="rId66" /><Relationship Type="http://schemas.openxmlformats.org/officeDocument/2006/relationships/hyperlink" Target="https://www.flashscore.com/search/?q=mohammed-mahzari" TargetMode="External" Id="rId67" /><Relationship Type="http://schemas.openxmlformats.org/officeDocument/2006/relationships/hyperlink" Target="https://www.flashscore.com/search/?q=moha-al-majhad" TargetMode="External" Id="rId68" /><Relationship Type="http://schemas.openxmlformats.org/officeDocument/2006/relationships/hyperlink" Target="https://www.fotmob.com/players/917803/nasser-al-dawsari" TargetMode="External" Id="rId69" /><Relationship Type="http://schemas.openxmlformats.org/officeDocument/2006/relationships/hyperlink" Target="https://www.fotmob.com/players/1569820/murad-al-hawsawi" TargetMode="External" Id="rId70" /><Relationship Type="http://schemas.openxmlformats.org/officeDocument/2006/relationships/hyperlink" Target="https://www.flashscore.com/search/?q=salman-al-faraj" TargetMode="External" Id="rId71" /><Relationship Type="http://schemas.openxmlformats.org/officeDocument/2006/relationships/hyperlink" Target="https://www.flashscore.com/search/?q=musab-al-juwayr" TargetMode="External" Id="rId72" /><Relationship Type="http://schemas.openxmlformats.org/officeDocument/2006/relationships/hyperlink" Target="https://www.fotmob.com/players/917818/abdullah-al-khaibari" TargetMode="External" Id="rId73" /><Relationship Type="http://schemas.openxmlformats.org/officeDocument/2006/relationships/hyperlink" Target="https://theanalyst.com/players/10359/ziyad-al-johani" TargetMode="External" Id="rId74" /><Relationship Type="http://schemas.openxmlformats.org/officeDocument/2006/relationships/hyperlink" Target="https://www.fotmob.com/players/1324278/sultan-mandash" TargetMode="External" Id="rId75" /><Relationship Type="http://schemas.openxmlformats.org/officeDocument/2006/relationships/hyperlink" Target="https://theanalyst.com/players/10385/mohamed-kanno" TargetMode="External" Id="rId76" /><Relationship Type="http://schemas.openxmlformats.org/officeDocument/2006/relationships/hyperlink" Target="https://www.flashscore.com/search/?q=alaa-hejji" TargetMode="External" Id="rId77" /><Relationship Type="http://schemas.openxmlformats.org/officeDocument/2006/relationships/hyperlink" Target="https://www.flashscore.com/search/?q=abdulaziz-al-elewai" TargetMode="External" Id="rId78" /><Relationship Type="http://schemas.openxmlformats.org/officeDocument/2006/relationships/hyperlink" Target="https://www.fotmob.com/players/1279731/marwan-al-sahafi" TargetMode="External" Id="rId79" /><Relationship Type="http://schemas.openxmlformats.org/officeDocument/2006/relationships/hyperlink" Target="https://www.fotmob.com/players/917808/feras-al-buraikan" TargetMode="External" Id="rId80" /><Relationship Type="http://schemas.openxmlformats.org/officeDocument/2006/relationships/hyperlink" Target="https://theanalyst.com/players/11576/salem-al-dawsari" TargetMode="External" Id="rId81" /><Relationship Type="http://schemas.openxmlformats.org/officeDocument/2006/relationships/hyperlink" Target="https://www.flashscore.com/search/?q=saleh-al-shehri" TargetMode="External" Id="rId82" /><Relationship Type="http://schemas.openxmlformats.org/officeDocument/2006/relationships/hyperlink" Target="https://theanalyst.com/players/13782/saleh-abu-al-shamat" TargetMode="External" Id="rId83" /><Relationship Type="http://schemas.openxmlformats.org/officeDocument/2006/relationships/hyperlink" Target="https://www.fotmob.com/players/917809/ayman-yahya" TargetMode="External" Id="rId84" /><Relationship Type="http://schemas.openxmlformats.org/officeDocument/2006/relationships/hyperlink" Target="https://www.fotmob.com/players/917815/abdullah-al-hamdan" TargetMode="External" Id="rId85" /><Relationship Type="http://schemas.openxmlformats.org/officeDocument/2006/relationships/hyperlink" Target="https://www.flashscore.com/search/?q=khalid-al-ghannam" TargetMode="External" Id="rId86" /><Relationship Type="http://schemas.openxmlformats.org/officeDocument/2006/relationships/hyperlink" Target="https://www.flashscore.com/search/?q=naif-masoud" TargetMode="External" Id="rId87" /><Relationship Type="http://schemas.openxmlformats.org/officeDocument/2006/relationships/hyperlink" Target="https://www.flashscore.com/search/?q=turki-al-ammar" TargetMode="External" Id="rId88" /><Relationship Type="http://schemas.openxmlformats.org/officeDocument/2006/relationships/hyperlink" Target="https://www.flashscore.com/player/benbout-oussama/Y9uCH9pL/" TargetMode="External" Id="rId89" /><Relationship Type="http://schemas.openxmlformats.org/officeDocument/2006/relationships/hyperlink" Target="https://www.fotmob.com/players/630358/anthony-mandrea" TargetMode="External" Id="rId90" /><Relationship Type="http://schemas.openxmlformats.org/officeDocument/2006/relationships/hyperlink" Target="https://www.flashscore.com/player/belazzoug-kilian/tC9hMl4D/" TargetMode="External" Id="rId91" /><Relationship Type="http://schemas.openxmlformats.org/officeDocument/2006/relationships/hyperlink" Target="https://www.flashscore.com/player/mastil-melvin/z9vZ5B2K/" TargetMode="External" Id="rId92" /><Relationship Type="http://schemas.openxmlformats.org/officeDocument/2006/relationships/hyperlink" Target="https://www.flashscore.com/player/zidane-luca/WvPSeTio/" TargetMode="External" Id="rId93" /><Relationship Type="http://schemas.openxmlformats.org/officeDocument/2006/relationships/hyperlink" Target="https://www.flashscore.com/player/tougai-amine/2ulzHw24/" TargetMode="External" Id="rId94" /><Relationship Type="http://schemas.openxmlformats.org/officeDocument/2006/relationships/hyperlink" Target="https://www.fotmob.com/players/1069257/jaouen-hadjam" TargetMode="External" Id="rId95" /><Relationship Type="http://schemas.openxmlformats.org/officeDocument/2006/relationships/hyperlink" Target="https://www.flashscore.com/player/chergui-samir/KlM8O1D8/" TargetMode="External" Id="rId96" /><Relationship Type="http://schemas.openxmlformats.org/officeDocument/2006/relationships/hyperlink" Target="https://www.flashscore.com/search/?q=mehdi-dorval" TargetMode="External" Id="rId97" /><Relationship Type="http://schemas.openxmlformats.org/officeDocument/2006/relationships/hyperlink" Target="https://www.flashscore.com/player/nair-sohaib/42cTY0We/" TargetMode="External" Id="rId98" /><Relationship Type="http://schemas.openxmlformats.org/officeDocument/2006/relationships/hyperlink" Target="https://theanalyst.com/players/3377/aissa-mandi" TargetMode="External" Id="rId99" /><Relationship Type="http://schemas.openxmlformats.org/officeDocument/2006/relationships/hyperlink" Target="https://www.flashscore.com/player/abada-achref/jypOe4hE/" TargetMode="External" Id="rId100" /><Relationship Type="http://schemas.openxmlformats.org/officeDocument/2006/relationships/hyperlink" Target="https://www.flashscore.com/player/belaid-zinedine/YZa6ru6J/" TargetMode="External" Id="rId101" /><Relationship Type="http://schemas.openxmlformats.org/officeDocument/2006/relationships/hyperlink" Target="https://theanalyst.com/players/4362/rayan-ait-nouri" TargetMode="External" Id="rId102" /><Relationship Type="http://schemas.openxmlformats.org/officeDocument/2006/relationships/hyperlink" Target="https://www.flashscore.com/player/belghali-rafik/EX36Aw4G/" TargetMode="External" Id="rId103" /><Relationship Type="http://schemas.openxmlformats.org/officeDocument/2006/relationships/hyperlink" Target="https://theanalyst.com/players/127/ramy-bensebaini" TargetMode="External" Id="rId104" /><Relationship Type="http://schemas.openxmlformats.org/officeDocument/2006/relationships/hyperlink" Target="https://www.flashscore.com/player/bentaleb-nabil/x4E2uRYj/" TargetMode="External" Id="rId105" /><Relationship Type="http://schemas.openxmlformats.org/officeDocument/2006/relationships/hyperlink" Target="https://www.flashscore.com/player/aouchiche-adil/6HzNNPrb/" TargetMode="External" Id="rId106" /><Relationship Type="http://schemas.openxmlformats.org/officeDocument/2006/relationships/hyperlink" Target="https://www.fotmob.com/players/761181/hicham-boudaoui" TargetMode="External" Id="rId107" /><Relationship Type="http://schemas.openxmlformats.org/officeDocument/2006/relationships/hyperlink" Target="https://www.fotmob.com/players/932884/ramiz-zerrouki" TargetMode="External" Id="rId108" /><Relationship Type="http://schemas.openxmlformats.org/officeDocument/2006/relationships/hyperlink" Target="https://www.fotmob.com/players/775496/houssem-aouar" TargetMode="External" Id="rId109" /><Relationship Type="http://schemas.openxmlformats.org/officeDocument/2006/relationships/hyperlink" Target="https://theanalyst.com/players/199/fares-chaibi" TargetMode="External" Id="rId110" /><Relationship Type="http://schemas.openxmlformats.org/officeDocument/2006/relationships/hyperlink" Target="https://theanalyst.com/players/5792/ibrahim-maza" TargetMode="External" Id="rId111" /><Relationship Type="http://schemas.openxmlformats.org/officeDocument/2006/relationships/hyperlink" Target="https://www.flashscore.com/player/titraoui-yacine/Y7v5NEnE/" TargetMode="External" Id="rId112" /><Relationship Type="http://schemas.openxmlformats.org/officeDocument/2006/relationships/hyperlink" Target="https://www.flashscore.com/player/chiakha-amin/8CKOLH4q/" TargetMode="External" Id="rId113" /><Relationship Type="http://schemas.openxmlformats.org/officeDocument/2006/relationships/hyperlink" Target="https://theanalyst.com/players/7590/riyad-mahrez" TargetMode="External" Id="rId114" /><Relationship Type="http://schemas.openxmlformats.org/officeDocument/2006/relationships/hyperlink" Target="https://theanalyst.com/players/3660/amine-gouiri" TargetMode="External" Id="rId115" /><Relationship Type="http://schemas.openxmlformats.org/officeDocument/2006/relationships/hyperlink" Target="https://www.fotmob.com/players/1337967/anis-hadj-moussa" TargetMode="External" Id="rId116" /><Relationship Type="http://schemas.openxmlformats.org/officeDocument/2006/relationships/hyperlink" Target="https://www.flashscore.com/player/benbouali-nadir/YT2j0d2m/" TargetMode="External" Id="rId117" /><Relationship Type="http://schemas.openxmlformats.org/officeDocument/2006/relationships/hyperlink" Target="https://theanalyst.com/players/574/mohammed-amoura" TargetMode="External" Id="rId118" /><Relationship Type="http://schemas.openxmlformats.org/officeDocument/2006/relationships/hyperlink" Target="https://www.flashscore.com/player/boulbina-adil/nizV0mQD/" TargetMode="External" Id="rId119" /><Relationship Type="http://schemas.openxmlformats.org/officeDocument/2006/relationships/hyperlink" Target="https://www.flashscore.com/player/ghedjemis-fares/tUvZE1Ir/" TargetMode="External" Id="rId120" /><Relationship Type="http://schemas.openxmlformats.org/officeDocument/2006/relationships/hyperlink" Target="https://www.fotmob.com/players/1547862/santiago-beltran" TargetMode="External" Id="rId121" /><Relationship Type="http://schemas.openxmlformats.org/officeDocument/2006/relationships/hyperlink" Target="https://www.fotmob.com/players/282979/juan-musso" TargetMode="External" Id="rId122" /><Relationship Type="http://schemas.openxmlformats.org/officeDocument/2006/relationships/hyperlink" Target="https://www.fotmob.com/players/276651/geronimo-rulli" TargetMode="External" Id="rId123" /><Relationship Type="http://schemas.openxmlformats.org/officeDocument/2006/relationships/hyperlink" Target="https://www.fotmob.com/players/282674/emiliano-martinez" TargetMode="External" Id="rId124" /><Relationship Type="http://schemas.openxmlformats.org/officeDocument/2006/relationships/hyperlink" Target="https://www.fotmob.com/players/791438/lisandro-martinez" TargetMode="External" Id="rId125" /><Relationship Type="http://schemas.openxmlformats.org/officeDocument/2006/relationships/hyperlink" Target="https://www.fotmob.com/players/1598640/ignacio-ovando" TargetMode="External" Id="rId126" /><Relationship Type="http://schemas.openxmlformats.org/officeDocument/2006/relationships/hyperlink" Target="https://theanalyst.com/players/3523/leonardo-balerdi" TargetMode="External" Id="rId127" /><Relationship Type="http://schemas.openxmlformats.org/officeDocument/2006/relationships/hyperlink" Target="https://www.flashscore.com/player/palacios-tomas/0tJS3fwL/" TargetMode="External" Id="rId128" /><Relationship Type="http://schemas.openxmlformats.org/officeDocument/2006/relationships/hyperlink" Target="https://www.fotmob.com/players/515420/lucas-martinez-quarta" TargetMode="External" Id="rId129" /><Relationship Type="http://schemas.openxmlformats.org/officeDocument/2006/relationships/hyperlink" Target="https://theanalyst.com/players/3524/nicolas-tagliafico" TargetMode="External" Id="rId130" /><Relationship Type="http://schemas.openxmlformats.org/officeDocument/2006/relationships/hyperlink" Target="https://www.flashscore.com/search/?q=gabriel-rojas" TargetMode="External" Id="rId131" /><Relationship Type="http://schemas.openxmlformats.org/officeDocument/2006/relationships/hyperlink" Target="https://www.fotmob.com/players/1205792/agustin-giay" TargetMode="External" Id="rId132" /><Relationship Type="http://schemas.openxmlformats.org/officeDocument/2006/relationships/hyperlink" Target="https://theanalyst.com/players/3741/marcos-senesi" TargetMode="External" Id="rId133" /><Relationship Type="http://schemas.openxmlformats.org/officeDocument/2006/relationships/hyperlink" Target="https://www.fotmob.com/players/164287/marcos-acuna" TargetMode="External" Id="rId134" /><Relationship Type="http://schemas.openxmlformats.org/officeDocument/2006/relationships/hyperlink" Target="https://theanalyst.com/players/4284/cristian-romero" TargetMode="External" Id="rId135" /><Relationship Type="http://schemas.openxmlformats.org/officeDocument/2006/relationships/hyperlink" Target="https://www.fotmob.com/players/76700/nicolas-otamendi" TargetMode="External" Id="rId136" /><Relationship Type="http://schemas.openxmlformats.org/officeDocument/2006/relationships/hyperlink" Target="https://www.fotmob.com/players/945419/facundo-medina" TargetMode="External" Id="rId137" /><Relationship Type="http://schemas.openxmlformats.org/officeDocument/2006/relationships/hyperlink" Target="https://www.fotmob.com/players/1191521/valentin-barco" TargetMode="External" Id="rId138" /><Relationship Type="http://schemas.openxmlformats.org/officeDocument/2006/relationships/hyperlink" Target="https://theanalyst.com/players/1640/nahuel-molina" TargetMode="External" Id="rId139" /><Relationship Type="http://schemas.openxmlformats.org/officeDocument/2006/relationships/hyperlink" Target="https://www.flashscore.com/player/escobar-simon/44Xqefp1/" TargetMode="External" Id="rId140" /><Relationship Type="http://schemas.openxmlformats.org/officeDocument/2006/relationships/hyperlink" Target="https://www.flashscore.com/player/aranda-tomas/v3Hy7Hdl/" TargetMode="External" Id="rId141" /><Relationship Type="http://schemas.openxmlformats.org/officeDocument/2006/relationships/hyperlink" Target="https://www.fotmob.com/players/433662/leandro-paredes" TargetMode="External" Id="rId142" /><Relationship Type="http://schemas.openxmlformats.org/officeDocument/2006/relationships/hyperlink" Target="https://www.flashscore.com/search/?q=rodrigo-de-paul" TargetMode="External" Id="rId143" /><Relationship Type="http://schemas.openxmlformats.org/officeDocument/2006/relationships/hyperlink" Target="https://www.fotmob.com/players/790140/giovani-lo-celso" TargetMode="External" Id="rId144" /><Relationship Type="http://schemas.openxmlformats.org/officeDocument/2006/relationships/hyperlink" Target="https://www.fotmob.com/players/1063482/thiago-almada" TargetMode="External" Id="rId145" /><Relationship Type="http://schemas.openxmlformats.org/officeDocument/2006/relationships/hyperlink" Target="https://theanalyst.com/players/267/exequiel-palacios" TargetMode="External" Id="rId146" /><Relationship Type="http://schemas.openxmlformats.org/officeDocument/2006/relationships/hyperlink" Target="https://theanalyst.com/players/4775/maximo-perrone" TargetMode="External" Id="rId147" /><Relationship Type="http://schemas.openxmlformats.org/officeDocument/2006/relationships/hyperlink" Target="https://theanalyst.com/players/4596/nico-paz" TargetMode="External" Id="rId148" /><Relationship Type="http://schemas.openxmlformats.org/officeDocument/2006/relationships/hyperlink" Target="https://theanalyst.com/players/4105/alexis-mac-allister" TargetMode="External" Id="rId149" /><Relationship Type="http://schemas.openxmlformats.org/officeDocument/2006/relationships/hyperlink" Target="https://fbref.com/en/search/search.fcgi?search=enzo-fernandez" TargetMode="External" Id="rId150" /><Relationship Type="http://schemas.openxmlformats.org/officeDocument/2006/relationships/hyperlink" Target="https://www.fotmob.com/search?q=nicolas-capaldo" TargetMode="External" Id="rId151" /><Relationship Type="http://schemas.openxmlformats.org/officeDocument/2006/relationships/hyperlink" Target="https://www.flashscore.com/search/?q=lautaro-martinez" TargetMode="External" Id="rId152" /><Relationship Type="http://schemas.openxmlformats.org/officeDocument/2006/relationships/hyperlink" Target="https://www.fotmob.com/players/1204204/joaquin-panichelli" TargetMode="External" Id="rId153" /><Relationship Type="http://schemas.openxmlformats.org/officeDocument/2006/relationships/hyperlink" Target="https://theanalyst.com/players/1334/julian-alvarez" TargetMode="External" Id="rId154" /><Relationship Type="http://schemas.openxmlformats.org/officeDocument/2006/relationships/hyperlink" Target="https://www.fotmob.com/players/28003/lionel-messi" TargetMode="External" Id="rId155" /><Relationship Type="http://schemas.openxmlformats.org/officeDocument/2006/relationships/hyperlink" Target="https://www.fotmob.com/players/711660/nicolas-gonzalez" TargetMode="External" Id="rId156" /><Relationship Type="http://schemas.openxmlformats.org/officeDocument/2006/relationships/hyperlink" Target="https://www.fotmob.com/players/1272958/giuliano-simeone" TargetMode="External" Id="rId157" /><Relationship Type="http://schemas.openxmlformats.org/officeDocument/2006/relationships/hyperlink" Target="https://www.fotmob.com/players/1180144/jose-manuel-lopez" TargetMode="External" Id="rId158" /><Relationship Type="http://schemas.openxmlformats.org/officeDocument/2006/relationships/hyperlink" Target="https://www.fotmob.com/players/1439174/franco-mastantuono" TargetMode="External" Id="rId159" /><Relationship Type="http://schemas.openxmlformats.org/officeDocument/2006/relationships/hyperlink" Target="https://www.fotmob.com/players/1359243/gianluca-prestianni" TargetMode="External" Id="rId160" /><Relationship Type="http://schemas.openxmlformats.org/officeDocument/2006/relationships/hyperlink" Target="https://www.flashscore.com/player/freitas-joaquin/lK4cwV53/" TargetMode="External" Id="rId161" /><Relationship Type="http://schemas.openxmlformats.org/officeDocument/2006/relationships/hyperlink" Target="https://www.fotmob.com/players/171392/mathew-ryan" TargetMode="External" Id="rId162" /><Relationship Type="http://schemas.openxmlformats.org/officeDocument/2006/relationships/hyperlink" Target="https://www.fotmob.com/players/282779/paul-izzo" TargetMode="External" Id="rId163" /><Relationship Type="http://schemas.openxmlformats.org/officeDocument/2006/relationships/hyperlink" Target="https://www.flashscore.com/player/beach-patrick/C8oI7whQ/" TargetMode="External" Id="rId164" /><Relationship Type="http://schemas.openxmlformats.org/officeDocument/2006/relationships/hyperlink" Target="https://www.fotmob.com/players/456082/jason-geria" TargetMode="External" Id="rId165" /><Relationship Type="http://schemas.openxmlformats.org/officeDocument/2006/relationships/hyperlink" Target="https://www.fotmob.com/players/476389/milos-degenek" TargetMode="External" Id="rId166" /><Relationship Type="http://schemas.openxmlformats.org/officeDocument/2006/relationships/hyperlink" Target="https://theanalyst.com/players/4804/alessandro-circati" TargetMode="External" Id="rId167" /><Relationship Type="http://schemas.openxmlformats.org/officeDocument/2006/relationships/hyperlink" Target="https://www.flashscore.com/player/trewin-kai/YL3Md6xk/" TargetMode="External" Id="rId168" /><Relationship Type="http://schemas.openxmlformats.org/officeDocument/2006/relationships/hyperlink" Target="https://www.fotmob.com/players/724505/harry-souttar" TargetMode="External" Id="rId169" /><Relationship Type="http://schemas.openxmlformats.org/officeDocument/2006/relationships/hyperlink" Target="https://www.fotmob.com/players/622318/cameron-burgess" TargetMode="External" Id="rId170" /><Relationship Type="http://schemas.openxmlformats.org/officeDocument/2006/relationships/hyperlink" Target="https://www.flashscore.com/player/herrington-lucas/2mHk5eYc/" TargetMode="External" Id="rId171" /><Relationship Type="http://schemas.openxmlformats.org/officeDocument/2006/relationships/hyperlink" Target="https://www.fotmob.com/players/770525/jacob-italiano" TargetMode="External" Id="rId172" /><Relationship Type="http://schemas.openxmlformats.org/officeDocument/2006/relationships/hyperlink" Target="https://www.fotmob.com/players/1089281/jordan-bos" TargetMode="External" Id="rId173" /><Relationship Type="http://schemas.openxmlformats.org/officeDocument/2006/relationships/hyperlink" Target="https://www.fotmob.com/players/178869/aziz-behich" TargetMode="External" Id="rId174" /><Relationship Type="http://schemas.openxmlformats.org/officeDocument/2006/relationships/hyperlink" Target="https://www.fotmob.com/players/617591/aiden-oneill" TargetMode="External" Id="rId175" /><Relationship Type="http://schemas.openxmlformats.org/officeDocument/2006/relationships/hyperlink" Target="https://www.fotmob.com/players/968543/cameron-devlin" TargetMode="External" Id="rId176" /><Relationship Type="http://schemas.openxmlformats.org/officeDocument/2006/relationships/hyperlink" Target="https://www.flashscore.com/player/okon-paul/xlrfMmgc/" TargetMode="External" Id="rId177" /><Relationship Type="http://schemas.openxmlformats.org/officeDocument/2006/relationships/hyperlink" Target="https://www.bundesliga.com/en/player/connor-metcalfe" TargetMode="External" Id="rId178" /><Relationship Type="http://schemas.openxmlformats.org/officeDocument/2006/relationships/hyperlink" Target="https://www.fotmob.com/players/169965/jackson-irvine" TargetMode="External" Id="rId179" /><Relationship Type="http://schemas.openxmlformats.org/officeDocument/2006/relationships/hyperlink" Target="https://www.fotmob.com/players/489059/ajdin-hrustic" TargetMode="External" Id="rId180" /><Relationship Type="http://schemas.openxmlformats.org/officeDocument/2006/relationships/hyperlink" Target="https://www.fotmob.com/players/170558/mathew-leckie" TargetMode="External" Id="rId181" /><Relationship Type="http://schemas.openxmlformats.org/officeDocument/2006/relationships/hyperlink" Target="https://www.fotmob.com/players/661251/awer-mabil" TargetMode="External" Id="rId182" /><Relationship Type="http://schemas.openxmlformats.org/officeDocument/2006/relationships/hyperlink" Target="https://www.fotmob.com/players/1182684/cristian-volpato" TargetMode="External" Id="rId183" /><Relationship Type="http://schemas.openxmlformats.org/officeDocument/2006/relationships/hyperlink" Target="https://fbref.com/en/players/0b8fd7ed/Mohamed-Toure" TargetMode="External" Id="rId184" /><Relationship Type="http://schemas.openxmlformats.org/officeDocument/2006/relationships/hyperlink" Target="https://www.flashscore.com/player/yengi-tete/pb4AdSMe/" TargetMode="External" Id="rId185" /><Relationship Type="http://schemas.openxmlformats.org/officeDocument/2006/relationships/hyperlink" Target="https://www.fotmob.com/players/1421644/nestory-irankunda" TargetMode="External" Id="rId186" /><Relationship Type="http://schemas.openxmlformats.org/officeDocument/2006/relationships/hyperlink" Target="https://www.flashscore.com/player/velupillay-nishan/IXZ6V7ik/" TargetMode="External" Id="rId187" /><Relationship Type="http://schemas.openxmlformats.org/officeDocument/2006/relationships/hyperlink" Target="https://www.flashscore.com/player/schlager-alexander/lvIt5rWk/" TargetMode="External" Id="rId188" /><Relationship Type="http://schemas.openxmlformats.org/officeDocument/2006/relationships/hyperlink" Target="https://www.flashscore.com/player/wiegele-florian/l6zYScXp/" TargetMode="External" Id="rId189" /><Relationship Type="http://schemas.openxmlformats.org/officeDocument/2006/relationships/hyperlink" Target="https://www.fotmob.com/players/264450/patrick-pentz" TargetMode="External" Id="rId190" /><Relationship Type="http://schemas.openxmlformats.org/officeDocument/2006/relationships/hyperlink" Target="https://www.fotmob.com/players/548590/stefan-posch" TargetMode="External" Id="rId191" /><Relationship Type="http://schemas.openxmlformats.org/officeDocument/2006/relationships/hyperlink" Target="https://www.fotmob.com/players/937701/david-affengruber" TargetMode="External" Id="rId192" /><Relationship Type="http://schemas.openxmlformats.org/officeDocument/2006/relationships/hyperlink" Target="https://www.fotmob.com/players/716552/kevin-danso" TargetMode="External" Id="rId193" /><Relationship Type="http://schemas.openxmlformats.org/officeDocument/2006/relationships/hyperlink" Target="https://www.fotmob.com/players/684632/philipp-lienhart" TargetMode="External" Id="rId194" /><Relationship Type="http://schemas.openxmlformats.org/officeDocument/2006/relationships/hyperlink" Target="https://www.fotmob.com/players/548250/marco-friedl" TargetMode="External" Id="rId195" /><Relationship Type="http://schemas.openxmlformats.org/officeDocument/2006/relationships/hyperlink" Target="https://www.flashscore.com/player/svoboda-michael/0vE2lVr8/" TargetMode="External" Id="rId196" /><Relationship Type="http://schemas.openxmlformats.org/officeDocument/2006/relationships/hyperlink" Target="https://theanalyst.com/players/1638/david-alaba" TargetMode="External" Id="rId197" /><Relationship Type="http://schemas.openxmlformats.org/officeDocument/2006/relationships/hyperlink" Target="https://theanalyst.com/players/77/phillipp-mwene" TargetMode="External" Id="rId198" /><Relationship Type="http://schemas.openxmlformats.org/officeDocument/2006/relationships/hyperlink" Target="https://theanalyst.com/players/367/xaver-schlager" TargetMode="External" Id="rId199" /><Relationship Type="http://schemas.openxmlformats.org/officeDocument/2006/relationships/hyperlink" Target="https://theanalyst.com/players/369/nicolas-seiwald" TargetMode="External" Id="rId200" /><Relationship Type="http://schemas.openxmlformats.org/officeDocument/2006/relationships/hyperlink" Target="https://theanalyst.com/players/116/marcel-sabitzer" TargetMode="External" Id="rId201" /><Relationship Type="http://schemas.openxmlformats.org/officeDocument/2006/relationships/hyperlink" Target="https://www.fotmob.com/players/281551/florian-grillitsch" TargetMode="External" Id="rId202" /><Relationship Type="http://schemas.openxmlformats.org/officeDocument/2006/relationships/hyperlink" Target="https://www.fotmob.com/players/1187951/carney-chukwuemeka" TargetMode="External" Id="rId203" /><Relationship Type="http://schemas.openxmlformats.org/officeDocument/2006/relationships/hyperlink" Target="https://theanalyst.com/players/259/konrad-laimer" TargetMode="External" Id="rId204" /><Relationship Type="http://schemas.openxmlformats.org/officeDocument/2006/relationships/hyperlink" Target="https://www.fotmob.com/players/798760/romano-schmid" TargetMode="External" Id="rId205" /><Relationship Type="http://schemas.openxmlformats.org/officeDocument/2006/relationships/hyperlink" Target="https://theanalyst.com/players/377/christoph-baumgartner" TargetMode="External" Id="rId206" /><Relationship Type="http://schemas.openxmlformats.org/officeDocument/2006/relationships/hyperlink" Target="https://www.fotmob.com/players/240885/alessandro-schopf" TargetMode="External" Id="rId207" /><Relationship Type="http://schemas.openxmlformats.org/officeDocument/2006/relationships/hyperlink" Target="https://www.fotmob.com/players/209381/michael-gregoritsch" TargetMode="External" Id="rId208" /><Relationship Type="http://schemas.openxmlformats.org/officeDocument/2006/relationships/hyperlink" Target="https://www.fotmob.com/players/34510/marko-arnautovic" TargetMode="External" Id="rId209" /><Relationship Type="http://schemas.openxmlformats.org/officeDocument/2006/relationships/hyperlink" Target="https://www.fotmob.com/players/548343/sasa-kalajdzic" TargetMode="External" Id="rId210" /><Relationship Type="http://schemas.openxmlformats.org/officeDocument/2006/relationships/hyperlink" Target="https://theanalyst.com/players/582/patrick-wimmer" TargetMode="External" Id="rId211" /><Relationship Type="http://schemas.openxmlformats.org/officeDocument/2006/relationships/hyperlink" Target="https://theanalyst.com/players/459/alexander-prass" TargetMode="External" Id="rId212" /><Relationship Type="http://schemas.openxmlformats.org/officeDocument/2006/relationships/hyperlink" Target="https://www.fotmob.com/players/1143174/paul-wanner" TargetMode="External" Id="rId213" /><Relationship Type="http://schemas.openxmlformats.org/officeDocument/2006/relationships/hyperlink" Target="https://theanalyst.com/players/1635/thibaut-courtois" TargetMode="External" Id="rId214" /><Relationship Type="http://schemas.openxmlformats.org/officeDocument/2006/relationships/hyperlink" Target="https://www.flashscore.com/player/lammens-senne/UcPcrV0B/" TargetMode="External" Id="rId215" /><Relationship Type="http://schemas.openxmlformats.org/officeDocument/2006/relationships/hyperlink" Target="https://www.flashscore.com/player/penders-mike/A9dNcEeq/" TargetMode="External" Id="rId216" /><Relationship Type="http://schemas.openxmlformats.org/officeDocument/2006/relationships/hyperlink" Target="https://footystats.org/players/belgium/thomas-meunier" TargetMode="External" Id="rId217" /><Relationship Type="http://schemas.openxmlformats.org/officeDocument/2006/relationships/hyperlink" Target="https://www.fotmob.com/players/465750/timothy-castagne" TargetMode="External" Id="rId218" /><Relationship Type="http://schemas.openxmlformats.org/officeDocument/2006/relationships/hyperlink" Target="https://theanalyst.com/players/4469/alexis-saelemaekers" TargetMode="External" Id="rId219" /><Relationship Type="http://schemas.openxmlformats.org/officeDocument/2006/relationships/hyperlink" Target="https://www.zerozero.pt/jogador/zeno-debast/637196" TargetMode="External" Id="rId220" /><Relationship Type="http://schemas.openxmlformats.org/officeDocument/2006/relationships/hyperlink" Target="https://theanalyst.com/players/205/arthur-theate" TargetMode="External" Id="rId221" /><Relationship Type="http://schemas.openxmlformats.org/officeDocument/2006/relationships/hyperlink" Target="https://www.flashscore.com/player/mechele-brandon/QRL7yZZp/" TargetMode="External" Id="rId222" /><Relationship Type="http://schemas.openxmlformats.org/officeDocument/2006/relationships/hyperlink" Target="https://www.flashscore.com/player/witsel-axel/rZB0n2p6/" TargetMode="External" Id="rId223" /><Relationship Type="http://schemas.openxmlformats.org/officeDocument/2006/relationships/hyperlink" Target="https://theanalyst.com/players/4697/koni-de-winter" TargetMode="External" Id="rId224" /><Relationship Type="http://schemas.openxmlformats.org/officeDocument/2006/relationships/hyperlink" Target="https://www.fotmob.com/players/1252070/nathan-ngoy" TargetMode="External" Id="rId225" /><Relationship Type="http://schemas.openxmlformats.org/officeDocument/2006/relationships/hyperlink" Target="https://theanalyst.com/players/6399/maxim-de-cuyper" TargetMode="External" Id="rId226" /><Relationship Type="http://schemas.openxmlformats.org/officeDocument/2006/relationships/hyperlink" Target="https://www.flashscore.com/player/seys-joaquin/CMubT2gn/" TargetMode="External" Id="rId227" /><Relationship Type="http://schemas.openxmlformats.org/officeDocument/2006/relationships/hyperlink" Target="https://www.flashscore.com/player/raskin-nicolas/hxal4HfR/" TargetMode="External" Id="rId228" /><Relationship Type="http://schemas.openxmlformats.org/officeDocument/2006/relationships/hyperlink" Target="https://theanalyst.com/players/3819/amadou-onana" TargetMode="External" Id="rId229" /><Relationship Type="http://schemas.openxmlformats.org/officeDocument/2006/relationships/hyperlink" Target="https://theanalyst.com/players/3823/youri-tielemans" TargetMode="External" Id="rId230" /><Relationship Type="http://schemas.openxmlformats.org/officeDocument/2006/relationships/hyperlink" Target="https://theanalyst.com/players/4141/kevin-de-bruyne" TargetMode="External" Id="rId231" /><Relationship Type="http://schemas.openxmlformats.org/officeDocument/2006/relationships/hyperlink" Target="https://theanalyst.com/players/4495/charles-de-ketelaere" TargetMode="External" Id="rId232" /><Relationship Type="http://schemas.openxmlformats.org/officeDocument/2006/relationships/hyperlink" Target="https://www.flashscore.com/player/vanaken-hans/tCbvZyph/" TargetMode="External" Id="rId233" /><Relationship Type="http://schemas.openxmlformats.org/officeDocument/2006/relationships/hyperlink" Target="https://www.zerozero.pt/jogador/dodi-lukebakio/193513" TargetMode="External" Id="rId234" /><Relationship Type="http://schemas.openxmlformats.org/officeDocument/2006/relationships/hyperlink" Target="https://theanalyst.com/players/4855/romelu-lukaku" TargetMode="External" Id="rId235" /><Relationship Type="http://schemas.openxmlformats.org/officeDocument/2006/relationships/hyperlink" Target="https://www.flashscore.com/player/fernandez-pardo/GQ4dRk0c/" TargetMode="External" Id="rId236" /><Relationship Type="http://schemas.openxmlformats.org/officeDocument/2006/relationships/hyperlink" Target="https://theanalyst.com/players/3773/leandro-trossard" TargetMode="External" Id="rId237" /><Relationship Type="http://schemas.openxmlformats.org/officeDocument/2006/relationships/hyperlink" Target="https://www.statmuse.com/fc/ask/jeremy-doku-average-stats-this-year?l=eu5" TargetMode="External" Id="rId238" /><Relationship Type="http://schemas.openxmlformats.org/officeDocument/2006/relationships/hyperlink" Target="https://theanalyst.com/players/3573/diego-moreira" TargetMode="External" Id="rId239" /><Relationship Type="http://schemas.openxmlformats.org/officeDocument/2006/relationships/hyperlink" Target="https://www.flashscore.com/player/hadzikic-osman/hvng02X1/" TargetMode="External" Id="rId240" /><Relationship Type="http://schemas.openxmlformats.org/officeDocument/2006/relationships/hyperlink" Target="https://www.fotmob.com/players/195754/nikola-vasilj" TargetMode="External" Id="rId241" /><Relationship Type="http://schemas.openxmlformats.org/officeDocument/2006/relationships/hyperlink" Target="https://www.flashscore.com/player/zlomislic-martin/8UARfZHr/" TargetMode="External" Id="rId242" /><Relationship Type="http://schemas.openxmlformats.org/officeDocument/2006/relationships/hyperlink" Target="https://www.zerozero.pt/jogador/amar-dedic/602988" TargetMode="External" Id="rId243" /><Relationship Type="http://schemas.openxmlformats.org/officeDocument/2006/relationships/hyperlink" Target="https://www.flashscore.com/player/mujakic-nihad/GGgWE5P3/" TargetMode="External" Id="rId244" /><Relationship Type="http://schemas.openxmlformats.org/officeDocument/2006/relationships/hyperlink" Target="https://www.flashscore.com/player/hadzikadunic-dennis/YDy2Asml/" TargetMode="External" Id="rId245" /><Relationship Type="http://schemas.openxmlformats.org/officeDocument/2006/relationships/hyperlink" Target="https://www.fotmob.com/players/1246422/tarik-muharemovic" TargetMode="External" Id="rId246" /><Relationship Type="http://schemas.openxmlformats.org/officeDocument/2006/relationships/hyperlink" Target="https://theanalyst.com/players/4499/sead-kolasinac" TargetMode="External" Id="rId247" /><Relationship Type="http://schemas.openxmlformats.org/officeDocument/2006/relationships/hyperlink" Target="https://www.flashscore.com/player/katic-nikola/6iHRTj1E/" TargetMode="External" Id="rId248" /><Relationship Type="http://schemas.openxmlformats.org/officeDocument/2006/relationships/hyperlink" Target="https://www.flashscore.com/player/radeljic-stjepan/WtA9DC8E/" TargetMode="External" Id="rId249" /><Relationship Type="http://schemas.openxmlformats.org/officeDocument/2006/relationships/hyperlink" Target="https://www.flashscore.com/player/celik-nidal/zis0wL3I/" TargetMode="External" Id="rId250" /><Relationship Type="http://schemas.openxmlformats.org/officeDocument/2006/relationships/hyperlink" Target="https://www.flashscore.com/player/sunjic-ivan/QRkHPowp/" TargetMode="External" Id="rId251" /><Relationship Type="http://schemas.openxmlformats.org/officeDocument/2006/relationships/hyperlink" Target="https://www.flashscore.com/player/hadziahmetovic-amir/f1jfbxk6/" TargetMode="External" Id="rId252" /><Relationship Type="http://schemas.openxmlformats.org/officeDocument/2006/relationships/hyperlink" Target="https://www.flashscore.com/player/burnic-dzenis/vD63QqP3/" TargetMode="External" Id="rId253" /><Relationship Type="http://schemas.openxmlformats.org/officeDocument/2006/relationships/hyperlink" Target="https://www.flashscore.com/player/tahirovic-benjamin/Y1QPib4S/" TargetMode="External" Id="rId254" /><Relationship Type="http://schemas.openxmlformats.org/officeDocument/2006/relationships/hyperlink" Target="https://www.flashscore.com/player/gigovic-armin/0CwmHdBP/" TargetMode="External" Id="rId255" /><Relationship Type="http://schemas.openxmlformats.org/officeDocument/2006/relationships/hyperlink" Target="https://www.flashscore.com/player/basic-ivan/OtN3HavI/" TargetMode="External" Id="rId256" /><Relationship Type="http://schemas.openxmlformats.org/officeDocument/2006/relationships/hyperlink" Target="https://www.flashscore.com/player/mahmic-ermin/jT1YH9Jn/" TargetMode="External" Id="rId257" /><Relationship Type="http://schemas.openxmlformats.org/officeDocument/2006/relationships/hyperlink" Target="https://www.flashscore.com/player/memic-amar/bs7xN4Ep/" TargetMode="External" Id="rId258" /><Relationship Type="http://schemas.openxmlformats.org/officeDocument/2006/relationships/hyperlink" Target="https://www.fotmob.com/players/1222486/esmir-bajraktarevic" TargetMode="External" Id="rId259" /><Relationship Type="http://schemas.openxmlformats.org/officeDocument/2006/relationships/hyperlink" Target="https://www.flashscore.com/player/bazdar-samed/0GIt2Vh0/" TargetMode="External" Id="rId260" /><Relationship Type="http://schemas.openxmlformats.org/officeDocument/2006/relationships/hyperlink" Target="https://www.fotmob.com/players/787413/ermedin-demirovic" TargetMode="External" Id="rId261" /><Relationship Type="http://schemas.openxmlformats.org/officeDocument/2006/relationships/hyperlink" Target="https://www.flashscore.com/player/dzeko-edin/CKfLYvOo/" TargetMode="External" Id="rId262" /><Relationship Type="http://schemas.openxmlformats.org/officeDocument/2006/relationships/hyperlink" Target="https://www.fotmob.com/players/594859/haris-tabakovic" TargetMode="External" Id="rId263" /><Relationship Type="http://schemas.openxmlformats.org/officeDocument/2006/relationships/hyperlink" Target="https://www.flashscore.com/player/lukic-jovo/K8X0ITrf/" TargetMode="External" Id="rId264" /><Relationship Type="http://schemas.openxmlformats.org/officeDocument/2006/relationships/hyperlink" Target="https://www.flashscore.com/player/alajbegovic-kerim/4bNLKmgp/" TargetMode="External" Id="rId265" /><Relationship Type="http://schemas.openxmlformats.org/officeDocument/2006/relationships/hyperlink" Target="https://theanalyst.com/players/4096/alisson-becker" TargetMode="External" Id="rId266" /><Relationship Type="http://schemas.openxmlformats.org/officeDocument/2006/relationships/hyperlink" Target="https://www.flashscore.com/player/weverton/6LOxrofo/" TargetMode="External" Id="rId267" /><Relationship Type="http://schemas.openxmlformats.org/officeDocument/2006/relationships/hyperlink" Target="https://theanalyst.com/players/4119/ederson" TargetMode="External" Id="rId268" /><Relationship Type="http://schemas.openxmlformats.org/officeDocument/2006/relationships/hyperlink" Target="https://theanalyst.com/players/3772/gabriel-magalhaes" TargetMode="External" Id="rId269" /><Relationship Type="http://schemas.openxmlformats.org/officeDocument/2006/relationships/hyperlink" Target="https://theanalyst.com/players/3539/marquinhos" TargetMode="External" Id="rId270" /><Relationship Type="http://schemas.openxmlformats.org/officeDocument/2006/relationships/hyperlink" Target="https://www.fotmob.com/players/258396/danilo" TargetMode="External" Id="rId271" /><Relationship Type="http://schemas.openxmlformats.org/officeDocument/2006/relationships/hyperlink" Target="https://footystats.org/players/brazil/gleison-bremer" TargetMode="External" Id="rId272" /><Relationship Type="http://schemas.openxmlformats.org/officeDocument/2006/relationships/hyperlink" Target="https://www.fotmob.com/players/777357/leo-pereira" TargetMode="External" Id="rId273" /><Relationship Type="http://schemas.openxmlformats.org/officeDocument/2006/relationships/hyperlink" Target="https://theanalyst.com/players/10695/ibanez" TargetMode="External" Id="rId274" /><Relationship Type="http://schemas.openxmlformats.org/officeDocument/2006/relationships/hyperlink" Target="https://www.fotmob.com/players/142272/alex-sandro" TargetMode="External" Id="rId275" /><Relationship Type="http://schemas.openxmlformats.org/officeDocument/2006/relationships/hyperlink" Target="https://www.fotmob.com/players/312241/douglas-santos" TargetMode="External" Id="rId276" /><Relationship Type="http://schemas.openxmlformats.org/officeDocument/2006/relationships/hyperlink" Target="https://theanalyst.com/players/4490/ederson" TargetMode="External" Id="rId277" /><Relationship Type="http://schemas.openxmlformats.org/officeDocument/2006/relationships/hyperlink" Target="https://theanalyst.com/players/4160/casemiro" TargetMode="External" Id="rId278" /><Relationship Type="http://schemas.openxmlformats.org/officeDocument/2006/relationships/hyperlink" Target="https://theanalyst.com/players/10693/fabinho" TargetMode="External" Id="rId279" /><Relationship Type="http://schemas.openxmlformats.org/officeDocument/2006/relationships/hyperlink" Target="https://www.flashscore.com/player/danilo/rZ3dxTMT/" TargetMode="External" Id="rId280" /><Relationship Type="http://schemas.openxmlformats.org/officeDocument/2006/relationships/hyperlink" Target="https://theanalyst.com/players/4193/bruno-guimaraes" TargetMode="External" Id="rId281" /><Relationship Type="http://schemas.openxmlformats.org/officeDocument/2006/relationships/hyperlink" Target="https://www.fotmob.com/players/766435/lucas-paqueta" TargetMode="External" Id="rId282" /><Relationship Type="http://schemas.openxmlformats.org/officeDocument/2006/relationships/hyperlink" Target="https://theanalyst.com/players/1383/raphinha" TargetMode="External" Id="rId283" /><Relationship Type="http://schemas.openxmlformats.org/officeDocument/2006/relationships/hyperlink" Target="https://theanalyst.com/players/1619/endrick" TargetMode="External" Id="rId284" /><Relationship Type="http://schemas.openxmlformats.org/officeDocument/2006/relationships/hyperlink" Target="https://www.fotmob.com/players/1238816/luiz-henrique" TargetMode="External" Id="rId285" /><Relationship Type="http://schemas.openxmlformats.org/officeDocument/2006/relationships/hyperlink" Target="https://www.fotmob.com/players/1478295/rayan" TargetMode="External" Id="rId286" /><Relationship Type="http://schemas.openxmlformats.org/officeDocument/2006/relationships/hyperlink" Target="https://theanalyst.com/players/4363/matheus-cunha" TargetMode="External" Id="rId287" /><Relationship Type="http://schemas.openxmlformats.org/officeDocument/2006/relationships/hyperlink" Target="https://theanalyst.com/players/3848/igor-thiago" TargetMode="External" Id="rId288" /><Relationship Type="http://schemas.openxmlformats.org/officeDocument/2006/relationships/hyperlink" Target="https://theanalyst.com/players/1644/vinicius-junior" TargetMode="External" Id="rId289" /><Relationship Type="http://schemas.openxmlformats.org/officeDocument/2006/relationships/hyperlink" Target="https://www.flashscore.com/player/neymar/jJqdMlhO/" TargetMode="External" Id="rId290" /><Relationship Type="http://schemas.openxmlformats.org/officeDocument/2006/relationships/hyperlink" Target="https://theanalyst.com/players/3769/gabriel-martinelli" TargetMode="External" Id="rId291" /><Relationship Type="http://schemas.openxmlformats.org/officeDocument/2006/relationships/hyperlink" Target="https://www.zerozero.pt/jogador/vozinha/93169" TargetMode="External" Id="rId292" /><Relationship Type="http://schemas.openxmlformats.org/officeDocument/2006/relationships/hyperlink" Target="https://www.flashscore.com/search/?q=marcio-rosa" TargetMode="External" Id="rId293" /><Relationship Type="http://schemas.openxmlformats.org/officeDocument/2006/relationships/hyperlink" Target="https://www.flashscore.com/search/?q=cj-dos-santos" TargetMode="External" Id="rId294" /><Relationship Type="http://schemas.openxmlformats.org/officeDocument/2006/relationships/hyperlink" Target="https://www.zerozero.pt/jogador/stopira/93688" TargetMode="External" Id="rId295" /><Relationship Type="http://schemas.openxmlformats.org/officeDocument/2006/relationships/hyperlink" Target="https://www.flashscore.com/search/?q=diney-borges" TargetMode="External" Id="rId296" /><Relationship Type="http://schemas.openxmlformats.org/officeDocument/2006/relationships/hyperlink" Target="https://www.flashscore.com/search/?q=roberto-lopes" TargetMode="External" Id="rId297" /><Relationship Type="http://schemas.openxmlformats.org/officeDocument/2006/relationships/hyperlink" Target="https://www.fotmob.com/players/922877/logan-costa" TargetMode="External" Id="rId298" /><Relationship Type="http://schemas.openxmlformats.org/officeDocument/2006/relationships/hyperlink" Target="https://www.zerozero.pt/jogador/sidny-cabral/784874" TargetMode="External" Id="rId299" /><Relationship Type="http://schemas.openxmlformats.org/officeDocument/2006/relationships/hyperlink" Target="https://www.flashscore.com/search/?q=steven-moreira" TargetMode="External" Id="rId300" /><Relationship Type="http://schemas.openxmlformats.org/officeDocument/2006/relationships/hyperlink" Target="https://www.flashscore.com/search/?q=wagner-pina" TargetMode="External" Id="rId301" /><Relationship Type="http://schemas.openxmlformats.org/officeDocument/2006/relationships/hyperlink" Target="https://www.flashscore.com/search/?q=kelvin-pires" TargetMode="External" Id="rId302" /><Relationship Type="http://schemas.openxmlformats.org/officeDocument/2006/relationships/hyperlink" Target="https://fbref.com/en/search/search.fcgi?search=kevin-pina" TargetMode="External" Id="rId303" /><Relationship Type="http://schemas.openxmlformats.org/officeDocument/2006/relationships/hyperlink" Target="https://www.flashscore.com/search/?q=joao-paulo" TargetMode="External" Id="rId304" /><Relationship Type="http://schemas.openxmlformats.org/officeDocument/2006/relationships/hyperlink" Target="https://www.fotmob.com/search?q=jamiro-monteiro" TargetMode="External" Id="rId305" /><Relationship Type="http://schemas.openxmlformats.org/officeDocument/2006/relationships/hyperlink" Target="https://www.flashscore.com/search/?q=deroy-duarte" TargetMode="External" Id="rId306" /><Relationship Type="http://schemas.openxmlformats.org/officeDocument/2006/relationships/hyperlink" Target="https://www.flashscore.com/search/?q=laros-duarte" TargetMode="External" Id="rId307" /><Relationship Type="http://schemas.openxmlformats.org/officeDocument/2006/relationships/hyperlink" Target="https://www.zerozero.pt/jogador/yannick-semedo/934358" TargetMode="External" Id="rId308" /><Relationship Type="http://schemas.openxmlformats.org/officeDocument/2006/relationships/hyperlink" Target="https://www.zerozero.pt/jogador/jovane-cabral/277668" TargetMode="External" Id="rId309" /><Relationship Type="http://schemas.openxmlformats.org/officeDocument/2006/relationships/hyperlink" Target="https://fbref.com/en/search/search.fcgi?search=gilson-benchimol" TargetMode="External" Id="rId310" /><Relationship Type="http://schemas.openxmlformats.org/officeDocument/2006/relationships/hyperlink" Target="https://www.flashscore.com/search/?q=garry-rodrigues" TargetMode="External" Id="rId311" /><Relationship Type="http://schemas.openxmlformats.org/officeDocument/2006/relationships/hyperlink" Target="https://www.flashscore.com/search/?q=willy-semedo" TargetMode="External" Id="rId312" /><Relationship Type="http://schemas.openxmlformats.org/officeDocument/2006/relationships/hyperlink" Target="https://www.zerozero.pt/jogador/telmo-arcanjo/551759" TargetMode="External" Id="rId313" /><Relationship Type="http://schemas.openxmlformats.org/officeDocument/2006/relationships/hyperlink" Target="https://www.zerozero.pt/jogador/dailon-livramento/697773" TargetMode="External" Id="rId314" /><Relationship Type="http://schemas.openxmlformats.org/officeDocument/2006/relationships/hyperlink" Target="https://www.flashscore.com/search/?q=ryan-mendes" TargetMode="External" Id="rId315" /><Relationship Type="http://schemas.openxmlformats.org/officeDocument/2006/relationships/hyperlink" Target="https://www.flashscore.com/search/?q=nuno-da-costa" TargetMode="External" Id="rId316" /><Relationship Type="http://schemas.openxmlformats.org/officeDocument/2006/relationships/hyperlink" Target="https://fbref.com/en/search/search.fcgi?search=helio-varela" TargetMode="External" Id="rId317" /><Relationship Type="http://schemas.openxmlformats.org/officeDocument/2006/relationships/hyperlink" Target="https://www.flashscore.com/player/st-clair-dayne/2JPxgtdK/" TargetMode="External" Id="rId318" /><Relationship Type="http://schemas.openxmlformats.org/officeDocument/2006/relationships/hyperlink" Target="https://www.flashscore.com/player/crepeau-maxime/UeNnzD39/" TargetMode="External" Id="rId319" /><Relationship Type="http://schemas.openxmlformats.org/officeDocument/2006/relationships/hyperlink" Target="https://fbref.com/en/players/0f240232/Owen-Goodman" TargetMode="External" Id="rId320" /><Relationship Type="http://schemas.openxmlformats.org/officeDocument/2006/relationships/hyperlink" Target="https://www.fotmob.com/en-GB/players/1055426/alistair-johnston" TargetMode="External" Id="rId321" /><Relationship Type="http://schemas.openxmlformats.org/officeDocument/2006/relationships/hyperlink" Target="https://www.flashscore.com/player/laryea-richie/vZ8ygeP0/" TargetMode="External" Id="rId322" /><Relationship Type="http://schemas.openxmlformats.org/officeDocument/2006/relationships/hyperlink" Target="https://fbref.com/en/players/521498cc/Alfie-Jones" TargetMode="External" Id="rId323" /><Relationship Type="http://schemas.openxmlformats.org/officeDocument/2006/relationships/hyperlink" Target="https://www.flashscore.com/search/?q=luc-de-fougerolles" TargetMode="External" Id="rId324" /><Relationship Type="http://schemas.openxmlformats.org/officeDocument/2006/relationships/hyperlink" Target="https://www.flashscore.com/search/?q=joel-waterman" TargetMode="External" Id="rId325" /><Relationship Type="http://schemas.openxmlformats.org/officeDocument/2006/relationships/hyperlink" Target="https://www.flashscore.com/search/?q=derek-cornelius" TargetMode="External" Id="rId326" /><Relationship Type="http://schemas.openxmlformats.org/officeDocument/2006/relationships/hyperlink" Target="https://www.flashscore.com/search/?q=moise-bombito" TargetMode="External" Id="rId327" /><Relationship Type="http://schemas.openxmlformats.org/officeDocument/2006/relationships/hyperlink" Target="https://theanalyst.com/players/270/alphonso-davies" TargetMode="External" Id="rId328" /><Relationship Type="http://schemas.openxmlformats.org/officeDocument/2006/relationships/hyperlink" Target="https://www.flashscore.com/search/?q=niko-sigur" TargetMode="External" Id="rId329" /><Relationship Type="http://schemas.openxmlformats.org/officeDocument/2006/relationships/hyperlink" Target="https://www.flashscore.com/search/?q=mathieu-choiniere" TargetMode="External" Id="rId330" /><Relationship Type="http://schemas.openxmlformats.org/officeDocument/2006/relationships/hyperlink" Target="https://www.flashscore.com/search/?q=stephen-eustaquio" TargetMode="External" Id="rId331" /><Relationship Type="http://schemas.openxmlformats.org/officeDocument/2006/relationships/hyperlink" Target="https://www.flashscore.com/search/?q=ismael-kone" TargetMode="External" Id="rId332" /><Relationship Type="http://schemas.openxmlformats.org/officeDocument/2006/relationships/hyperlink" Target="https://www.flashscore.com/search/?q=jonathan-osorio" TargetMode="External" Id="rId333" /><Relationship Type="http://schemas.openxmlformats.org/officeDocument/2006/relationships/hyperlink" Target="https://www.flashscore.com/search/?q=nathan-saliba" TargetMode="External" Id="rId334" /><Relationship Type="http://schemas.openxmlformats.org/officeDocument/2006/relationships/hyperlink" Target="https://www.flashscore.com/search/?q=marcelo-flores" TargetMode="External" Id="rId335" /><Relationship Type="http://schemas.openxmlformats.org/officeDocument/2006/relationships/hyperlink" Target="https://www.flashscore.com/search/?q=tajon-buchanan" TargetMode="External" Id="rId336" /><Relationship Type="http://schemas.openxmlformats.org/officeDocument/2006/relationships/hyperlink" Target="https://fbref.com/en/search/search.fcgi?search=cyle-larin" TargetMode="External" Id="rId337" /><Relationship Type="http://schemas.openxmlformats.org/officeDocument/2006/relationships/hyperlink" Target="https://www.fotmob.com/players/939569/jonathan-david" TargetMode="External" Id="rId338" /><Relationship Type="http://schemas.openxmlformats.org/officeDocument/2006/relationships/hyperlink" Target="https://www.flashscore.com/search/?q=tani-oluwaseyi" TargetMode="External" Id="rId339" /><Relationship Type="http://schemas.openxmlformats.org/officeDocument/2006/relationships/hyperlink" Target="https://www.flashscore.com/search/?q=promise-david" TargetMode="External" Id="rId340" /><Relationship Type="http://schemas.openxmlformats.org/officeDocument/2006/relationships/hyperlink" Target="https://fbref.com/en/search/search.fcgi?search=liam-millar" TargetMode="External" Id="rId341" /><Relationship Type="http://schemas.openxmlformats.org/officeDocument/2006/relationships/hyperlink" Target="https://www.flashscore.com/search/?q=jacob-shaffelburg" TargetMode="External" Id="rId342" /><Relationship Type="http://schemas.openxmlformats.org/officeDocument/2006/relationships/hyperlink" Target="https://fbref.com/en/search/search.fcgi?search=ali-ahmed" TargetMode="External" Id="rId343" /><Relationship Type="http://schemas.openxmlformats.org/officeDocument/2006/relationships/hyperlink" Target="https://www.flashscore.com/search/?q=mahmud-abunada" TargetMode="External" Id="rId344" /><Relationship Type="http://schemas.openxmlformats.org/officeDocument/2006/relationships/hyperlink" Target="https://www.flashscore.com/search/?q=salah-zakaria" TargetMode="External" Id="rId345" /><Relationship Type="http://schemas.openxmlformats.org/officeDocument/2006/relationships/hyperlink" Target="https://www.flashscore.com/search/?q=meshaal-barsham" TargetMode="External" Id="rId346" /><Relationship Type="http://schemas.openxmlformats.org/officeDocument/2006/relationships/hyperlink" Target="https://www.flashscore.com/search/?q=pedro-ro-ro" TargetMode="External" Id="rId347" /><Relationship Type="http://schemas.openxmlformats.org/officeDocument/2006/relationships/hyperlink" Target="https://www.flashscore.com/search/?q=ayoub-al-oui" TargetMode="External" Id="rId348" /><Relationship Type="http://schemas.openxmlformats.org/officeDocument/2006/relationships/hyperlink" Target="https://www.flashscore.com/search/?q=lucas-mendes" TargetMode="External" Id="rId349" /><Relationship Type="http://schemas.openxmlformats.org/officeDocument/2006/relationships/hyperlink" Target="https://www.flashscore.com/search/?q=issa-laye" TargetMode="External" Id="rId350" /><Relationship Type="http://schemas.openxmlformats.org/officeDocument/2006/relationships/hyperlink" Target="https://www.flashscore.com/search/?q=boualem-khoukhi" TargetMode="External" Id="rId351" /><Relationship Type="http://schemas.openxmlformats.org/officeDocument/2006/relationships/hyperlink" Target="https://www.flashscore.com/search/?q=al-hashmi-al-hussain" TargetMode="External" Id="rId352" /><Relationship Type="http://schemas.openxmlformats.org/officeDocument/2006/relationships/hyperlink" Target="https://www.flashscore.com/search/?q=homam-ahmed" TargetMode="External" Id="rId353" /><Relationship Type="http://schemas.openxmlformats.org/officeDocument/2006/relationships/hyperlink" Target="https://www.flashscore.com/search/?q=sultan-al-brake" TargetMode="External" Id="rId354" /><Relationship Type="http://schemas.openxmlformats.org/officeDocument/2006/relationships/hyperlink" Target="https://www.flashscore.com/search/?q=jassem-gaber" TargetMode="External" Id="rId355" /><Relationship Type="http://schemas.openxmlformats.org/officeDocument/2006/relationships/hyperlink" Target="https://www.flashscore.com/search/?q=karim-boudiaf" TargetMode="External" Id="rId356" /><Relationship Type="http://schemas.openxmlformats.org/officeDocument/2006/relationships/hyperlink" Target="https://www.flashscore.com/search/?q=ahmed-fathy" TargetMode="External" Id="rId357" /><Relationship Type="http://schemas.openxmlformats.org/officeDocument/2006/relationships/hyperlink" Target="https://www.flashscore.com/search/?q=assim-madibo" TargetMode="External" Id="rId358" /><Relationship Type="http://schemas.openxmlformats.org/officeDocument/2006/relationships/hyperlink" Target="https://www.flashscore.com/search/?q=mohamed-almanai" TargetMode="External" Id="rId359" /><Relationship Type="http://schemas.openxmlformats.org/officeDocument/2006/relationships/hyperlink" Target="https://www.flashscore.com/search/?q=abdulaziz-hatem" TargetMode="External" Id="rId360" /><Relationship Type="http://schemas.openxmlformats.org/officeDocument/2006/relationships/hyperlink" Target="https://www.flashscore.com/search/?q=hassan-al-haydos" TargetMode="External" Id="rId361" /><Relationship Type="http://schemas.openxmlformats.org/officeDocument/2006/relationships/hyperlink" Target="https://www.flashscore.com/search/?q=yusuf-abdurisag" TargetMode="External" Id="rId362" /><Relationship Type="http://schemas.openxmlformats.org/officeDocument/2006/relationships/hyperlink" Target="https://www.flashscore.com/search/?q=ahmed-al-ganehi" TargetMode="External" Id="rId363" /><Relationship Type="http://schemas.openxmlformats.org/officeDocument/2006/relationships/hyperlink" Target="https://www.flashscore.com/search/?q=ahmed-alaaeldin" TargetMode="External" Id="rId364" /><Relationship Type="http://schemas.openxmlformats.org/officeDocument/2006/relationships/hyperlink" Target="https://www.flashscore.com/search/?q=mohamed-muntari" TargetMode="External" Id="rId365" /><Relationship Type="http://schemas.openxmlformats.org/officeDocument/2006/relationships/hyperlink" Target="https://www.flashscore.com/search/?q=almoez-ali" TargetMode="External" Id="rId366" /><Relationship Type="http://schemas.openxmlformats.org/officeDocument/2006/relationships/hyperlink" Target="https://www.flashscore.com/search/?q=edmilson-junior" TargetMode="External" Id="rId367" /><Relationship Type="http://schemas.openxmlformats.org/officeDocument/2006/relationships/hyperlink" Target="https://www.flashscore.com/search/?q=akram-afif" TargetMode="External" Id="rId368" /><Relationship Type="http://schemas.openxmlformats.org/officeDocument/2006/relationships/hyperlink" Target="https://www.flashscore.com/search/?q=tashin-jamshid" TargetMode="External" Id="rId369" /><Relationship Type="http://schemas.openxmlformats.org/officeDocument/2006/relationships/hyperlink" Target="https://www.fotmob.com/players/869705/matej-kovar" TargetMode="External" Id="rId370" /><Relationship Type="http://schemas.openxmlformats.org/officeDocument/2006/relationships/hyperlink" Target="https://www.flashscore.com/search/?q=jindrich-stanek" TargetMode="External" Id="rId371" /><Relationship Type="http://schemas.openxmlformats.org/officeDocument/2006/relationships/hyperlink" Target="https://www.zerozero.pt/search.php?inputString=lukas-hornicek" TargetMode="External" Id="rId372" /><Relationship Type="http://schemas.openxmlformats.org/officeDocument/2006/relationships/hyperlink" Target="https://www.fotmob.com/search?q=vladimir-coufal" TargetMode="External" Id="rId373" /><Relationship Type="http://schemas.openxmlformats.org/officeDocument/2006/relationships/hyperlink" Target="https://www.flashscore.com/search/?q=david-doudera" TargetMode="External" Id="rId374" /><Relationship Type="http://schemas.openxmlformats.org/officeDocument/2006/relationships/hyperlink" Target="https://www.flashscore.com/search/?q=david-zima" TargetMode="External" Id="rId375" /><Relationship Type="http://schemas.openxmlformats.org/officeDocument/2006/relationships/hyperlink" Target="https://www.flashscore.com/search/?q=tomas-holes" TargetMode="External" Id="rId376" /><Relationship Type="http://schemas.openxmlformats.org/officeDocument/2006/relationships/hyperlink" Target="https://www.fotmob.com/search?q=robin-hranac" TargetMode="External" Id="rId377" /><Relationship Type="http://schemas.openxmlformats.org/officeDocument/2006/relationships/hyperlink" Target="https://www.flashscore.com/search/?q=stepan-chaloupek" TargetMode="External" Id="rId378" /><Relationship Type="http://schemas.openxmlformats.org/officeDocument/2006/relationships/hyperlink" Target="https://fbref.com/en/search/search.fcgi?search=ladislav-krejci" TargetMode="External" Id="rId379" /><Relationship Type="http://schemas.openxmlformats.org/officeDocument/2006/relationships/hyperlink" Target="https://www.flashscore.com/search/?q=jaroslav-zeleny" TargetMode="External" Id="rId380" /><Relationship Type="http://schemas.openxmlformats.org/officeDocument/2006/relationships/hyperlink" Target="https://www.flashscore.com/search/?q=david-jurasek" TargetMode="External" Id="rId381" /><Relationship Type="http://schemas.openxmlformats.org/officeDocument/2006/relationships/hyperlink" Target="https://www.flashscore.com/search/?q=lukas-cerv" TargetMode="External" Id="rId382" /><Relationship Type="http://schemas.openxmlformats.org/officeDocument/2006/relationships/hyperlink" Target="https://theanalyst.com/players/4316/tomas-soucek" TargetMode="External" Id="rId383" /><Relationship Type="http://schemas.openxmlformats.org/officeDocument/2006/relationships/hyperlink" Target="https://www.flashscore.com/search/?q=vladimir-darida" TargetMode="External" Id="rId384" /><Relationship Type="http://schemas.openxmlformats.org/officeDocument/2006/relationships/hyperlink" Target="https://www.flashscore.com/search/?q=michal-sadilek" TargetMode="External" Id="rId385" /><Relationship Type="http://schemas.openxmlformats.org/officeDocument/2006/relationships/hyperlink" Target="https://www.flashscore.com/search/?q=alexandr-sojka" TargetMode="External" Id="rId386" /><Relationship Type="http://schemas.openxmlformats.org/officeDocument/2006/relationships/hyperlink" Target="https://www.flashscore.com/search/?q=hugo-sochurek" TargetMode="External" Id="rId387" /><Relationship Type="http://schemas.openxmlformats.org/officeDocument/2006/relationships/hyperlink" Target="https://theanalyst.com/players/6632/pavel-sulc" TargetMode="External" Id="rId388" /><Relationship Type="http://schemas.openxmlformats.org/officeDocument/2006/relationships/hyperlink" Target="https://www.flashscore.com/search/?q=denis-visinsky" TargetMode="External" Id="rId389" /><Relationship Type="http://schemas.openxmlformats.org/officeDocument/2006/relationships/hyperlink" Target="https://www.fotmob.com/search?q=adam-hlozek" TargetMode="External" Id="rId390" /><Relationship Type="http://schemas.openxmlformats.org/officeDocument/2006/relationships/hyperlink" Target="https://www.fotmob.com/search?q=patrik-schick" TargetMode="External" Id="rId391" /><Relationship Type="http://schemas.openxmlformats.org/officeDocument/2006/relationships/hyperlink" Target="https://www.flashscore.com/search/?q=jan-kuchta" TargetMode="External" Id="rId392" /><Relationship Type="http://schemas.openxmlformats.org/officeDocument/2006/relationships/hyperlink" Target="https://www.flashscore.com/search/?q=mojmir-chytil" TargetMode="External" Id="rId393" /><Relationship Type="http://schemas.openxmlformats.org/officeDocument/2006/relationships/hyperlink" Target="https://www.flashscore.com/search/?q=tomas-chory" TargetMode="External" Id="rId394" /><Relationship Type="http://schemas.openxmlformats.org/officeDocument/2006/relationships/hyperlink" Target="https://www.flashscore.com/search/?q=lukas-provod" TargetMode="External" Id="rId395" /><Relationship Type="http://schemas.openxmlformats.org/officeDocument/2006/relationships/hyperlink" Target="https://www.flashscore.com/search/?q=david-ospina" TargetMode="External" Id="rId396" /><Relationship Type="http://schemas.openxmlformats.org/officeDocument/2006/relationships/hyperlink" Target="https://www.flashscore.com/search/?q=camilo-vargas" TargetMode="External" Id="rId397" /><Relationship Type="http://schemas.openxmlformats.org/officeDocument/2006/relationships/hyperlink" Target="https://www.flashscore.com/search/?q=alvaro-montero" TargetMode="External" Id="rId398" /><Relationship Type="http://schemas.openxmlformats.org/officeDocument/2006/relationships/hyperlink" Target="https://theanalyst.com/players/3944/daniel-munoz" TargetMode="External" Id="rId399" /><Relationship Type="http://schemas.openxmlformats.org/officeDocument/2006/relationships/hyperlink" Target="https://theanalyst.com/players/4520/jhon-lucumi" TargetMode="External" Id="rId400" /><Relationship Type="http://schemas.openxmlformats.org/officeDocument/2006/relationships/hyperlink" Target="https://www.flashscore.com/search/?q=santiago-arias" TargetMode="External" Id="rId401" /><Relationship Type="http://schemas.openxmlformats.org/officeDocument/2006/relationships/hyperlink" Target="https://www.flashscore.com/search/?q=yerry-mina" TargetMode="External" Id="rId402" /><Relationship Type="http://schemas.openxmlformats.org/officeDocument/2006/relationships/hyperlink" Target="https://theanalyst.com/players/1616/johan-mojica" TargetMode="External" Id="rId403" /><Relationship Type="http://schemas.openxmlformats.org/officeDocument/2006/relationships/hyperlink" Target="https://www.flashscore.com/search/?q=willer-ditta" TargetMode="External" Id="rId404" /><Relationship Type="http://schemas.openxmlformats.org/officeDocument/2006/relationships/hyperlink" Target="https://www.flashscore.com/search/?q=deiver-machado" TargetMode="External" Id="rId405" /><Relationship Type="http://schemas.openxmlformats.org/officeDocument/2006/relationships/hyperlink" Target="https://www.fotmob.com/players/437709/davinson-sanchez" TargetMode="External" Id="rId406" /><Relationship Type="http://schemas.openxmlformats.org/officeDocument/2006/relationships/hyperlink" Target="https://www.flashscore.com/search/?q=kevin-castano" TargetMode="External" Id="rId407" /><Relationship Type="http://schemas.openxmlformats.org/officeDocument/2006/relationships/hyperlink" Target="https://www.zerozero.pt/search.php?inputString=richard-rios" TargetMode="External" Id="rId408" /><Relationship Type="http://schemas.openxmlformats.org/officeDocument/2006/relationships/hyperlink" Target="https://www.flashscore.com/search/?q=james-rodriguez" TargetMode="External" Id="rId409" /><Relationship Type="http://schemas.openxmlformats.org/officeDocument/2006/relationships/hyperlink" Target="https://www.flashscore.com/search/?q=gustavo-puerta" TargetMode="External" Id="rId410" /><Relationship Type="http://schemas.openxmlformats.org/officeDocument/2006/relationships/hyperlink" Target="https://www.flashscore.com/search/?q=juan-portilla" TargetMode="External" Id="rId411" /><Relationship Type="http://schemas.openxmlformats.org/officeDocument/2006/relationships/hyperlink" Target="https://theanalyst.com/players/3956/jefferson-lerma" TargetMode="External" Id="rId412" /><Relationship Type="http://schemas.openxmlformats.org/officeDocument/2006/relationships/hyperlink" Target="https://theanalyst.com/players/4097/luis-diaz" TargetMode="External" Id="rId413" /><Relationship Type="http://schemas.openxmlformats.org/officeDocument/2006/relationships/hyperlink" Target="https://www.flashscore.com/search/?q=jorge-carrascal" TargetMode="External" Id="rId414" /><Relationship Type="http://schemas.openxmlformats.org/officeDocument/2006/relationships/hyperlink" Target="https://fbref.com/en/search/search.fcgi?search=jhon-cordoba" TargetMode="External" Id="rId415" /><Relationship Type="http://schemas.openxmlformats.org/officeDocument/2006/relationships/hyperlink" Target="https://www.flashscore.com/search/?q=jhon-arias" TargetMode="External" Id="rId416" /><Relationship Type="http://schemas.openxmlformats.org/officeDocument/2006/relationships/hyperlink" Target="https://www.flashscore.com/search/?q=cucho-hernandez" TargetMode="External" Id="rId417" /><Relationship Type="http://schemas.openxmlformats.org/officeDocument/2006/relationships/hyperlink" Target="https://www.flashscore.com/search/?q=juanfer-quintero" TargetMode="External" Id="rId418" /><Relationship Type="http://schemas.openxmlformats.org/officeDocument/2006/relationships/hyperlink" Target="https://www.flashscore.com/search/?q=jaminton-campaz" TargetMode="External" Id="rId419" /><Relationship Type="http://schemas.openxmlformats.org/officeDocument/2006/relationships/hyperlink" Target="https://theanalyst.com/players/6579/luis-suarez" TargetMode="External" Id="rId420" /><Relationship Type="http://schemas.openxmlformats.org/officeDocument/2006/relationships/hyperlink" Target="https://www.flashscore.com/search/?q=andres-gomez" TargetMode="External" Id="rId421" /><Relationship Type="http://schemas.openxmlformats.org/officeDocument/2006/relationships/hyperlink" Target="https://www.flashscore.com/search/?q=kim-seung-gyu" TargetMode="External" Id="rId422" /><Relationship Type="http://schemas.openxmlformats.org/officeDocument/2006/relationships/hyperlink" Target="https://www.flashscore.com/search/?q=song-bum-keun" TargetMode="External" Id="rId423" /><Relationship Type="http://schemas.openxmlformats.org/officeDocument/2006/relationships/hyperlink" Target="https://www.flashscore.com/search/?q=jo-hyeon-woo" TargetMode="External" Id="rId424" /><Relationship Type="http://schemas.openxmlformats.org/officeDocument/2006/relationships/hyperlink" Target="https://www.flashscore.com/search/?q=kim-moon-hwan" TargetMode="External" Id="rId425" /><Relationship Type="http://schemas.openxmlformats.org/officeDocument/2006/relationships/hyperlink" Target="https://www.flashscore.com/search/?q=seol-young-woo" TargetMode="External" Id="rId426" /><Relationship Type="http://schemas.openxmlformats.org/officeDocument/2006/relationships/hyperlink" Target="https://www.flashscore.com/search/?q=lee-han-beom" TargetMode="External" Id="rId427" /><Relationship Type="http://schemas.openxmlformats.org/officeDocument/2006/relationships/hyperlink" Target="https://www.flashscore.com/search/?q=lee-gi-hyuk" TargetMode="External" Id="rId428" /><Relationship Type="http://schemas.openxmlformats.org/officeDocument/2006/relationships/hyperlink" Target="https://theanalyst.com/players/264/kim-min-jae" TargetMode="External" Id="rId429" /><Relationship Type="http://schemas.openxmlformats.org/officeDocument/2006/relationships/hyperlink" Target="https://www.flashscore.com/search/?q=kim-tae-hyeon" TargetMode="External" Id="rId430" /><Relationship Type="http://schemas.openxmlformats.org/officeDocument/2006/relationships/hyperlink" Target="https://www.flashscore.com/search/?q=cho-wije" TargetMode="External" Id="rId431" /><Relationship Type="http://schemas.openxmlformats.org/officeDocument/2006/relationships/hyperlink" Target="https://www.fotmob.com/search?q=lee-tae-seok" TargetMode="External" Id="rId432" /><Relationship Type="http://schemas.openxmlformats.org/officeDocument/2006/relationships/hyperlink" Target="https://www.flashscore.com/search/?q=park-jin-seob" TargetMode="External" Id="rId433" /><Relationship Type="http://schemas.openxmlformats.org/officeDocument/2006/relationships/hyperlink" Target="https://www.fotmob.com/search?q=hwang-in-beom" TargetMode="External" Id="rId434" /><Relationship Type="http://schemas.openxmlformats.org/officeDocument/2006/relationships/hyperlink" Target="https://fbref.com/en/search/search.fcgi?search=paik-seung-ho" TargetMode="External" Id="rId435" /><Relationship Type="http://schemas.openxmlformats.org/officeDocument/2006/relationships/hyperlink" Target="https://www.flashscore.com/search/?q=kim-jin-gyu" TargetMode="External" Id="rId436" /><Relationship Type="http://schemas.openxmlformats.org/officeDocument/2006/relationships/hyperlink" Target="https://theanalyst.com/players/85/lee-jae-sung" TargetMode="External" Id="rId437" /><Relationship Type="http://schemas.openxmlformats.org/officeDocument/2006/relationships/hyperlink" Target="https://fbref.com/en/search/search.fcgi?search=bae-jun-ho" TargetMode="External" Id="rId438" /><Relationship Type="http://schemas.openxmlformats.org/officeDocument/2006/relationships/hyperlink" Target="https://www.fotmob.com/search?q=jens-castrop" TargetMode="External" Id="rId439" /><Relationship Type="http://schemas.openxmlformats.org/officeDocument/2006/relationships/hyperlink" Target="https://www.flashscore.com/search/?q=lee-dong-gyeong" TargetMode="External" Id="rId440" /><Relationship Type="http://schemas.openxmlformats.org/officeDocument/2006/relationships/hyperlink" Target="https://theanalyst.com/players/3538/lee-kang-in" TargetMode="External" Id="rId441" /><Relationship Type="http://schemas.openxmlformats.org/officeDocument/2006/relationships/hyperlink" Target="https://www.flashscore.com/search/?q=yang-hyun-jun" TargetMode="External" Id="rId442" /><Relationship Type="http://schemas.openxmlformats.org/officeDocument/2006/relationships/hyperlink" Target="https://www.flashscore.com/search/?q=cho-gue-sung" TargetMode="External" Id="rId443" /><Relationship Type="http://schemas.openxmlformats.org/officeDocument/2006/relationships/hyperlink" Target="https://theanalyst.com/players/4368/hwang-hee-chan" TargetMode="External" Id="rId444" /><Relationship Type="http://schemas.openxmlformats.org/officeDocument/2006/relationships/hyperlink" Target="https://www.flashscore.com/search/?q=oh-hyun-gyu" TargetMode="External" Id="rId445" /><Relationship Type="http://schemas.openxmlformats.org/officeDocument/2006/relationships/hyperlink" Target="https://www.flashscore.com/search/?q=son-heung-min" TargetMode="External" Id="rId446" /><Relationship Type="http://schemas.openxmlformats.org/officeDocument/2006/relationships/hyperlink" Target="https://fbref.com/en/search/search.fcgi?search=eom-ji-sung" TargetMode="External" Id="rId447" /><Relationship Type="http://schemas.openxmlformats.org/officeDocument/2006/relationships/hyperlink" Target="https://www.flashscore.com/search/?q=yahia-fofana" TargetMode="External" Id="rId448" /><Relationship Type="http://schemas.openxmlformats.org/officeDocument/2006/relationships/hyperlink" Target="https://www.flashscore.com/search/?q=mohamed-kone" TargetMode="External" Id="rId449" /><Relationship Type="http://schemas.openxmlformats.org/officeDocument/2006/relationships/hyperlink" Target="https://www.flashscore.com/search/?q=alban-lafont" TargetMode="External" Id="rId450" /><Relationship Type="http://schemas.openxmlformats.org/officeDocument/2006/relationships/hyperlink" Target="https://www.flashscore.com/search/?q=guela-doue" TargetMode="External" Id="rId451" /><Relationship Type="http://schemas.openxmlformats.org/officeDocument/2006/relationships/hyperlink" Target="https://www.zerozero.pt/search.php?inputString=ousmane-diomande" TargetMode="External" Id="rId452" /><Relationship Type="http://schemas.openxmlformats.org/officeDocument/2006/relationships/hyperlink" Target="https://www.fotmob.com/players/1154310/wilfried-singo" TargetMode="External" Id="rId453" /><Relationship Type="http://schemas.openxmlformats.org/officeDocument/2006/relationships/hyperlink" Target="https://theanalyst.com/players/4506/odilon-kossounou" TargetMode="External" Id="rId454" /><Relationship Type="http://schemas.openxmlformats.org/officeDocument/2006/relationships/hyperlink" Target="https://www.flashscore.com/search/?q=emmanuel-agbadou" TargetMode="External" Id="rId455" /><Relationship Type="http://schemas.openxmlformats.org/officeDocument/2006/relationships/hyperlink" Target="https://theanalyst.com/players/4480/evan-ndicka" TargetMode="External" Id="rId456" /><Relationship Type="http://schemas.openxmlformats.org/officeDocument/2006/relationships/hyperlink" Target="https://www.zerozero.pt/search.php?inputString=ghislain-konan" TargetMode="External" Id="rId457" /><Relationship Type="http://schemas.openxmlformats.org/officeDocument/2006/relationships/hyperlink" Target="https://www.flashscore.com/search/?q=christopher-operi" TargetMode="External" Id="rId458" /><Relationship Type="http://schemas.openxmlformats.org/officeDocument/2006/relationships/hyperlink" Target="https://fbref.com/en/search/search.fcgi?search=ibrahim-sangare" TargetMode="External" Id="rId459" /><Relationship Type="http://schemas.openxmlformats.org/officeDocument/2006/relationships/hyperlink" Target="https://www.flashscore.com/search/?q=christ-oulai" TargetMode="External" Id="rId460" /><Relationship Type="http://schemas.openxmlformats.org/officeDocument/2006/relationships/hyperlink" Target="https://www.flashscore.com/search/?q=jean-michael-seri" TargetMode="External" Id="rId461" /><Relationship Type="http://schemas.openxmlformats.org/officeDocument/2006/relationships/hyperlink" Target="https://www.zerozero.pt/search.php?inputString=seko-fofana" TargetMode="External" Id="rId462" /><Relationship Type="http://schemas.openxmlformats.org/officeDocument/2006/relationships/hyperlink" Target="https://www.fotmob.com/players/568149/franck-kessie" TargetMode="External" Id="rId463" /><Relationship Type="http://schemas.openxmlformats.org/officeDocument/2006/relationships/hyperlink" Target="https://www.flashscore.com/search/?q=simon-adingra" TargetMode="External" Id="rId464" /><Relationship Type="http://schemas.openxmlformats.org/officeDocument/2006/relationships/hyperlink" Target="https://fbref.com/en/search/search.fcgi?search=amad-diallo" TargetMode="External" Id="rId465" /><Relationship Type="http://schemas.openxmlformats.org/officeDocument/2006/relationships/hyperlink" Target="https://www.flashscore.com/search/?q=nicolas-pepe" TargetMode="External" Id="rId466" /><Relationship Type="http://schemas.openxmlformats.org/officeDocument/2006/relationships/hyperlink" Target="https://www.flashscore.com/search/?q=ange-yoan-bonny" TargetMode="External" Id="rId467" /><Relationship Type="http://schemas.openxmlformats.org/officeDocument/2006/relationships/hyperlink" Target="https://www.flashscore.com/search/?q=elye-wahi" TargetMode="External" Id="rId468" /><Relationship Type="http://schemas.openxmlformats.org/officeDocument/2006/relationships/hyperlink" Target="https://www.flashscore.com/search/?q=oumar-diakite" TargetMode="External" Id="rId469" /><Relationship Type="http://schemas.openxmlformats.org/officeDocument/2006/relationships/hyperlink" Target="https://www.fotmob.com/players/955400/evann-guessand" TargetMode="External" Id="rId470" /><Relationship Type="http://schemas.openxmlformats.org/officeDocument/2006/relationships/hyperlink" Target="https://www.fotmob.com/search?q=yan-diomande" TargetMode="External" Id="rId471" /><Relationship Type="http://schemas.openxmlformats.org/officeDocument/2006/relationships/hyperlink" Target="https://www.fotmob.com/search?q=bazoumana-toure" TargetMode="External" Id="rId472" /><Relationship Type="http://schemas.openxmlformats.org/officeDocument/2006/relationships/hyperlink" Target="https://www.flashscore.com/search/?q=parfait-guiagon" TargetMode="External" Id="rId473" /><Relationship Type="http://schemas.openxmlformats.org/officeDocument/2006/relationships/hyperlink" Target="https://www.flashscore.com/search/?q=dominik-livakovic" TargetMode="External" Id="rId474" /><Relationship Type="http://schemas.openxmlformats.org/officeDocument/2006/relationships/hyperlink" Target="https://fbref.com/en/search/search.fcgi?search=ivor-pandur" TargetMode="External" Id="rId475" /><Relationship Type="http://schemas.openxmlformats.org/officeDocument/2006/relationships/hyperlink" Target="https://www.flashscore.com/search/?q=dominik-kotarski" TargetMode="External" Id="rId476" /><Relationship Type="http://schemas.openxmlformats.org/officeDocument/2006/relationships/hyperlink" Target="https://www.fotmob.com/search?q=josip-stanisic" TargetMode="External" Id="rId477" /><Relationship Type="http://schemas.openxmlformats.org/officeDocument/2006/relationships/hyperlink" Target="https://www.flashscore.com/search/?q=marin-pongracic" TargetMode="External" Id="rId478" /><Relationship Type="http://schemas.openxmlformats.org/officeDocument/2006/relationships/hyperlink" Target="https://www.fotmob.com/players/850786/josko-gvardiol" TargetMode="External" Id="rId479" /><Relationship Type="http://schemas.openxmlformats.org/officeDocument/2006/relationships/hyperlink" Target="https://www.flashscore.com/search/?q=duje-caleta-car" TargetMode="External" Id="rId480" /><Relationship Type="http://schemas.openxmlformats.org/officeDocument/2006/relationships/hyperlink" Target="https://www.fotmob.com/search?q=josip-sutalo" TargetMode="External" Id="rId481" /><Relationship Type="http://schemas.openxmlformats.org/officeDocument/2006/relationships/hyperlink" Target="https://www.fotmob.com/search?q=luka-vuskovic" TargetMode="External" Id="rId482" /><Relationship Type="http://schemas.openxmlformats.org/officeDocument/2006/relationships/hyperlink" Target="https://www.flashscore.com/search/?q=martin-erlic" TargetMode="External" Id="rId483" /><Relationship Type="http://schemas.openxmlformats.org/officeDocument/2006/relationships/hyperlink" Target="https://www.flashscore.com/search/?q=nikola-moro" TargetMode="External" Id="rId484" /><Relationship Type="http://schemas.openxmlformats.org/officeDocument/2006/relationships/hyperlink" Target="https://theanalyst.com/players/4146/mateo-kovacic" TargetMode="External" Id="rId485" /><Relationship Type="http://schemas.openxmlformats.org/officeDocument/2006/relationships/hyperlink" Target="https://theanalyst.com/players/1648/luka-modric" TargetMode="External" Id="rId486" /><Relationship Type="http://schemas.openxmlformats.org/officeDocument/2006/relationships/hyperlink" Target="https://www.flashscore.com/search/?q=nikola-vlasic" TargetMode="External" Id="rId487" /><Relationship Type="http://schemas.openxmlformats.org/officeDocument/2006/relationships/hyperlink" Target="https://theanalyst.com/players/4486/mario-pasalic" TargetMode="External" Id="rId488" /><Relationship Type="http://schemas.openxmlformats.org/officeDocument/2006/relationships/hyperlink" Target="https://www.flashscore.com/search/?q=martin-baturina" TargetMode="External" Id="rId489" /><Relationship Type="http://schemas.openxmlformats.org/officeDocument/2006/relationships/hyperlink" Target="https://theanalyst.com/players/5831/petar-sucic" TargetMode="External" Id="rId490" /><Relationship Type="http://schemas.openxmlformats.org/officeDocument/2006/relationships/hyperlink" Target="https://www.fotmob.com/search?q=kristijan-jakic" TargetMode="External" Id="rId491" /><Relationship Type="http://schemas.openxmlformats.org/officeDocument/2006/relationships/hyperlink" Target="https://www.flashscore.com/search/?q=luka-sucic" TargetMode="External" Id="rId492" /><Relationship Type="http://schemas.openxmlformats.org/officeDocument/2006/relationships/hyperlink" Target="https://www.fotmob.com/search?q=andrej-kramaric" TargetMode="External" Id="rId493" /><Relationship Type="http://schemas.openxmlformats.org/officeDocument/2006/relationships/hyperlink" Target="https://www.flashscore.com/search/?q=ante-budimir" TargetMode="External" Id="rId494" /><Relationship Type="http://schemas.openxmlformats.org/officeDocument/2006/relationships/hyperlink" Target="https://www.fotmob.com/players/112483/ivan-perisic" TargetMode="External" Id="rId495" /><Relationship Type="http://schemas.openxmlformats.org/officeDocument/2006/relationships/hyperlink" Target="https://www.flashscore.com/search/?q=toni-fruk" TargetMode="External" Id="rId496" /><Relationship Type="http://schemas.openxmlformats.org/officeDocument/2006/relationships/hyperlink" Target="https://www.fotmob.com/search?q=igor-matanovic" TargetMode="External" Id="rId497" /><Relationship Type="http://schemas.openxmlformats.org/officeDocument/2006/relationships/hyperlink" Target="https://www.flashscore.com/search/?q=marco-pasalic" TargetMode="External" Id="rId498" /><Relationship Type="http://schemas.openxmlformats.org/officeDocument/2006/relationships/hyperlink" Target="https://www.flashscore.com/search/?q=petar-musa" TargetMode="External" Id="rId499" /><Relationship Type="http://schemas.openxmlformats.org/officeDocument/2006/relationships/hyperlink" Target="https://fbref.com/en/search/search.fcgi?search=eloy-room" TargetMode="External" Id="rId500" /><Relationship Type="http://schemas.openxmlformats.org/officeDocument/2006/relationships/hyperlink" Target="https://www.fotmob.com/search?q=tyrick-bodak" TargetMode="External" Id="rId501" /><Relationship Type="http://schemas.openxmlformats.org/officeDocument/2006/relationships/hyperlink" Target="https://www.flashscore.com/search/?q=trevor-doornbusch" TargetMode="External" Id="rId502" /><Relationship Type="http://schemas.openxmlformats.org/officeDocument/2006/relationships/hyperlink" Target="https://www.fotmob.com/search?q=shurandy-sambo" TargetMode="External" Id="rId503" /><Relationship Type="http://schemas.openxmlformats.org/officeDocument/2006/relationships/hyperlink" Target="https://www.flashscore.com/search/?q=jurien-gaari" TargetMode="External" Id="rId504" /><Relationship Type="http://schemas.openxmlformats.org/officeDocument/2006/relationships/hyperlink" Target="https://www.flashscore.com/search/?q=roshon-van-eijma" TargetMode="External" Id="rId505" /><Relationship Type="http://schemas.openxmlformats.org/officeDocument/2006/relationships/hyperlink" Target="https://www.fotmob.com/search?q=sherell-floranus" TargetMode="External" Id="rId506" /><Relationship Type="http://schemas.openxmlformats.org/officeDocument/2006/relationships/hyperlink" Target="https://fbref.com/en/search/search.fcgi?search=arjany-martha" TargetMode="External" Id="rId507" /><Relationship Type="http://schemas.openxmlformats.org/officeDocument/2006/relationships/hyperlink" Target="https://www.fotmob.com/players/787872/armando-obispo" TargetMode="External" Id="rId508" /><Relationship Type="http://schemas.openxmlformats.org/officeDocument/2006/relationships/hyperlink" Target="https://www.flashscore.com/search/?q=joshua-brenet" TargetMode="External" Id="rId509" /><Relationship Type="http://schemas.openxmlformats.org/officeDocument/2006/relationships/hyperlink" Target="https://www.flashscore.com/search/?q=riechedly-bazoer" TargetMode="External" Id="rId510" /><Relationship Type="http://schemas.openxmlformats.org/officeDocument/2006/relationships/hyperlink" Target="https://www.fotmob.com/search?q=deveron-fonville" TargetMode="External" Id="rId511" /><Relationship Type="http://schemas.openxmlformats.org/officeDocument/2006/relationships/hyperlink" Target="https://www.flashscore.com/search/?q=godfried-roemeratoe" TargetMode="External" Id="rId512" /><Relationship Type="http://schemas.openxmlformats.org/officeDocument/2006/relationships/hyperlink" Target="https://www.fotmob.com/search?q=juninho-bacuna" TargetMode="External" Id="rId513" /><Relationship Type="http://schemas.openxmlformats.org/officeDocument/2006/relationships/hyperlink" Target="https://www.flashscore.com/search/?q=livano-comenencia" TargetMode="External" Id="rId514" /><Relationship Type="http://schemas.openxmlformats.org/officeDocument/2006/relationships/hyperlink" Target="https://www.flashscore.com/search/?q=leandro-bacuna" TargetMode="External" Id="rId515" /><Relationship Type="http://schemas.openxmlformats.org/officeDocument/2006/relationships/hyperlink" Target="https://www.fotmob.com/search?q=tyrese-noslin" TargetMode="External" Id="rId516" /><Relationship Type="http://schemas.openxmlformats.org/officeDocument/2006/relationships/hyperlink" Target="https://www.flashscore.com/search/?q=kevin-felida" TargetMode="External" Id="rId517" /><Relationship Type="http://schemas.openxmlformats.org/officeDocument/2006/relationships/hyperlink" Target="https://fbref.com/en/search/search.fcgi?search=jurgen-locadia" TargetMode="External" Id="rId518" /><Relationship Type="http://schemas.openxmlformats.org/officeDocument/2006/relationships/hyperlink" Target="https://www.flashscore.com/search/?q=jeremy-antonisse" TargetMode="External" Id="rId519" /><Relationship Type="http://schemas.openxmlformats.org/officeDocument/2006/relationships/hyperlink" Target="https://fbref.com/en/search/search.fcgi?search=sontje-hansen" TargetMode="External" Id="rId520" /><Relationship Type="http://schemas.openxmlformats.org/officeDocument/2006/relationships/hyperlink" Target="https://fbref.com/en/search/search.fcgi?search=kenji-gorre" TargetMode="External" Id="rId521" /><Relationship Type="http://schemas.openxmlformats.org/officeDocument/2006/relationships/hyperlink" Target="https://www.flashscore.com/search/?q=jearl-margaritha" TargetMode="External" Id="rId522" /><Relationship Type="http://schemas.openxmlformats.org/officeDocument/2006/relationships/hyperlink" Target="https://www.fotmob.com/search?q=brandley-kuwas" TargetMode="External" Id="rId523" /><Relationship Type="http://schemas.openxmlformats.org/officeDocument/2006/relationships/hyperlink" Target="https://www.flashscore.com/search/?q=gervane-kastaneer" TargetMode="External" Id="rId524" /><Relationship Type="http://schemas.openxmlformats.org/officeDocument/2006/relationships/hyperlink" Target="https://fbref.com/en/search/search.fcgi?search=tahith-chong" TargetMode="External" Id="rId525" /><Relationship Type="http://schemas.openxmlformats.org/officeDocument/2006/relationships/hyperlink" Target="https://fbref.com/en/search/search.fcgi?search=mohamed-el-shenawy" TargetMode="External" Id="rId526" /><Relationship Type="http://schemas.openxmlformats.org/officeDocument/2006/relationships/hyperlink" Target="https://fbref.com/en/search/search.fcgi?search=al-mahdy-soliman" TargetMode="External" Id="rId527" /><Relationship Type="http://schemas.openxmlformats.org/officeDocument/2006/relationships/hyperlink" Target="https://fbref.com/en/search/search.fcgi?search=mostafa-ahmed" TargetMode="External" Id="rId528" /><Relationship Type="http://schemas.openxmlformats.org/officeDocument/2006/relationships/hyperlink" Target="https://fbref.com/en/search/search.fcgi?search=mohamed-alaa" TargetMode="External" Id="rId529" /><Relationship Type="http://schemas.openxmlformats.org/officeDocument/2006/relationships/hyperlink" Target="https://fbref.com/en/search/search.fcgi?search=mohamed-hany" TargetMode="External" Id="rId530" /><Relationship Type="http://schemas.openxmlformats.org/officeDocument/2006/relationships/hyperlink" Target="https://fbref.com/en/search/search.fcgi?search=yasser-ibrahim" TargetMode="External" Id="rId531" /><Relationship Type="http://schemas.openxmlformats.org/officeDocument/2006/relationships/hyperlink" Target="https://fbref.com/en/search/search.fcgi?search=hossam-abdelmaguid" TargetMode="External" Id="rId532" /><Relationship Type="http://schemas.openxmlformats.org/officeDocument/2006/relationships/hyperlink" Target="https://www.flashscore.com/search/?q=rami-rabia" TargetMode="External" Id="rId533" /><Relationship Type="http://schemas.openxmlformats.org/officeDocument/2006/relationships/hyperlink" Target="https://www.flashscore.com/search/?q=mohamed-abdelmonem" TargetMode="External" Id="rId534" /><Relationship Type="http://schemas.openxmlformats.org/officeDocument/2006/relationships/hyperlink" Target="https://fbref.com/en/search/search.fcgi?search=ahmed-fatouh" TargetMode="External" Id="rId535" /><Relationship Type="http://schemas.openxmlformats.org/officeDocument/2006/relationships/hyperlink" Target="https://fbref.com/en/search/search.fcgi?search=karim-hafez" TargetMode="External" Id="rId536" /><Relationship Type="http://schemas.openxmlformats.org/officeDocument/2006/relationships/hyperlink" Target="https://fbref.com/en/search/search.fcgi?search=mohanad-lasheen" TargetMode="External" Id="rId537" /><Relationship Type="http://schemas.openxmlformats.org/officeDocument/2006/relationships/hyperlink" Target="https://www.flashscore.com/search/?q=nabil-emad" TargetMode="External" Id="rId538" /><Relationship Type="http://schemas.openxmlformats.org/officeDocument/2006/relationships/hyperlink" Target="https://fbref.com/en/search/search.fcgi?search=marwan-attia" TargetMode="External" Id="rId539" /><Relationship Type="http://schemas.openxmlformats.org/officeDocument/2006/relationships/hyperlink" Target="https://fbref.com/en/search/search.fcgi?search=tarek-alaa" TargetMode="External" Id="rId540" /><Relationship Type="http://schemas.openxmlformats.org/officeDocument/2006/relationships/hyperlink" Target="https://fbref.com/en/search/search.fcgi?search=emam-ashour" TargetMode="External" Id="rId541" /><Relationship Type="http://schemas.openxmlformats.org/officeDocument/2006/relationships/hyperlink" Target="https://www.flashscore.com/search/?q=hamdi-fathi" TargetMode="External" Id="rId542" /><Relationship Type="http://schemas.openxmlformats.org/officeDocument/2006/relationships/hyperlink" Target="https://theanalyst.com/players/4100/mohamed-salah" TargetMode="External" Id="rId543" /><Relationship Type="http://schemas.openxmlformats.org/officeDocument/2006/relationships/hyperlink" Target="https://www.flashscore.com/search/?q=haissem-hassan" TargetMode="External" Id="rId544" /><Relationship Type="http://schemas.openxmlformats.org/officeDocument/2006/relationships/hyperlink" Target="https://www.flashscore.com/search/?q=hamza-abdelkarim" TargetMode="External" Id="rId545" /><Relationship Type="http://schemas.openxmlformats.org/officeDocument/2006/relationships/hyperlink" Target="https://theanalyst.com/players/209/omar-marmoush" TargetMode="External" Id="rId546" /><Relationship Type="http://schemas.openxmlformats.org/officeDocument/2006/relationships/hyperlink" Target="https://fbref.com/en/search/search.fcgi?search=trezeguet" TargetMode="External" Id="rId547" /><Relationship Type="http://schemas.openxmlformats.org/officeDocument/2006/relationships/hyperlink" Target="https://fbref.com/en/search/search.fcgi?search=mostafa-zaki" TargetMode="External" Id="rId548" /><Relationship Type="http://schemas.openxmlformats.org/officeDocument/2006/relationships/hyperlink" Target="https://www.flashscore.com/search/?q=ibrahim-adel" TargetMode="External" Id="rId549" /><Relationship Type="http://schemas.openxmlformats.org/officeDocument/2006/relationships/hyperlink" Target="https://fbref.com/en/search/search.fcgi?search=mahmoud-saber" TargetMode="External" Id="rId550" /><Relationship Type="http://schemas.openxmlformats.org/officeDocument/2006/relationships/hyperlink" Target="https://fbref.com/en/search/search.fcgi?search=zizo" TargetMode="External" Id="rId551" /><Relationship Type="http://schemas.openxmlformats.org/officeDocument/2006/relationships/hyperlink" Target="https://www.flashscore.com/search/?q=hernan-galindez" TargetMode="External" Id="rId552" /><Relationship Type="http://schemas.openxmlformats.org/officeDocument/2006/relationships/hyperlink" Target="https://www.flashscore.com/search/?q=moises-ramirez" TargetMode="External" Id="rId553" /><Relationship Type="http://schemas.openxmlformats.org/officeDocument/2006/relationships/hyperlink" Target="https://www.flashscore.com/search/?q=gonzalo-valle" TargetMode="External" Id="rId554" /><Relationship Type="http://schemas.openxmlformats.org/officeDocument/2006/relationships/hyperlink" Target="https://www.flashscore.com/search/?q=angelo-preciado" TargetMode="External" Id="rId555" /><Relationship Type="http://schemas.openxmlformats.org/officeDocument/2006/relationships/hyperlink" Target="https://www.flashscore.com/search/?q=felix-torres" TargetMode="External" Id="rId556" /><Relationship Type="http://schemas.openxmlformats.org/officeDocument/2006/relationships/hyperlink" Target="https://theanalyst.com/players/140/piero-hincapie" TargetMode="External" Id="rId557" /><Relationship Type="http://schemas.openxmlformats.org/officeDocument/2006/relationships/hyperlink" Target="https://www.flashscore.com/search/?q=joel-ordonez" TargetMode="External" Id="rId558" /><Relationship Type="http://schemas.openxmlformats.org/officeDocument/2006/relationships/hyperlink" Target="https://theanalyst.com/players/3549/willian-pacho" TargetMode="External" Id="rId559" /><Relationship Type="http://schemas.openxmlformats.org/officeDocument/2006/relationships/hyperlink" Target="https://www.flashscore.com/search/?q=jackson-porozo" TargetMode="External" Id="rId560" /><Relationship Type="http://schemas.openxmlformats.org/officeDocument/2006/relationships/hyperlink" Target="https://theanalyst.com/players/3880/pervis-estupinan" TargetMode="External" Id="rId561" /><Relationship Type="http://schemas.openxmlformats.org/officeDocument/2006/relationships/hyperlink" Target="https://www.flashscore.com/search/?q=yaimar-medina" TargetMode="External" Id="rId562" /><Relationship Type="http://schemas.openxmlformats.org/officeDocument/2006/relationships/hyperlink" Target="https://www.flashscore.com/search/?q=jordy-alcivar" TargetMode="External" Id="rId563" /><Relationship Type="http://schemas.openxmlformats.org/officeDocument/2006/relationships/hyperlink" Target="https://www.flashscore.com/search/?q=alan-franco" TargetMode="External" Id="rId564" /><Relationship Type="http://schemas.openxmlformats.org/officeDocument/2006/relationships/hyperlink" Target="https://www.flashscore.com/search/?q=pedro-vite" TargetMode="External" Id="rId565" /><Relationship Type="http://schemas.openxmlformats.org/officeDocument/2006/relationships/hyperlink" Target="https://www.flashscore.com/search/?q=denil-castillo" TargetMode="External" Id="rId566" /><Relationship Type="http://schemas.openxmlformats.org/officeDocument/2006/relationships/hyperlink" Target="https://theanalyst.com/players/3902/moises-caicedo/career" TargetMode="External" Id="rId567" /><Relationship Type="http://schemas.openxmlformats.org/officeDocument/2006/relationships/hyperlink" Target="https://www.flashscore.com/search/?q=john-yeboah" TargetMode="External" Id="rId568" /><Relationship Type="http://schemas.openxmlformats.org/officeDocument/2006/relationships/hyperlink" Target="https://www.flashscore.com/search/?q=kendry-paez" TargetMode="External" Id="rId569" /><Relationship Type="http://schemas.openxmlformats.org/officeDocument/2006/relationships/hyperlink" Target="https://www.flashscore.com/search/?q=anthony-valencia" TargetMode="External" Id="rId570" /><Relationship Type="http://schemas.openxmlformats.org/officeDocument/2006/relationships/hyperlink" Target="https://www.flashscore.com/search/?q=kevin-rodriguez" TargetMode="External" Id="rId571" /><Relationship Type="http://schemas.openxmlformats.org/officeDocument/2006/relationships/hyperlink" Target="https://www.flashscore.com/search/?q=alan-minda" TargetMode="External" Id="rId572" /><Relationship Type="http://schemas.openxmlformats.org/officeDocument/2006/relationships/hyperlink" Target="https://www.flashscore.com/search/?q=gonzalo-plata" TargetMode="External" Id="rId573" /><Relationship Type="http://schemas.openxmlformats.org/officeDocument/2006/relationships/hyperlink" Target="https://www.flashscore.com/search/?q=enner-valencia" TargetMode="External" Id="rId574" /><Relationship Type="http://schemas.openxmlformats.org/officeDocument/2006/relationships/hyperlink" Target="https://www.flashscore.com/search/?q=jordy-caicedo" TargetMode="External" Id="rId575" /><Relationship Type="http://schemas.openxmlformats.org/officeDocument/2006/relationships/hyperlink" Target="https://www.fotmob.com/search?q=jeremy-arevalo" TargetMode="External" Id="rId576" /><Relationship Type="http://schemas.openxmlformats.org/officeDocument/2006/relationships/hyperlink" Target="https://fbref.com/en/search/search.fcgi?search=nilson-angulo" TargetMode="External" Id="rId577" /><Relationship Type="http://schemas.openxmlformats.org/officeDocument/2006/relationships/hyperlink" Target="https://fbref.com/en/search/search.fcgi?search=angus-gunn" TargetMode="External" Id="rId578" /><Relationship Type="http://schemas.openxmlformats.org/officeDocument/2006/relationships/hyperlink" Target="https://www.flashscore.com/search/?q=liam-kelly" TargetMode="External" Id="rId579" /><Relationship Type="http://schemas.openxmlformats.org/officeDocument/2006/relationships/hyperlink" Target="https://www.flashscore.com/search/?q=craig-gordon" TargetMode="External" Id="rId580" /><Relationship Type="http://schemas.openxmlformats.org/officeDocument/2006/relationships/hyperlink" Target="https://fbref.com/en/search/search.fcgi?search=nathan-patterson" TargetMode="External" Id="rId581" /><Relationship Type="http://schemas.openxmlformats.org/officeDocument/2006/relationships/hyperlink" Target="https://www.flashscore.com/search/?q=anthony-ralston" TargetMode="External" Id="rId582" /><Relationship Type="http://schemas.openxmlformats.org/officeDocument/2006/relationships/hyperlink" Target="https://www.flashscore.com/search/?q=grant-hanley" TargetMode="External" Id="rId583" /><Relationship Type="http://schemas.openxmlformats.org/officeDocument/2006/relationships/hyperlink" Target="https://www.flashscore.com/search/?q=jack-hendry" TargetMode="External" Id="rId584" /><Relationship Type="http://schemas.openxmlformats.org/officeDocument/2006/relationships/hyperlink" Target="https://www.flashscore.com/search/?q=john-souttar" TargetMode="External" Id="rId585" /><Relationship Type="http://schemas.openxmlformats.org/officeDocument/2006/relationships/hyperlink" Target="https://fbref.com/en/search/search.fcgi?search=dominic-hyam" TargetMode="External" Id="rId586" /><Relationship Type="http://schemas.openxmlformats.org/officeDocument/2006/relationships/hyperlink" Target="https://www.flashscore.com/search/?q=scott-mckenna" TargetMode="External" Id="rId587" /><Relationship Type="http://schemas.openxmlformats.org/officeDocument/2006/relationships/hyperlink" Target="https://fbref.com/en/search/search.fcgi?search=aaron-hickey" TargetMode="External" Id="rId588" /><Relationship Type="http://schemas.openxmlformats.org/officeDocument/2006/relationships/hyperlink" Target="https://theanalyst.com/players/4117/andy-robertson" TargetMode="External" Id="rId589" /><Relationship Type="http://schemas.openxmlformats.org/officeDocument/2006/relationships/hyperlink" Target="https://www.flashscore.com/search/?q=kieran-tierney" TargetMode="External" Id="rId590" /><Relationship Type="http://schemas.openxmlformats.org/officeDocument/2006/relationships/hyperlink" Target="https://theanalyst.com/players/4857/scott-mctominay" TargetMode="External" Id="rId591" /><Relationship Type="http://schemas.openxmlformats.org/officeDocument/2006/relationships/hyperlink" Target="https://theanalyst.com/players/3816/john-mcginn" TargetMode="External" Id="rId592" /><Relationship Type="http://schemas.openxmlformats.org/officeDocument/2006/relationships/hyperlink" Target="https://fbref.com/en/search/search.fcgi?search=tyler-fletcher" TargetMode="External" Id="rId593" /><Relationship Type="http://schemas.openxmlformats.org/officeDocument/2006/relationships/hyperlink" Target="https://theanalyst.com/players/4535/lewis-ferguson" TargetMode="External" Id="rId594" /><Relationship Type="http://schemas.openxmlformats.org/officeDocument/2006/relationships/hyperlink" Target="https://theanalyst.com/players/961/kenny-mclean" TargetMode="External" Id="rId595" /><Relationship Type="http://schemas.openxmlformats.org/officeDocument/2006/relationships/hyperlink" Target="https://theanalyst.com/players/3750/ryan-christie" TargetMode="External" Id="rId596" /><Relationship Type="http://schemas.openxmlformats.org/officeDocument/2006/relationships/hyperlink" Target="https://fbref.com/en/search/search.fcgi?search=ben-gannon-doak" TargetMode="External" Id="rId597" /><Relationship Type="http://schemas.openxmlformats.org/officeDocument/2006/relationships/hyperlink" Target="https://fbref.com/en/search/search.fcgi?search=lyndon-dykes" TargetMode="External" Id="rId598" /><Relationship Type="http://schemas.openxmlformats.org/officeDocument/2006/relationships/hyperlink" Target="https://www.flashscore.com/search/?q=che-adams" TargetMode="External" Id="rId599" /><Relationship Type="http://schemas.openxmlformats.org/officeDocument/2006/relationships/hyperlink" Target="https://fbref.com/en/search/search.fcgi?search=ross-stewart" TargetMode="External" Id="rId600" /><Relationship Type="http://schemas.openxmlformats.org/officeDocument/2006/relationships/hyperlink" Target="https://fbref.com/en/search/search.fcgi?search=george-hirst" TargetMode="External" Id="rId601" /><Relationship Type="http://schemas.openxmlformats.org/officeDocument/2006/relationships/hyperlink" Target="https://www.flashscore.com/search/?q=lawrence-shankland" TargetMode="External" Id="rId602" /><Relationship Type="http://schemas.openxmlformats.org/officeDocument/2006/relationships/hyperlink" Target="https://www.flashscore.com/search/?q=findlay-curtis" TargetMode="External" Id="rId603" /><Relationship Type="http://schemas.openxmlformats.org/officeDocument/2006/relationships/hyperlink" Target="https://footystats.org/players/spain/david-raya" TargetMode="External" Id="rId604" /><Relationship Type="http://schemas.openxmlformats.org/officeDocument/2006/relationships/hyperlink" Target="https://theanalyst.com/players/1734/joan-garcia" TargetMode="External" Id="rId605" /><Relationship Type="http://schemas.openxmlformats.org/officeDocument/2006/relationships/hyperlink" Target="https://theanalyst.com/players/1231/unai-simon" TargetMode="External" Id="rId606" /><Relationship Type="http://schemas.openxmlformats.org/officeDocument/2006/relationships/hyperlink" Target="https://theanalyst.com/players/4292/pedro-porro" TargetMode="External" Id="rId607" /><Relationship Type="http://schemas.openxmlformats.org/officeDocument/2006/relationships/hyperlink" Target="https://www.flashscore.com/search/?q=marc-pubill" TargetMode="External" Id="rId608" /><Relationship Type="http://schemas.openxmlformats.org/officeDocument/2006/relationships/hyperlink" Target="https://theanalyst.com/players/1657/eric-garcia" TargetMode="External" Id="rId609" /><Relationship Type="http://schemas.openxmlformats.org/officeDocument/2006/relationships/hyperlink" Target="https://theanalyst.com/players/122/aymeric-laporte" TargetMode="External" Id="rId610" /><Relationship Type="http://schemas.openxmlformats.org/officeDocument/2006/relationships/hyperlink" Target="https://theanalyst.com/players/1668/pau-cubarsi" TargetMode="External" Id="rId611" /><Relationship Type="http://schemas.openxmlformats.org/officeDocument/2006/relationships/hyperlink" Target="https://theanalyst.com/players/279/alejandro-grimaldo" TargetMode="External" Id="rId612" /><Relationship Type="http://schemas.openxmlformats.org/officeDocument/2006/relationships/hyperlink" Target="https://theanalyst.com/players/3912/marc-cucurella" TargetMode="External" Id="rId613" /><Relationship Type="http://schemas.openxmlformats.org/officeDocument/2006/relationships/hyperlink" Target="https://theanalyst.com/players/4143/rodri" TargetMode="External" Id="rId614" /><Relationship Type="http://schemas.openxmlformats.org/officeDocument/2006/relationships/hyperlink" Target="https://theanalyst.com/players/1639/marcos-llorente" TargetMode="External" Id="rId615" /><Relationship Type="http://schemas.openxmlformats.org/officeDocument/2006/relationships/hyperlink" Target="https://fbref.com/en/search/search.fcgi?search=mikel-merino" TargetMode="External" Id="rId616" /><Relationship Type="http://schemas.openxmlformats.org/officeDocument/2006/relationships/hyperlink" Target="https://theanalyst.com/players/3546/fabian-ruiz" TargetMode="External" Id="rId617" /><Relationship Type="http://schemas.openxmlformats.org/officeDocument/2006/relationships/hyperlink" Target="https://www.flashscore.com/search/?q=pablo-gavi" TargetMode="External" Id="rId618" /><Relationship Type="http://schemas.openxmlformats.org/officeDocument/2006/relationships/hyperlink" Target="https://www.flashscore.com/search/?q=alex-baena" TargetMode="External" Id="rId619" /><Relationship Type="http://schemas.openxmlformats.org/officeDocument/2006/relationships/hyperlink" Target="https://theanalyst.com/players/3770/martin-zubimendi" TargetMode="External" Id="rId620" /><Relationship Type="http://schemas.openxmlformats.org/officeDocument/2006/relationships/hyperlink" Target="https://theanalyst.com/players/1662/pedri" TargetMode="External" Id="rId621" /><Relationship Type="http://schemas.openxmlformats.org/officeDocument/2006/relationships/hyperlink" Target="https://theanalyst.com/players/1661/dani-olmo" TargetMode="External" Id="rId622" /><Relationship Type="http://schemas.openxmlformats.org/officeDocument/2006/relationships/hyperlink" Target="https://theanalyst.com/players/1238/mikel-oyarzabal" TargetMode="External" Id="rId623" /><Relationship Type="http://schemas.openxmlformats.org/officeDocument/2006/relationships/hyperlink" Target="https://theanalyst.com/players/1663/ferran-torres" TargetMode="External" Id="rId624" /><Relationship Type="http://schemas.openxmlformats.org/officeDocument/2006/relationships/hyperlink" Target="https://www.flashscore.com/search/?q=borja-iglesias" TargetMode="External" Id="rId625" /><Relationship Type="http://schemas.openxmlformats.org/officeDocument/2006/relationships/hyperlink" Target="https://www.fotmob.com/players/1069722/yeremy-pino" TargetMode="External" Id="rId626" /><Relationship Type="http://schemas.openxmlformats.org/officeDocument/2006/relationships/hyperlink" Target="https://theanalyst.com/players/1248/nico-williams" TargetMode="External" Id="rId627" /><Relationship Type="http://schemas.openxmlformats.org/officeDocument/2006/relationships/hyperlink" Target="https://theanalyst.com/players/1670/lamine-yamal" TargetMode="External" Id="rId628" /><Relationship Type="http://schemas.openxmlformats.org/officeDocument/2006/relationships/hyperlink" Target="https://www.flashscore.com/search/?q=victor-munoz" TargetMode="External" Id="rId629" /><Relationship Type="http://schemas.openxmlformats.org/officeDocument/2006/relationships/hyperlink" Target="https://www.flashscore.com/search/?q=matt-turner" TargetMode="External" Id="rId630" /><Relationship Type="http://schemas.openxmlformats.org/officeDocument/2006/relationships/hyperlink" Target="https://www.flashscore.com/search/?q=matt-freese" TargetMode="External" Id="rId631" /><Relationship Type="http://schemas.openxmlformats.org/officeDocument/2006/relationships/hyperlink" Target="https://www.flashscore.com/search/?q=chris-brady" TargetMode="External" Id="rId632" /><Relationship Type="http://schemas.openxmlformats.org/officeDocument/2006/relationships/hyperlink" Target="https://www.fotmob.com/players/789809/sergino-dest" TargetMode="External" Id="rId633" /><Relationship Type="http://schemas.openxmlformats.org/officeDocument/2006/relationships/hyperlink" Target="https://www.fotmob.com/players/939626/chris-richards" TargetMode="External" Id="rId634" /><Relationship Type="http://schemas.openxmlformats.org/officeDocument/2006/relationships/hyperlink" Target="https://fbref.com/en/search/search.fcgi?search=antonee-robinson" TargetMode="External" Id="rId635" /><Relationship Type="http://schemas.openxmlformats.org/officeDocument/2006/relationships/hyperlink" Target="https://www.flashscore.com/search/?q=auston-trusty" TargetMode="External" Id="rId636" /><Relationship Type="http://schemas.openxmlformats.org/officeDocument/2006/relationships/hyperlink" Target="https://www.flashscore.com/search/?q=miles-robinson" TargetMode="External" Id="rId637" /><Relationship Type="http://schemas.openxmlformats.org/officeDocument/2006/relationships/hyperlink" Target="https://www.flashscore.com/search/?q=tim-ream" TargetMode="External" Id="rId638" /><Relationship Type="http://schemas.openxmlformats.org/officeDocument/2006/relationships/hyperlink" Target="https://www.flashscore.com/search/?q=alex-freeman" TargetMode="External" Id="rId639" /><Relationship Type="http://schemas.openxmlformats.org/officeDocument/2006/relationships/hyperlink" Target="https://www.flashscore.com/search/?q=mark-mckenzie" TargetMode="External" Id="rId640" /><Relationship Type="http://schemas.openxmlformats.org/officeDocument/2006/relationships/hyperlink" Target="https://www.fotmob.com/search?q=joe-scally" TargetMode="External" Id="rId641" /><Relationship Type="http://schemas.openxmlformats.org/officeDocument/2006/relationships/hyperlink" Target="https://www.fotmob.com/players/788380/weston-mckennie" TargetMode="External" Id="rId642" /><Relationship Type="http://schemas.openxmlformats.org/officeDocument/2006/relationships/hyperlink" Target="https://theanalyst.com/players/422/giovanni-reyna" TargetMode="External" Id="rId643" /><Relationship Type="http://schemas.openxmlformats.org/officeDocument/2006/relationships/hyperlink" Target="https://www.flashscore.com/search/?q=weston-mckennie" TargetMode="External" Id="rId644" /><Relationship Type="http://schemas.openxmlformats.org/officeDocument/2006/relationships/hyperlink" Target="https://fbref.com/en/search/search.fcgi?search=brenden-aaronson" TargetMode="External" Id="rId645" /><Relationship Type="http://schemas.openxmlformats.org/officeDocument/2006/relationships/hyperlink" Target="https://www.flashscore.com/search/?q=sebastian-berhalter" TargetMode="External" Id="rId646" /><Relationship Type="http://schemas.openxmlformats.org/officeDocument/2006/relationships/hyperlink" Target="https://www.flashscore.com/search/?q=cristian-roldan" TargetMode="External" Id="rId647" /><Relationship Type="http://schemas.openxmlformats.org/officeDocument/2006/relationships/hyperlink" Target="https://www.fotmob.com/search?q=malik-tillman" TargetMode="External" Id="rId648" /><Relationship Type="http://schemas.openxmlformats.org/officeDocument/2006/relationships/hyperlink" Target="https://www.flashscore.com/search/?q=alex-zendejas" TargetMode="External" Id="rId649" /><Relationship Type="http://schemas.openxmlformats.org/officeDocument/2006/relationships/hyperlink" Target="https://www.fotmob.com/players/953464/ricardo-pepi" TargetMode="External" Id="rId650" /><Relationship Type="http://schemas.openxmlformats.org/officeDocument/2006/relationships/hyperlink" Target="https://theanalyst.com/players/4373/christian-pulisic" TargetMode="External" Id="rId651" /><Relationship Type="http://schemas.openxmlformats.org/officeDocument/2006/relationships/hyperlink" Target="https://www.flashscore.com/search/?q=max-arfsten" TargetMode="External" Id="rId652" /><Relationship Type="http://schemas.openxmlformats.org/officeDocument/2006/relationships/hyperlink" Target="https://fbref.com/en/search/search.fcgi?search=haji-wright" TargetMode="External" Id="rId653" /><Relationship Type="http://schemas.openxmlformats.org/officeDocument/2006/relationships/hyperlink" Target="https://www.flashscore.com/search/?q=folarin-balogun" TargetMode="External" Id="rId654" /><Relationship Type="http://schemas.openxmlformats.org/officeDocument/2006/relationships/hyperlink" Target="https://www.flashscore.com/search/?q=timothy-weah" TargetMode="External" Id="rId655" /><Relationship Type="http://schemas.openxmlformats.org/officeDocument/2006/relationships/hyperlink" Target="https://www.flashscore.com/search/?q=brice-samba" TargetMode="External" Id="rId656" /><Relationship Type="http://schemas.openxmlformats.org/officeDocument/2006/relationships/hyperlink" Target="https://theanalyst.com/players/1755/mike-maignan" TargetMode="External" Id="rId657" /><Relationship Type="http://schemas.openxmlformats.org/officeDocument/2006/relationships/hyperlink" Target="https://www.flashscore.com/search/?q=robin-risser" TargetMode="External" Id="rId658" /><Relationship Type="http://schemas.openxmlformats.org/officeDocument/2006/relationships/hyperlink" Target="https://fbref.com/en/search/search.fcgi?search=malo-gusto" TargetMode="External" Id="rId659" /><Relationship Type="http://schemas.openxmlformats.org/officeDocument/2006/relationships/hyperlink" Target="https://theanalyst.com/players/1411/jules-kounde" TargetMode="External" Id="rId660" /><Relationship Type="http://schemas.openxmlformats.org/officeDocument/2006/relationships/hyperlink" Target="https://theanalyst.com/players/294/dayot-upamecano" TargetMode="External" Id="rId661" /><Relationship Type="http://schemas.openxmlformats.org/officeDocument/2006/relationships/hyperlink" Target="https://theanalyst.com/players/4091/ibrahima-konate" TargetMode="External" Id="rId662" /><Relationship Type="http://schemas.openxmlformats.org/officeDocument/2006/relationships/hyperlink" Target="https://fbref.com/en/search/search.fcgi?search=william-saliba" TargetMode="External" Id="rId663" /><Relationship Type="http://schemas.openxmlformats.org/officeDocument/2006/relationships/hyperlink" Target="https://www.fotmob.com/players/763427/maxence-lacroix" TargetMode="External" Id="rId664" /><Relationship Type="http://schemas.openxmlformats.org/officeDocument/2006/relationships/hyperlink" Target="https://fbref.com/en/search/search.fcgi?search=lucas-digne" TargetMode="External" Id="rId665" /><Relationship Type="http://schemas.openxmlformats.org/officeDocument/2006/relationships/hyperlink" Target="https://www.flashscore.com/search/?q=theo-hernandez" TargetMode="External" Id="rId666" /><Relationship Type="http://schemas.openxmlformats.org/officeDocument/2006/relationships/hyperlink" Target="https://www.flashscore.com/search/?q=lucas-hernandez" TargetMode="External" Id="rId667" /><Relationship Type="http://schemas.openxmlformats.org/officeDocument/2006/relationships/hyperlink" Target="https://www.flashscore.com/search/?q=aurelien-tchouameni" TargetMode="External" Id="rId668" /><Relationship Type="http://schemas.openxmlformats.org/officeDocument/2006/relationships/hyperlink" Target="https://www.flashscore.com/search/?q=manu-kone" TargetMode="External" Id="rId669" /><Relationship Type="http://schemas.openxmlformats.org/officeDocument/2006/relationships/hyperlink" Target="https://www.flashscore.com/search/?q=n-golo-kante" TargetMode="External" Id="rId670" /><Relationship Type="http://schemas.openxmlformats.org/officeDocument/2006/relationships/hyperlink" Target="https://theanalyst.com/players/3497/adrien-rabiot" TargetMode="External" Id="rId671" /><Relationship Type="http://schemas.openxmlformats.org/officeDocument/2006/relationships/hyperlink" Target="https://www.flashscore.com/search/?q=warren-zaire-emery" TargetMode="External" Id="rId672" /><Relationship Type="http://schemas.openxmlformats.org/officeDocument/2006/relationships/hyperlink" Target="https://www.fotmob.com/players/782766/rayan-cherki" TargetMode="External" Id="rId673" /><Relationship Type="http://schemas.openxmlformats.org/officeDocument/2006/relationships/hyperlink" Target="https://theanalyst.com/players/3545/ousmane-dembele" TargetMode="External" Id="rId674" /><Relationship Type="http://schemas.openxmlformats.org/officeDocument/2006/relationships/hyperlink" Target="https://www.fotmob.com/search?q=michael-olise" TargetMode="External" Id="rId675" /><Relationship Type="http://schemas.openxmlformats.org/officeDocument/2006/relationships/hyperlink" Target="https://www.flashscore.com/search/?q=maghnes-akliouche" TargetMode="External" Id="rId676" /><Relationship Type="http://schemas.openxmlformats.org/officeDocument/2006/relationships/hyperlink" Target="https://www.flashscore.com/search/?q=marcus-thuram" TargetMode="External" Id="rId677" /><Relationship Type="http://schemas.openxmlformats.org/officeDocument/2006/relationships/hyperlink" Target="https://www.fotmob.com/players/701154/kylian-mbappe" TargetMode="External" Id="rId678" /><Relationship Type="http://schemas.openxmlformats.org/officeDocument/2006/relationships/hyperlink" Target="https://www.fotmob.com/players/281008/jean-philippe-mateta" TargetMode="External" Id="rId679" /><Relationship Type="http://schemas.openxmlformats.org/officeDocument/2006/relationships/hyperlink" Target="https://theanalyst.com/players/3542/bradley-barcola" TargetMode="External" Id="rId680" /><Relationship Type="http://schemas.openxmlformats.org/officeDocument/2006/relationships/hyperlink" Target="https://theanalyst.com/players/3548/desire-doue" TargetMode="External" Id="rId681" /><Relationship Type="http://schemas.openxmlformats.org/officeDocument/2006/relationships/hyperlink" Target="https://www.flashscore.com/search/?q=lawrence-ati-zigi" TargetMode="External" Id="rId682" /><Relationship Type="http://schemas.openxmlformats.org/officeDocument/2006/relationships/hyperlink" Target="https://www.flashscore.com/search/?q=joseph-anang" TargetMode="External" Id="rId683" /><Relationship Type="http://schemas.openxmlformats.org/officeDocument/2006/relationships/hyperlink" Target="https://fbref.com/en/search/search.fcgi?search=benjamin-asare" TargetMode="External" Id="rId684" /><Relationship Type="http://schemas.openxmlformats.org/officeDocument/2006/relationships/hyperlink" Target="https://www.flashscore.com/search/?q=alidu-seidu" TargetMode="External" Id="rId685" /><Relationship Type="http://schemas.openxmlformats.org/officeDocument/2006/relationships/hyperlink" Target="https://www.flashscore.com/search/?q=marvin-senaya" TargetMode="External" Id="rId686" /><Relationship Type="http://schemas.openxmlformats.org/officeDocument/2006/relationships/hyperlink" Target="https://www.fotmob.com/search?q=jonas-adjetey" TargetMode="External" Id="rId687" /><Relationship Type="http://schemas.openxmlformats.org/officeDocument/2006/relationships/hyperlink" Target="https://www.flashscore.com/search/?q=abdul-mumin" TargetMode="External" Id="rId688" /><Relationship Type="http://schemas.openxmlformats.org/officeDocument/2006/relationships/hyperlink" Target="https://www.flashscore.com/search/?q=jerome-opoku" TargetMode="External" Id="rId689" /><Relationship Type="http://schemas.openxmlformats.org/officeDocument/2006/relationships/hyperlink" Target="https://www.flashscore.com/search/?q=kojo-peprah-oppong" TargetMode="External" Id="rId690" /><Relationship Type="http://schemas.openxmlformats.org/officeDocument/2006/relationships/hyperlink" Target="https://www.flashscore.com/search/?q=derrick-luckassen" TargetMode="External" Id="rId691" /><Relationship Type="http://schemas.openxmlformats.org/officeDocument/2006/relationships/hyperlink" Target="https://www.flashscore.com/search/?q=gideon-mensah" TargetMode="External" Id="rId692" /><Relationship Type="http://schemas.openxmlformats.org/officeDocument/2006/relationships/hyperlink" Target="https://www.flashscore.com/search/?q=baba-rahman" TargetMode="External" Id="rId693" /><Relationship Type="http://schemas.openxmlformats.org/officeDocument/2006/relationships/hyperlink" Target="https://www.flashscore.com/search/?q=thomas-partey" TargetMode="External" Id="rId694" /><Relationship Type="http://schemas.openxmlformats.org/officeDocument/2006/relationships/hyperlink" Target="https://www.flashscore.com/search/?q=elisha-owusu" TargetMode="External" Id="rId695" /><Relationship Type="http://schemas.openxmlformats.org/officeDocument/2006/relationships/hyperlink" Target="https://www.flashscore.com/search/?q=caleb-yirenkyi" TargetMode="External" Id="rId696" /><Relationship Type="http://schemas.openxmlformats.org/officeDocument/2006/relationships/hyperlink" Target="https://www.flashscore.com/search/?q=kwasi-sibo" TargetMode="External" Id="rId697" /><Relationship Type="http://schemas.openxmlformats.org/officeDocument/2006/relationships/hyperlink" Target="https://www.fotmob.com/players/648491/antoine-semenyo" TargetMode="External" Id="rId698" /><Relationship Type="http://schemas.openxmlformats.org/officeDocument/2006/relationships/hyperlink" Target="https://www.flashscore.com/search/?q=christopher-baah" TargetMode="External" Id="rId699" /><Relationship Type="http://schemas.openxmlformats.org/officeDocument/2006/relationships/hyperlink" Target="https://theanalyst.com/players/1245/inaki-williams" TargetMode="External" Id="rId700" /><Relationship Type="http://schemas.openxmlformats.org/officeDocument/2006/relationships/hyperlink" Target="https://www.flashscore.com/search/?q=augustine-boakye" TargetMode="External" Id="rId701" /><Relationship Type="http://schemas.openxmlformats.org/officeDocument/2006/relationships/hyperlink" Target="https://www.flashscore.com/search/?q=ernest-nuamah" TargetMode="External" Id="rId702" /><Relationship Type="http://schemas.openxmlformats.org/officeDocument/2006/relationships/hyperlink" Target="https://www.flashscore.com/search/?q=prince-adu" TargetMode="External" Id="rId703" /><Relationship Type="http://schemas.openxmlformats.org/officeDocument/2006/relationships/hyperlink" Target="https://fbref.com/en/search/search.fcgi?search=jordan-ayew" TargetMode="External" Id="rId704" /><Relationship Type="http://schemas.openxmlformats.org/officeDocument/2006/relationships/hyperlink" Target="https://fbref.com/en/search/search.fcgi?search=brandon-thomas-asante" TargetMode="External" Id="rId705" /><Relationship Type="http://schemas.openxmlformats.org/officeDocument/2006/relationships/hyperlink" Target="https://fbref.com/en/search/search.fcgi?search=fatawu-issahaku" TargetMode="External" Id="rId706" /><Relationship Type="http://schemas.openxmlformats.org/officeDocument/2006/relationships/hyperlink" Target="https://www.flashscore.com/search/?q=kamaldeen-sulemana" TargetMode="External" Id="rId707" /><Relationship Type="http://schemas.openxmlformats.org/officeDocument/2006/relationships/hyperlink" Target="https://www.flashscore.com/search/?q=johnny-placide" TargetMode="External" Id="rId708" /><Relationship Type="http://schemas.openxmlformats.org/officeDocument/2006/relationships/hyperlink" Target="https://www.flashscore.com/search/?q=alexandre-pierre" TargetMode="External" Id="rId709" /><Relationship Type="http://schemas.openxmlformats.org/officeDocument/2006/relationships/hyperlink" Target="https://www.flashscore.com/search/?q=josue-duverger" TargetMode="External" Id="rId710" /><Relationship Type="http://schemas.openxmlformats.org/officeDocument/2006/relationships/hyperlink" Target="https://www.flashscore.com/search/?q=carlens-arcus" TargetMode="External" Id="rId711" /><Relationship Type="http://schemas.openxmlformats.org/officeDocument/2006/relationships/hyperlink" Target="https://www.flashscore.com/search/?q=wilguens-paugain" TargetMode="External" Id="rId712" /><Relationship Type="http://schemas.openxmlformats.org/officeDocument/2006/relationships/hyperlink" Target="https://www.flashscore.com/search/?q=keeto-thermoncy" TargetMode="External" Id="rId713" /><Relationship Type="http://schemas.openxmlformats.org/officeDocument/2006/relationships/hyperlink" Target="https://www.flashscore.com/search/?q=ricardo-ade" TargetMode="External" Id="rId714" /><Relationship Type="http://schemas.openxmlformats.org/officeDocument/2006/relationships/hyperlink" Target="https://www.flashscore.com/search/?q=hannes-delcroix" TargetMode="External" Id="rId715" /><Relationship Type="http://schemas.openxmlformats.org/officeDocument/2006/relationships/hyperlink" Target="https://www.flashscore.com/search/?q=jean-kevin-duverne" TargetMode="External" Id="rId716" /><Relationship Type="http://schemas.openxmlformats.org/officeDocument/2006/relationships/hyperlink" Target="https://www.flashscore.com/search/?q=martin-experience" TargetMode="External" Id="rId717" /><Relationship Type="http://schemas.openxmlformats.org/officeDocument/2006/relationships/hyperlink" Target="https://fbref.com/en/search/search.fcgi?search=duke-lacroix" TargetMode="External" Id="rId718" /><Relationship Type="http://schemas.openxmlformats.org/officeDocument/2006/relationships/hyperlink" Target="https://fbref.com/en/search/search.fcgi?search=carl-sainte" TargetMode="External" Id="rId719" /><Relationship Type="http://schemas.openxmlformats.org/officeDocument/2006/relationships/hyperlink" Target="https://www.zerozero.pt/search.php?inputString=leverton-pierre" TargetMode="External" Id="rId720" /><Relationship Type="http://schemas.openxmlformats.org/officeDocument/2006/relationships/hyperlink" Target="https://www.flashscore.com/search/?q=danley-jean-jacques" TargetMode="External" Id="rId721" /><Relationship Type="http://schemas.openxmlformats.org/officeDocument/2006/relationships/hyperlink" Target="https://www.flashscore.com/search/?q=dominique-simon" TargetMode="External" Id="rId722" /><Relationship Type="http://schemas.openxmlformats.org/officeDocument/2006/relationships/hyperlink" Target="https://www.flashscore.com/search/?q=pierre-woodensky" TargetMode="External" Id="rId723" /><Relationship Type="http://schemas.openxmlformats.org/officeDocument/2006/relationships/hyperlink" Target="https://fbref.com/en/search/search.fcgi?search=jean-ricner-bellegarde" TargetMode="External" Id="rId724" /><Relationship Type="http://schemas.openxmlformats.org/officeDocument/2006/relationships/hyperlink" Target="https://www.flashscore.com/search/?q=ruben-providence" TargetMode="External" Id="rId725" /><Relationship Type="http://schemas.openxmlformats.org/officeDocument/2006/relationships/hyperlink" Target="https://www.zerozero.pt/search.php?inputString=yassin-fortune" TargetMode="External" Id="rId726" /><Relationship Type="http://schemas.openxmlformats.org/officeDocument/2006/relationships/hyperlink" Target="https://www.flashscore.com/search/?q=josue-casimir" TargetMode="External" Id="rId727" /><Relationship Type="http://schemas.openxmlformats.org/officeDocument/2006/relationships/hyperlink" Target="https://www.flashscore.com/search/?q=duckens-nazon" TargetMode="External" Id="rId728" /><Relationship Type="http://schemas.openxmlformats.org/officeDocument/2006/relationships/hyperlink" Target="https://www.flashscore.com/search/?q=louicius-deedson" TargetMode="External" Id="rId729" /><Relationship Type="http://schemas.openxmlformats.org/officeDocument/2006/relationships/hyperlink" Target="https://www.flashscore.com/search/?q=lenny-joseph" TargetMode="External" Id="rId730" /><Relationship Type="http://schemas.openxmlformats.org/officeDocument/2006/relationships/hyperlink" Target="https://fbref.com/en/search/search.fcgi?search=wilson-isidor" TargetMode="External" Id="rId731" /><Relationship Type="http://schemas.openxmlformats.org/officeDocument/2006/relationships/hyperlink" Target="https://www.zerozero.pt/jogador/vladan-kovacevic/487550" TargetMode="External" Id="rId732" /><Relationship Type="http://schemas.openxmlformats.org/officeDocument/2006/relationships/hyperlink" Target="https://www.flashscore.com/search/?q=derrick-etienne-jr" TargetMode="External" Id="rId733" /><Relationship Type="http://schemas.openxmlformats.org/officeDocument/2006/relationships/hyperlink" Target="https://theanalyst.com/players/4258/aaron-ramsdale" TargetMode="External" Id="rId734" /><Relationship Type="http://schemas.openxmlformats.org/officeDocument/2006/relationships/hyperlink" Target="https://theanalyst.com/players/3998/jordan-pickford" TargetMode="External" Id="rId735" /><Relationship Type="http://schemas.openxmlformats.org/officeDocument/2006/relationships/hyperlink" Target="https://theanalyst.com/players/3952/dean-henderson" TargetMode="External" Id="rId736" /><Relationship Type="http://schemas.openxmlformats.org/officeDocument/2006/relationships/hyperlink" Target="https://www.fotmob.com/players/1020733/james-trafford" TargetMode="External" Id="rId737" /><Relationship Type="http://schemas.openxmlformats.org/officeDocument/2006/relationships/hyperlink" Target="https://fbref.com/en/search/search.fcgi?search=jason-steele" TargetMode="External" Id="rId738" /><Relationship Type="http://schemas.openxmlformats.org/officeDocument/2006/relationships/hyperlink" Target="https://theanalyst.com/players/4121/john-stones" TargetMode="External" Id="rId739" /><Relationship Type="http://schemas.openxmlformats.org/officeDocument/2006/relationships/hyperlink" Target="https://www.flashscore.com/search/?q=fikayo-tomori" TargetMode="External" Id="rId740" /><Relationship Type="http://schemas.openxmlformats.org/officeDocument/2006/relationships/hyperlink" Target="https://theanalyst.com/players/3808/ezri-konsa" TargetMode="External" Id="rId741" /><Relationship Type="http://schemas.openxmlformats.org/officeDocument/2006/relationships/hyperlink" Target="https://www.fotmob.com/en-GB/players/844425/marc-guehi" TargetMode="External" Id="rId742" /><Relationship Type="http://schemas.openxmlformats.org/officeDocument/2006/relationships/hyperlink" Target="https://fbref.com/en/search/search.fcgi?search=harry-maguire" TargetMode="External" Id="rId743" /><Relationship Type="http://schemas.openxmlformats.org/officeDocument/2006/relationships/hyperlink" Target="https://theanalyst.com/players/3783/ben-white" TargetMode="External" Id="rId744" /><Relationship Type="http://schemas.openxmlformats.org/officeDocument/2006/relationships/hyperlink" Target="https://theanalyst.com/players/4192/dan-burn" TargetMode="External" Id="rId745" /><Relationship Type="http://schemas.openxmlformats.org/officeDocument/2006/relationships/hyperlink" Target="https://fbref.com/en/search/search.fcgi?search=reece-james" TargetMode="External" Id="rId746" /><Relationship Type="http://schemas.openxmlformats.org/officeDocument/2006/relationships/hyperlink" Target="https://theanalyst.com/players/4298/djed-spence" TargetMode="External" Id="rId747" /><Relationship Type="http://schemas.openxmlformats.org/officeDocument/2006/relationships/hyperlink" Target="https://theanalyst.com/players/4207/tino-livramento" TargetMode="External" Id="rId748" /><Relationship Type="http://schemas.openxmlformats.org/officeDocument/2006/relationships/hyperlink" Target="https://www.fotmob.com/search?q=jarell-quansah" TargetMode="External" Id="rId749" /><Relationship Type="http://schemas.openxmlformats.org/officeDocument/2006/relationships/hyperlink" Target="https://fbref.com/en/search/search.fcgi?search=lewis-hall" TargetMode="External" Id="rId750" /><Relationship Type="http://schemas.openxmlformats.org/officeDocument/2006/relationships/hyperlink" Target="https://fbref.com/en/search/search.fcgi?search=jordan-henderson" TargetMode="External" Id="rId751" /><Relationship Type="http://schemas.openxmlformats.org/officeDocument/2006/relationships/hyperlink" Target="https://theanalyst.com/players/3768/declan-rice" TargetMode="External" Id="rId752" /><Relationship Type="http://schemas.openxmlformats.org/officeDocument/2006/relationships/hyperlink" Target="https://www.fotmob.com/players/1294188/adam-wharton" TargetMode="External" Id="rId753" /><Relationship Type="http://schemas.openxmlformats.org/officeDocument/2006/relationships/hyperlink" Target="https://www.fotmob.com/players/1402101/nico-oreilly" TargetMode="External" Id="rId754" /><Relationship Type="http://schemas.openxmlformats.org/officeDocument/2006/relationships/hyperlink" Target="https://fbref.com/en/search/search.fcgi?search=elliot-anderson" TargetMode="External" Id="rId755" /><Relationship Type="http://schemas.openxmlformats.org/officeDocument/2006/relationships/hyperlink" Target="https://fbref.com/en/search/search.fcgi?search=kobbie-mainoo" TargetMode="External" Id="rId756" /><Relationship Type="http://schemas.openxmlformats.org/officeDocument/2006/relationships/hyperlink" Target="https://theanalyst.com/players/1650/jude-bellingham" TargetMode="External" Id="rId757" /><Relationship Type="http://schemas.openxmlformats.org/officeDocument/2006/relationships/hyperlink" Target="https://fbref.com/en/search/search.fcgi?search=james-garner" TargetMode="External" Id="rId758" /><Relationship Type="http://schemas.openxmlformats.org/officeDocument/2006/relationships/hyperlink" Target="https://fbref.com/en/search/search.fcgi?search=alex-scott" TargetMode="External" Id="rId759" /><Relationship Type="http://schemas.openxmlformats.org/officeDocument/2006/relationships/hyperlink" Target="https://fbref.com/en/search/search.fcgi?search=joshua-king" TargetMode="External" Id="rId760" /><Relationship Type="http://schemas.openxmlformats.org/officeDocument/2006/relationships/hyperlink" Target="https://fbref.com/en/search/search.fcgi?search=calvert-lewin" TargetMode="External" Id="rId761" /><Relationship Type="http://schemas.openxmlformats.org/officeDocument/2006/relationships/hyperlink" Target="https://theanalyst.com/players/284/harry-kane" TargetMode="External" Id="rId762" /><Relationship Type="http://schemas.openxmlformats.org/officeDocument/2006/relationships/hyperlink" Target="https://fbref.com/en/search/search.fcgi?search=noni-madueke" TargetMode="External" Id="rId763" /><Relationship Type="http://schemas.openxmlformats.org/officeDocument/2006/relationships/hyperlink" Target="https://fbref.com/en/search/search.fcgi?search=bukayo-saka" TargetMode="External" Id="rId764" /><Relationship Type="http://schemas.openxmlformats.org/officeDocument/2006/relationships/hyperlink" Target="https://www.fotmob.com/players/528863/ivan-toney" TargetMode="External" Id="rId765" /><Relationship Type="http://schemas.openxmlformats.org/officeDocument/2006/relationships/hyperlink" Target="https://theanalyst.com/players/3803/ollie-watkins" TargetMode="External" Id="rId766" /><Relationship Type="http://schemas.openxmlformats.org/officeDocument/2006/relationships/hyperlink" Target="https://fbref.com/en/search/search.fcgi?search=cole-palmer" TargetMode="External" Id="rId767" /><Relationship Type="http://schemas.openxmlformats.org/officeDocument/2006/relationships/hyperlink" Target="https://fbref.com/en/players/ed1e53f3/matchlogs/2025-2026/Phil-Foden-Match-Logs" TargetMode="External" Id="rId768" /><Relationship Type="http://schemas.openxmlformats.org/officeDocument/2006/relationships/hyperlink" Target="https://www.flashscore.com/search/?q=marcus-rashford" TargetMode="External" Id="rId769" /><Relationship Type="http://schemas.openxmlformats.org/officeDocument/2006/relationships/hyperlink" Target="https://fbref.com/en/search/search.fcgi?search=anthony-gordon" TargetMode="External" Id="rId770" /><Relationship Type="http://schemas.openxmlformats.org/officeDocument/2006/relationships/hyperlink" Target="https://fbref.com/en/search/search.fcgi?search=morgan-rogers" TargetMode="External" Id="rId771" /><Relationship Type="http://schemas.openxmlformats.org/officeDocument/2006/relationships/hyperlink" Target="https://theanalyst.com/players/4309/dominic-solanke" TargetMode="External" Id="rId772" /><Relationship Type="http://schemas.openxmlformats.org/officeDocument/2006/relationships/hyperlink" Target="https://fbref.com/en/search/search.fcgi?search=harvey-barnes" TargetMode="External" Id="rId773" /><Relationship Type="http://schemas.openxmlformats.org/officeDocument/2006/relationships/hyperlink" Target="https://fbref.com/en/search/search.fcgi?search=jarrod-bowen" TargetMode="External" Id="rId774" /><Relationship Type="http://schemas.openxmlformats.org/officeDocument/2006/relationships/hyperlink" Target="https://www.flashscore.com/search/?q=ethan-nwaneri" TargetMode="External" Id="rId775" /><Relationship Type="http://schemas.openxmlformats.org/officeDocument/2006/relationships/hyperlink" Target="https://fbref.com/en/search/search.fcgi?search=rio-ngumoha" TargetMode="External" Id="rId776" /><Relationship Type="http://schemas.openxmlformats.org/officeDocument/2006/relationships/hyperlink" Target="https://www.flashscore.com/search/?q=alireza-beiranvand" TargetMode="External" Id="rId777" /><Relationship Type="http://schemas.openxmlformats.org/officeDocument/2006/relationships/hyperlink" Target="https://www.flashscore.com/search/?q=payam-niazmand" TargetMode="External" Id="rId778" /><Relationship Type="http://schemas.openxmlformats.org/officeDocument/2006/relationships/hyperlink" Target="https://www.flashscore.com/search/?q=hossein-hosseini" TargetMode="External" Id="rId779" /><Relationship Type="http://schemas.openxmlformats.org/officeDocument/2006/relationships/hyperlink" Target="https://www.flashscore.com/search/?q=saleh-hardani" TargetMode="External" Id="rId780" /><Relationship Type="http://schemas.openxmlformats.org/officeDocument/2006/relationships/hyperlink" Target="https://www.flashscore.com/search/?q=aria-yousefi" TargetMode="External" Id="rId781" /><Relationship Type="http://schemas.openxmlformats.org/officeDocument/2006/relationships/hyperlink" Target="https://www.flashscore.com/search/?q=ramin-rezaeian" TargetMode="External" Id="rId782" /><Relationship Type="http://schemas.openxmlformats.org/officeDocument/2006/relationships/hyperlink" Target="https://www.flashscore.com/search/?q=shojae-khalilzadeh" TargetMode="External" Id="rId783" /><Relationship Type="http://schemas.openxmlformats.org/officeDocument/2006/relationships/hyperlink" Target="https://www.flashscore.com/search/?q=hossein-kanaani" TargetMode="External" Id="rId784" /><Relationship Type="http://schemas.openxmlformats.org/officeDocument/2006/relationships/hyperlink" Target="https://www.flashscore.com/search/?q=roozbeh-cheshmi" TargetMode="External" Id="rId785" /><Relationship Type="http://schemas.openxmlformats.org/officeDocument/2006/relationships/hyperlink" Target="https://www.flashscore.com/search/?q=ali-nemati" TargetMode="External" Id="rId786" /><Relationship Type="http://schemas.openxmlformats.org/officeDocument/2006/relationships/hyperlink" Target="https://www.flashscore.com/search/?q=danial-iri" TargetMode="External" Id="rId787" /><Relationship Type="http://schemas.openxmlformats.org/officeDocument/2006/relationships/hyperlink" Target="https://www.flashscore.com/search/?q=ehsan-hajsafi" TargetMode="External" Id="rId788" /><Relationship Type="http://schemas.openxmlformats.org/officeDocument/2006/relationships/hyperlink" Target="https://www.flashscore.com/search/?q=milad-mohammadi" TargetMode="External" Id="rId789" /><Relationship Type="http://schemas.openxmlformats.org/officeDocument/2006/relationships/hyperlink" Target="https://www.flashscore.com/search/?q=saeid-ezatolahi" TargetMode="External" Id="rId790" /><Relationship Type="http://schemas.openxmlformats.org/officeDocument/2006/relationships/hyperlink" Target="https://www.flashscore.com/search/?q=mohammad-ghorbani" TargetMode="External" Id="rId791" /><Relationship Type="http://schemas.openxmlformats.org/officeDocument/2006/relationships/hyperlink" Target="https://www.flashscore.com/search/?q=amir-razzaghinia" TargetMode="External" Id="rId792" /><Relationship Type="http://schemas.openxmlformats.org/officeDocument/2006/relationships/hyperlink" Target="https://fbref.com/en/search/search.fcgi?search=mohammad-mohebi" TargetMode="External" Id="rId793" /><Relationship Type="http://schemas.openxmlformats.org/officeDocument/2006/relationships/hyperlink" Target="https://www.flashscore.com/search/?q=alireza-jahanbakhsh" TargetMode="External" Id="rId794" /><Relationship Type="http://schemas.openxmlformats.org/officeDocument/2006/relationships/hyperlink" Target="https://www.flashscore.com/search/?q=saman-ghoddos" TargetMode="External" Id="rId795" /><Relationship Type="http://schemas.openxmlformats.org/officeDocument/2006/relationships/hyperlink" Target="https://www.flashscore.com/search/?q=mehdi-torabi" TargetMode="External" Id="rId796" /><Relationship Type="http://schemas.openxmlformats.org/officeDocument/2006/relationships/hyperlink" Target="https://www.flashscore.com/search/?q=dennis-ayensa" TargetMode="External" Id="rId797" /><Relationship Type="http://schemas.openxmlformats.org/officeDocument/2006/relationships/hyperlink" Target="https://www.flashscore.com/search/?q=mehdi-taremi" TargetMode="External" Id="rId798" /><Relationship Type="http://schemas.openxmlformats.org/officeDocument/2006/relationships/hyperlink" Target="https://www.flashscore.com/search/?q=ali-alipour" TargetMode="External" Id="rId799" /><Relationship Type="http://schemas.openxmlformats.org/officeDocument/2006/relationships/hyperlink" Target="https://www.flashscore.com/search/?q=amirhossein-hosseinzadeh" TargetMode="External" Id="rId800" /><Relationship Type="http://schemas.openxmlformats.org/officeDocument/2006/relationships/hyperlink" Target="https://www.flashscore.com/search/?q=shahriar-moghanlou" TargetMode="External" Id="rId801" /><Relationship Type="http://schemas.openxmlformats.org/officeDocument/2006/relationships/hyperlink" Target="https://www.flashscore.com/search/?q=mehdi-ghaedi" TargetMode="External" Id="rId802" /><Relationship Type="http://schemas.openxmlformats.org/officeDocument/2006/relationships/hyperlink" Target="https://www.flashscore.com/search/?q=kumel-al-rekabe" TargetMode="External" Id="rId803" /><Relationship Type="http://schemas.openxmlformats.org/officeDocument/2006/relationships/hyperlink" Target="https://www.flashscore.com/search/?q=ahmed-basil" TargetMode="External" Id="rId804" /><Relationship Type="http://schemas.openxmlformats.org/officeDocument/2006/relationships/hyperlink" Target="https://www.flashscore.com/search/?q=fahad-talib" TargetMode="External" Id="rId805" /><Relationship Type="http://schemas.openxmlformats.org/officeDocument/2006/relationships/hyperlink" Target="https://www.flashscore.com/search/?q=jalal-hassan" TargetMode="External" Id="rId806" /><Relationship Type="http://schemas.openxmlformats.org/officeDocument/2006/relationships/hyperlink" Target="https://www.flashscore.com/search/?q=frans-putros" TargetMode="External" Id="rId807" /><Relationship Type="http://schemas.openxmlformats.org/officeDocument/2006/relationships/hyperlink" Target="https://www.flashscore.com/search/?q=ahmed-yahia" TargetMode="External" Id="rId808" /><Relationship Type="http://schemas.openxmlformats.org/officeDocument/2006/relationships/hyperlink" Target="https://www.flashscore.com/search/?q=maytham-jabbar" TargetMode="External" Id="rId809" /><Relationship Type="http://schemas.openxmlformats.org/officeDocument/2006/relationships/hyperlink" Target="https://www.flashscore.com/search/?q=hussein-ali" TargetMode="External" Id="rId810" /><Relationship Type="http://schemas.openxmlformats.org/officeDocument/2006/relationships/hyperlink" Target="https://www.flashscore.com/search/?q=zaid-tahseen" TargetMode="External" Id="rId811" /><Relationship Type="http://schemas.openxmlformats.org/officeDocument/2006/relationships/hyperlink" Target="https://www.flashscore.com/search/?q=akam-hashim" TargetMode="External" Id="rId812" /><Relationship Type="http://schemas.openxmlformats.org/officeDocument/2006/relationships/hyperlink" Target="https://www.flashscore.com/search/?q=mustafa-saadoun" TargetMode="External" Id="rId813" /><Relationship Type="http://schemas.openxmlformats.org/officeDocument/2006/relationships/hyperlink" Target="https://www.flashscore.com/search/?q=ahmed-yahya" TargetMode="External" Id="rId814" /><Relationship Type="http://schemas.openxmlformats.org/officeDocument/2006/relationships/hyperlink" Target="https://www.flashscore.com/search/?q=rebin-sulaka" TargetMode="External" Id="rId815" /><Relationship Type="http://schemas.openxmlformats.org/officeDocument/2006/relationships/hyperlink" Target="https://www.flashscore.com/search/?q=ahmad-hasan" TargetMode="External" Id="rId816" /><Relationship Type="http://schemas.openxmlformats.org/officeDocument/2006/relationships/hyperlink" Target="https://www.flashscore.com/search/?q=manaf-younis" TargetMode="External" Id="rId817" /><Relationship Type="http://schemas.openxmlformats.org/officeDocument/2006/relationships/hyperlink" Target="https://www.flashscore.com/search/?q=merchas-doski" TargetMode="External" Id="rId818" /><Relationship Type="http://schemas.openxmlformats.org/officeDocument/2006/relationships/hyperlink" Target="https://www.flashscore.com/search/?q=dario-naamo" TargetMode="External" Id="rId819" /><Relationship Type="http://schemas.openxmlformats.org/officeDocument/2006/relationships/hyperlink" Target="https://www.flashscore.com/search/?q=amir-al-ammari" TargetMode="External" Id="rId820" /><Relationship Type="http://schemas.openxmlformats.org/officeDocument/2006/relationships/hyperlink" Target="https://www.flashscore.com/search/?q=ahmed-qasem" TargetMode="External" Id="rId821" /><Relationship Type="http://schemas.openxmlformats.org/officeDocument/2006/relationships/hyperlink" Target="https://www.fotmob.com/search?q=zidane-iqbal" TargetMode="External" Id="rId822" /><Relationship Type="http://schemas.openxmlformats.org/officeDocument/2006/relationships/hyperlink" Target="https://www.flashscore.com/search/?q=kevin-yakob" TargetMode="External" Id="rId823" /><Relationship Type="http://schemas.openxmlformats.org/officeDocument/2006/relationships/hyperlink" Target="https://www.flashscore.com/search/?q=aimar-sher" TargetMode="External" Id="rId824" /><Relationship Type="http://schemas.openxmlformats.org/officeDocument/2006/relationships/hyperlink" Target="https://www.flashscore.com/search/?q=marko-farji" TargetMode="External" Id="rId825" /><Relationship Type="http://schemas.openxmlformats.org/officeDocument/2006/relationships/hyperlink" Target="https://www.flashscore.com/search/?q=zaid-ismail" TargetMode="External" Id="rId826" /><Relationship Type="http://schemas.openxmlformats.org/officeDocument/2006/relationships/hyperlink" Target="https://www.flashscore.com/search/?q=jussef-nasrawe" TargetMode="External" Id="rId827" /><Relationship Type="http://schemas.openxmlformats.org/officeDocument/2006/relationships/hyperlink" Target="https://fbref.com/en/search/search.fcgi?search=ali-al-hamadi" TargetMode="External" Id="rId828" /><Relationship Type="http://schemas.openxmlformats.org/officeDocument/2006/relationships/hyperlink" Target="https://www.flashscore.com/search/?q=ali-jasim" TargetMode="External" Id="rId829" /><Relationship Type="http://schemas.openxmlformats.org/officeDocument/2006/relationships/hyperlink" Target="https://www.flashscore.com/search/?q=ali-yousif" TargetMode="External" Id="rId830" /><Relationship Type="http://schemas.openxmlformats.org/officeDocument/2006/relationships/hyperlink" Target="https://www.flashscore.com/search/?q=mohanad-ali" TargetMode="External" Id="rId831" /><Relationship Type="http://schemas.openxmlformats.org/officeDocument/2006/relationships/hyperlink" Target="https://www.flashscore.com/search/?q=hasan-abdulkareem" TargetMode="External" Id="rId832" /><Relationship Type="http://schemas.openxmlformats.org/officeDocument/2006/relationships/hyperlink" Target="https://www.flashscore.com/search/?q=ayman-hussein" TargetMode="External" Id="rId833" /><Relationship Type="http://schemas.openxmlformats.org/officeDocument/2006/relationships/hyperlink" Target="https://www.flashscore.com/search/?q=ibrahim-bayesh" TargetMode="External" Id="rId834" /><Relationship Type="http://schemas.openxmlformats.org/officeDocument/2006/relationships/hyperlink" Target="https://www.flashscore.com/search/?q=youssef-amyn" TargetMode="External" Id="rId835" /><Relationship Type="http://schemas.openxmlformats.org/officeDocument/2006/relationships/hyperlink" Target="https://www.flashscore.com/search/?q=karar-nabeel" TargetMode="External" Id="rId836" /><Relationship Type="http://schemas.openxmlformats.org/officeDocument/2006/relationships/hyperlink" Target="https://www.flashscore.com/search/?q=peter-gwargis" TargetMode="External" Id="rId837" /><Relationship Type="http://schemas.openxmlformats.org/officeDocument/2006/relationships/hyperlink" Target="https://theanalyst.com/players/4782/zion-suzuki" TargetMode="External" Id="rId838" /><Relationship Type="http://schemas.openxmlformats.org/officeDocument/2006/relationships/hyperlink" Target="https://www.flashscore.com/search/?q=keisuke-osako" TargetMode="External" Id="rId839" /><Relationship Type="http://schemas.openxmlformats.org/officeDocument/2006/relationships/hyperlink" Target="https://www.flashscore.com/search/?q=tomoki-hayakawa" TargetMode="External" Id="rId840" /><Relationship Type="http://schemas.openxmlformats.org/officeDocument/2006/relationships/hyperlink" Target="https://theanalyst.com/players/4266/yukinari-sugawara" TargetMode="External" Id="rId841" /><Relationship Type="http://schemas.openxmlformats.org/officeDocument/2006/relationships/hyperlink" Target="https://www.fotmob.com/search?q=takehiro-tomiyasu" TargetMode="External" Id="rId842" /><Relationship Type="http://schemas.openxmlformats.org/officeDocument/2006/relationships/hyperlink" Target="https://www.flashscore.com/search/?q=shogo-taniguchi" TargetMode="External" Id="rId843" /><Relationship Type="http://schemas.openxmlformats.org/officeDocument/2006/relationships/hyperlink" Target="https://www.fotmob.com/search?q=ko-itakura" TargetMode="External" Id="rId844" /><Relationship Type="http://schemas.openxmlformats.org/officeDocument/2006/relationships/hyperlink" Target="https://www.fotmob.com/search?q=tsuyoshi-watanabe" TargetMode="External" Id="rId845" /><Relationship Type="http://schemas.openxmlformats.org/officeDocument/2006/relationships/hyperlink" Target="https://theanalyst.com/players/278/hiroki-ito" TargetMode="External" Id="rId846" /><Relationship Type="http://schemas.openxmlformats.org/officeDocument/2006/relationships/hyperlink" Target="https://www.flashscore.com/search/?q=junnosuke-suzuki" TargetMode="External" Id="rId847" /><Relationship Type="http://schemas.openxmlformats.org/officeDocument/2006/relationships/hyperlink" Target="https://www.flashscore.com/search/?q=yuto-nagatomo" TargetMode="External" Id="rId848" /><Relationship Type="http://schemas.openxmlformats.org/officeDocument/2006/relationships/hyperlink" Target="https://theanalyst.com/players/4093/wataru-endo" TargetMode="External" Id="rId849" /><Relationship Type="http://schemas.openxmlformats.org/officeDocument/2006/relationships/hyperlink" Target="https://www.flashscore.com/search/?q=ayumu-seko" TargetMode="External" Id="rId850" /><Relationship Type="http://schemas.openxmlformats.org/officeDocument/2006/relationships/hyperlink" Target="https://theanalyst.com/players/74/kaishu-sano" TargetMode="External" Id="rId851" /><Relationship Type="http://schemas.openxmlformats.org/officeDocument/2006/relationships/hyperlink" Target="https://theanalyst.com/players/816/ao-tanaka" TargetMode="External" Id="rId852" /><Relationship Type="http://schemas.openxmlformats.org/officeDocument/2006/relationships/hyperlink" Target="https://theanalyst.com/players/3962/daichi-kamada" TargetMode="External" Id="rId853" /><Relationship Type="http://schemas.openxmlformats.org/officeDocument/2006/relationships/hyperlink" Target="https://theanalyst.com/players/1655/takefusa-kubo" TargetMode="External" Id="rId854" /><Relationship Type="http://schemas.openxmlformats.org/officeDocument/2006/relationships/hyperlink" Target="https://www.bundesliga.com/en/player/ritsu-doan" TargetMode="External" Id="rId855" /><Relationship Type="http://schemas.openxmlformats.org/officeDocument/2006/relationships/hyperlink" Target="https://www.flashscore.com/search/?q=junya-ito" TargetMode="External" Id="rId856" /><Relationship Type="http://schemas.openxmlformats.org/officeDocument/2006/relationships/hyperlink" Target="https://www.fotmob.com/search?q=yuito-suzuki" TargetMode="External" Id="rId857" /><Relationship Type="http://schemas.openxmlformats.org/officeDocument/2006/relationships/hyperlink" Target="https://www.flashscore.com/search/?q=keisuke-goto" TargetMode="External" Id="rId858" /><Relationship Type="http://schemas.openxmlformats.org/officeDocument/2006/relationships/hyperlink" Target="https://www.fotmob.com/players/942393/ayase-ueda" TargetMode="External" Id="rId859" /><Relationship Type="http://schemas.openxmlformats.org/officeDocument/2006/relationships/hyperlink" Target="https://www.fotmob.com/players/727837/koki-ogawa" TargetMode="External" Id="rId860" /><Relationship Type="http://schemas.openxmlformats.org/officeDocument/2006/relationships/hyperlink" Target="https://www.fotmob.com/search?q=kento-shiogai" TargetMode="External" Id="rId861" /><Relationship Type="http://schemas.openxmlformats.org/officeDocument/2006/relationships/hyperlink" Target="https://footystats.org/players/japan/daizen-maeda" TargetMode="External" Id="rId862" /><Relationship Type="http://schemas.openxmlformats.org/officeDocument/2006/relationships/hyperlink" Target="https://www.flashscore.com/search/?q=keito-nakamura" TargetMode="External" Id="rId863" /><Relationship Type="http://schemas.openxmlformats.org/officeDocument/2006/relationships/hyperlink" Target="https://www.fotmob.com/players/312256/yassine-bounou" TargetMode="External" Id="rId864" /><Relationship Type="http://schemas.openxmlformats.org/officeDocument/2006/relationships/hyperlink" Target="https://www.flashscore.com/search/?q=munir-mohamedi" TargetMode="External" Id="rId865" /><Relationship Type="http://schemas.openxmlformats.org/officeDocument/2006/relationships/hyperlink" Target="https://www.flashscore.com/search/?q=reda-tagnaouti" TargetMode="External" Id="rId866" /><Relationship Type="http://schemas.openxmlformats.org/officeDocument/2006/relationships/hyperlink" Target="https://theanalyst.com/players/3528/achraf-hakimi" TargetMode="External" Id="rId867" /><Relationship Type="http://schemas.openxmlformats.org/officeDocument/2006/relationships/hyperlink" Target="https://theanalyst.com/players/4165/noussair-mazraoui" TargetMode="External" Id="rId868" /><Relationship Type="http://schemas.openxmlformats.org/officeDocument/2006/relationships/hyperlink" Target="https://www.flashscore.com/search/?q=zakaria-el-ouahdi" TargetMode="External" Id="rId869" /><Relationship Type="http://schemas.openxmlformats.org/officeDocument/2006/relationships/hyperlink" Target="https://theanalyst.com/players/1660/nayef-aguerd" TargetMode="External" Id="rId870" /><Relationship Type="http://schemas.openxmlformats.org/officeDocument/2006/relationships/hyperlink" Target="https://footystats.org/players/france/issa-diop" TargetMode="External" Id="rId871" /><Relationship Type="http://schemas.openxmlformats.org/officeDocument/2006/relationships/hyperlink" Target="https://www.fotmob.com/players/1295764/chadi-riad" TargetMode="External" Id="rId872" /><Relationship Type="http://schemas.openxmlformats.org/officeDocument/2006/relationships/hyperlink" Target="https://www.flashscore.com/search/?q=redouane-halhal" TargetMode="External" Id="rId873" /><Relationship Type="http://schemas.openxmlformats.org/officeDocument/2006/relationships/hyperlink" Target="https://fbref.com/en/search/search.fcgi?search=youssef-belammari" TargetMode="External" Id="rId874" /><Relationship Type="http://schemas.openxmlformats.org/officeDocument/2006/relationships/hyperlink" Target="https://www.fotmob.com/players/1231016/anass-salah-eddine" TargetMode="External" Id="rId875" /><Relationship Type="http://schemas.openxmlformats.org/officeDocument/2006/relationships/hyperlink" Target="https://theanalyst.com/players/6348/sofyan-amrabat" TargetMode="External" Id="rId876" /><Relationship Type="http://schemas.openxmlformats.org/officeDocument/2006/relationships/hyperlink" Target="https://www.flashscore.com/search/?q=ayyoub-bouaddi" TargetMode="External" Id="rId877" /><Relationship Type="http://schemas.openxmlformats.org/officeDocument/2006/relationships/hyperlink" Target="https://www.flashscore.com/search/?q=azzedine-ounahi" TargetMode="External" Id="rId878" /><Relationship Type="http://schemas.openxmlformats.org/officeDocument/2006/relationships/hyperlink" Target="https://www.flashscore.com/search/?q=samir-el-mourabet" TargetMode="External" Id="rId879" /><Relationship Type="http://schemas.openxmlformats.org/officeDocument/2006/relationships/hyperlink" Target="https://www.flashscore.com/search/?q=neil-el-aynaoui" TargetMode="External" Id="rId880" /><Relationship Type="http://schemas.openxmlformats.org/officeDocument/2006/relationships/hyperlink" Target="https://www.fotmob.com/players/1202298/ismael-saibari" TargetMode="External" Id="rId881" /><Relationship Type="http://schemas.openxmlformats.org/officeDocument/2006/relationships/hyperlink" Target="https://www.fotmob.com/search?q=bilal-el-khannouss" TargetMode="External" Id="rId882" /><Relationship Type="http://schemas.openxmlformats.org/officeDocument/2006/relationships/hyperlink" Target="https://fbref.com/en/search/search.fcgi?search=chemsdine-talbi" TargetMode="External" Id="rId883" /><Relationship Type="http://schemas.openxmlformats.org/officeDocument/2006/relationships/hyperlink" Target="https://theanalyst.com/players/1627/brahim-diaz" TargetMode="External" Id="rId884" /><Relationship Type="http://schemas.openxmlformats.org/officeDocument/2006/relationships/hyperlink" Target="https://www.flashscore.com/search/?q=gessime-yassine" TargetMode="External" Id="rId885" /><Relationship Type="http://schemas.openxmlformats.org/officeDocument/2006/relationships/hyperlink" Target="https://www.flashscore.com/search/?q=ayoub-kaabi" TargetMode="External" Id="rId886" /><Relationship Type="http://schemas.openxmlformats.org/officeDocument/2006/relationships/hyperlink" Target="https://www.flashscore.com/search/?q=soufiane-rahimi" TargetMode="External" Id="rId887" /><Relationship Type="http://schemas.openxmlformats.org/officeDocument/2006/relationships/hyperlink" Target="https://www.flashscore.com/search/?q=abde-ezzalzouli" TargetMode="External" Id="rId888" /><Relationship Type="http://schemas.openxmlformats.org/officeDocument/2006/relationships/hyperlink" Target="https://www.fotmob.com/search?q=amaimouni-echghouyab" TargetMode="External" Id="rId889" /><Relationship Type="http://schemas.openxmlformats.org/officeDocument/2006/relationships/hyperlink" Target="https://www.flashscore.com/search/?q=jose-rangel" TargetMode="External" Id="rId890" /><Relationship Type="http://schemas.openxmlformats.org/officeDocument/2006/relationships/hyperlink" Target="https://www.flashscore.com/search/?q=carlos-acevedo" TargetMode="External" Id="rId891" /><Relationship Type="http://schemas.openxmlformats.org/officeDocument/2006/relationships/hyperlink" Target="https://www.flashscore.com/search/?q=guillermo-ochoa" TargetMode="External" Id="rId892" /><Relationship Type="http://schemas.openxmlformats.org/officeDocument/2006/relationships/hyperlink" Target="https://www.flashscore.com/search/?q=jorge-sanchez" TargetMode="External" Id="rId893" /><Relationship Type="http://schemas.openxmlformats.org/officeDocument/2006/relationships/hyperlink" Target="https://www.flashscore.com/search/?q=israel-reyes" TargetMode="External" Id="rId894" /><Relationship Type="http://schemas.openxmlformats.org/officeDocument/2006/relationships/hyperlink" Target="https://fbref.com/en/search/search.fcgi?search=cesar-montes" TargetMode="External" Id="rId895" /><Relationship Type="http://schemas.openxmlformats.org/officeDocument/2006/relationships/hyperlink" Target="https://www.fotmob.com/players/914103/johan-vasquez" TargetMode="External" Id="rId896" /><Relationship Type="http://schemas.openxmlformats.org/officeDocument/2006/relationships/hyperlink" Target="https://www.fotmob.com/search?q=mateo-chavez" TargetMode="External" Id="rId897" /><Relationship Type="http://schemas.openxmlformats.org/officeDocument/2006/relationships/hyperlink" Target="https://www.flashscore.com/search/?q=jesus-gallardo" TargetMode="External" Id="rId898" /><Relationship Type="http://schemas.openxmlformats.org/officeDocument/2006/relationships/hyperlink" Target="https://fbref.com/en/players/8b3ab7ad/Edson-Alvarez" TargetMode="External" Id="rId899" /><Relationship Type="http://schemas.openxmlformats.org/officeDocument/2006/relationships/hyperlink" Target="https://www.flashscore.com/search/?q=erik-lira" TargetMode="External" Id="rId900" /><Relationship Type="http://schemas.openxmlformats.org/officeDocument/2006/relationships/hyperlink" Target="https://fbref.com/en/search/search.fcgi?search=luis-chavez" TargetMode="External" Id="rId901" /><Relationship Type="http://schemas.openxmlformats.org/officeDocument/2006/relationships/hyperlink" Target="https://www.flashscore.com/search/?q=luis-romo" TargetMode="External" Id="rId902" /><Relationship Type="http://schemas.openxmlformats.org/officeDocument/2006/relationships/hyperlink" Target="https://www.flashscore.com/search/?q=alvaro-fidalgo" TargetMode="External" Id="rId903" /><Relationship Type="http://schemas.openxmlformats.org/officeDocument/2006/relationships/hyperlink" Target="https://www.flashscore.com/search/?q=orbelin-pineda" TargetMode="External" Id="rId904" /><Relationship Type="http://schemas.openxmlformats.org/officeDocument/2006/relationships/hyperlink" Target="https://www.flashscore.com/search/?q=obed-vargas" TargetMode="External" Id="rId905" /><Relationship Type="http://schemas.openxmlformats.org/officeDocument/2006/relationships/hyperlink" Target="https://www.flashscore.com/search/?q=gilberto-mora" TargetMode="External" Id="rId906" /><Relationship Type="http://schemas.openxmlformats.org/officeDocument/2006/relationships/hyperlink" Target="https://www.flashscore.com/search/?q=roberto-alvarado" TargetMode="External" Id="rId907" /><Relationship Type="http://schemas.openxmlformats.org/officeDocument/2006/relationships/hyperlink" Target="https://theanalyst.com/players/4007/raul-jimenez" TargetMode="External" Id="rId908" /><Relationship Type="http://schemas.openxmlformats.org/officeDocument/2006/relationships/hyperlink" Target="https://theanalyst.com/players/5636/santiago-gimenez" TargetMode="External" Id="rId909" /><Relationship Type="http://schemas.openxmlformats.org/officeDocument/2006/relationships/hyperlink" Target="https://www.flashscore.com/search/?q=armando-gonzalez" TargetMode="External" Id="rId910" /><Relationship Type="http://schemas.openxmlformats.org/officeDocument/2006/relationships/hyperlink" Target="https://www.flashscore.com/search/?q=julian-quinones" TargetMode="External" Id="rId911" /><Relationship Type="http://schemas.openxmlformats.org/officeDocument/2006/relationships/hyperlink" Target="https://www.flashscore.com/search/?q=guillermo-martinez" TargetMode="External" Id="rId912" /><Relationship Type="http://schemas.openxmlformats.org/officeDocument/2006/relationships/hyperlink" Target="https://www.flashscore.com/search/?q=alexis-vega" TargetMode="External" Id="rId913" /><Relationship Type="http://schemas.openxmlformats.org/officeDocument/2006/relationships/hyperlink" Target="https://www.flashscore.com/search/?q=cesar-huerta" TargetMode="External" Id="rId914" /><Relationship Type="http://schemas.openxmlformats.org/officeDocument/2006/relationships/hyperlink" Target="https://www.flashscore.com/search/?q=brian-gutierrez" TargetMode="External" Id="rId915" /><Relationship Type="http://schemas.openxmlformats.org/officeDocument/2006/relationships/hyperlink" Target="https://theanalyst.com/players/1794/orjan-nyland" TargetMode="External" Id="rId916" /><Relationship Type="http://schemas.openxmlformats.org/officeDocument/2006/relationships/hyperlink" Target="https://www.fotmob.com/search?q=sander-tangvik" TargetMode="External" Id="rId917" /><Relationship Type="http://schemas.openxmlformats.org/officeDocument/2006/relationships/hyperlink" Target="https://fbref.com/en/search/search.fcgi?search=egil-selvik" TargetMode="External" Id="rId918" /><Relationship Type="http://schemas.openxmlformats.org/officeDocument/2006/relationships/hyperlink" Target="https://www.flashscore.com/search/?q=marcus-pedersen" TargetMode="External" Id="rId919" /><Relationship Type="http://schemas.openxmlformats.org/officeDocument/2006/relationships/hyperlink" Target="https://www.fotmob.com/search?q=julian-ryerson" TargetMode="External" Id="rId920" /><Relationship Type="http://schemas.openxmlformats.org/officeDocument/2006/relationships/hyperlink" Target="https://www.statmuse.com/fc/ask/kristoffer-ajer-stats-this-season" TargetMode="External" Id="rId921" /><Relationship Type="http://schemas.openxmlformats.org/officeDocument/2006/relationships/hyperlink" Target="https://www.flashscore.com/search/?q=leo-ostigard" TargetMode="External" Id="rId922" /><Relationship Type="http://schemas.openxmlformats.org/officeDocument/2006/relationships/hyperlink" Target="https://www.flashscore.com/search/?q=torbjorn-heggem" TargetMode="External" Id="rId923" /><Relationship Type="http://schemas.openxmlformats.org/officeDocument/2006/relationships/hyperlink" Target="https://fbref.com/en/search/search.fcgi?search=sondre-langas" TargetMode="External" Id="rId924" /><Relationship Type="http://schemas.openxmlformats.org/officeDocument/2006/relationships/hyperlink" Target="https://www.flashscore.com/search/?q=henrik-falchener" TargetMode="External" Id="rId925" /><Relationship Type="http://schemas.openxmlformats.org/officeDocument/2006/relationships/hyperlink" Target="https://fbref.com/en/search/search.fcgi?search=david-wolfe" TargetMode="External" Id="rId926" /><Relationship Type="http://schemas.openxmlformats.org/officeDocument/2006/relationships/hyperlink" Target="https://www.flashscore.com/search/?q=fredrik-bjorkan" TargetMode="External" Id="rId927" /><Relationship Type="http://schemas.openxmlformats.org/officeDocument/2006/relationships/hyperlink" Target="https://www.flashscore.com/search/?q=morten-thorsby" TargetMode="External" Id="rId928" /><Relationship Type="http://schemas.openxmlformats.org/officeDocument/2006/relationships/hyperlink" Target="https://www.flashscore.com/search/?q=patrick-berg" TargetMode="External" Id="rId929" /><Relationship Type="http://schemas.openxmlformats.org/officeDocument/2006/relationships/hyperlink" Target="https://fbref.com/en/search/search.fcgi?search=sander-berge" TargetMode="External" Id="rId930" /><Relationship Type="http://schemas.openxmlformats.org/officeDocument/2006/relationships/hyperlink" Target="https://www.fotmob.com/pt-PT/players/310768/fredrik-aursnes" TargetMode="External" Id="rId931" /><Relationship Type="http://schemas.openxmlformats.org/officeDocument/2006/relationships/hyperlink" Target="https://theanalyst.com/players/3782/martin-odegaard" TargetMode="External" Id="rId932" /><Relationship Type="http://schemas.openxmlformats.org/officeDocument/2006/relationships/hyperlink" Target="https://www.flashscore.com/search/?q=kristian-thorstvedt" TargetMode="External" Id="rId933" /><Relationship Type="http://schemas.openxmlformats.org/officeDocument/2006/relationships/hyperlink" Target="https://www.flashscore.com/search/?q=thelo-aasgaard" TargetMode="External" Id="rId934" /><Relationship Type="http://schemas.openxmlformats.org/officeDocument/2006/relationships/hyperlink" Target="https://fbref.com/en/search/search.fcgi?search=oscar-bobb" TargetMode="External" Id="rId935" /><Relationship Type="http://schemas.openxmlformats.org/officeDocument/2006/relationships/hyperlink" Target="https://theanalyst.com/players/1325/alexander-sorloth" TargetMode="External" Id="rId936" /><Relationship Type="http://schemas.openxmlformats.org/officeDocument/2006/relationships/hyperlink" Target="https://theanalyst.com/players/4137/erling-haaland" TargetMode="External" Id="rId937" /><Relationship Type="http://schemas.openxmlformats.org/officeDocument/2006/relationships/hyperlink" Target="https://www.fotmob.com/players/959695/jorgen-strand-larsen" TargetMode="External" Id="rId938" /><Relationship Type="http://schemas.openxmlformats.org/officeDocument/2006/relationships/hyperlink" Target="https://theanalyst.com/players/384/antonio-nusa" TargetMode="External" Id="rId939" /><Relationship Type="http://schemas.openxmlformats.org/officeDocument/2006/relationships/hyperlink" Target="https://www.zerozero.pt/search.php?inputString=andreas-schjelderup" TargetMode="External" Id="rId940" /><Relationship Type="http://schemas.openxmlformats.org/officeDocument/2006/relationships/hyperlink" Target="https://www.flashscore.com/search/?q=jens-petter-hauge" TargetMode="External" Id="rId941" /><Relationship Type="http://schemas.openxmlformats.org/officeDocument/2006/relationships/hyperlink" Target="https://fbref.com/en/search/search.fcgi?search=max-crocombe" TargetMode="External" Id="rId942" /><Relationship Type="http://schemas.openxmlformats.org/officeDocument/2006/relationships/hyperlink" Target="https://www.flashscore.com/search/?q=alex-paulsen" TargetMode="External" Id="rId943" /><Relationship Type="http://schemas.openxmlformats.org/officeDocument/2006/relationships/hyperlink" Target="https://www.flashscore.com/search/?q=michael-woud" TargetMode="External" Id="rId944" /><Relationship Type="http://schemas.openxmlformats.org/officeDocument/2006/relationships/hyperlink" Target="https://www.flashscore.com/search/?q=tim-payne" TargetMode="External" Id="rId945" /><Relationship Type="http://schemas.openxmlformats.org/officeDocument/2006/relationships/hyperlink" Target="https://www.flashscore.com/search/?q=callan-elliot" TargetMode="External" Id="rId946" /><Relationship Type="http://schemas.openxmlformats.org/officeDocument/2006/relationships/hyperlink" Target="https://fbref.com/en/search/search.fcgi?search=tyler-bindon" TargetMode="External" Id="rId947" /><Relationship Type="http://schemas.openxmlformats.org/officeDocument/2006/relationships/hyperlink" Target="https://www.flashscore.com/search/?q=michael-boxall" TargetMode="External" Id="rId948" /><Relationship Type="http://schemas.openxmlformats.org/officeDocument/2006/relationships/hyperlink" Target="https://www.flashscore.com/search/?q=nando-pijnaker" TargetMode="External" Id="rId949" /><Relationship Type="http://schemas.openxmlformats.org/officeDocument/2006/relationships/hyperlink" Target="https://www.flashscore.com/search/?q=finn-surman" TargetMode="External" Id="rId950" /><Relationship Type="http://schemas.openxmlformats.org/officeDocument/2006/relationships/hyperlink" Target="https://www.flashscore.com/search/?q=tommy-smith" TargetMode="External" Id="rId951" /><Relationship Type="http://schemas.openxmlformats.org/officeDocument/2006/relationships/hyperlink" Target="https://www.flashscore.com/search/?q=francis-de-vries" TargetMode="External" Id="rId952" /><Relationship Type="http://schemas.openxmlformats.org/officeDocument/2006/relationships/hyperlink" Target="https://fbref.com/en/search/search.fcgi?search=liberato-cacace" TargetMode="External" Id="rId953" /><Relationship Type="http://schemas.openxmlformats.org/officeDocument/2006/relationships/hyperlink" Target="https://www.flashscore.com/search/?q=joe-bell" TargetMode="External" Id="rId954" /><Relationship Type="http://schemas.openxmlformats.org/officeDocument/2006/relationships/hyperlink" Target="https://fbref.com/en/search/search.fcgi?search=marko-stamenic" TargetMode="External" Id="rId955" /><Relationship Type="http://schemas.openxmlformats.org/officeDocument/2006/relationships/hyperlink" Target="https://www.flashscore.com/search/?q=alex-rufer" TargetMode="External" Id="rId956" /><Relationship Type="http://schemas.openxmlformats.org/officeDocument/2006/relationships/hyperlink" Target="https://www.fotmob.com/search?q=ryan-thomas" TargetMode="External" Id="rId957" /><Relationship Type="http://schemas.openxmlformats.org/officeDocument/2006/relationships/hyperlink" Target="https://www.flashscore.com/search/?q=lachlan-bayliss" TargetMode="External" Id="rId958" /><Relationship Type="http://schemas.openxmlformats.org/officeDocument/2006/relationships/hyperlink" Target="https://fbref.com/en/search/search.fcgi?search=matthew-garbett" TargetMode="External" Id="rId959" /><Relationship Type="http://schemas.openxmlformats.org/officeDocument/2006/relationships/hyperlink" Target="https://www.flashscore.com/search/?q=sarpreet-singh" TargetMode="External" Id="rId960" /><Relationship Type="http://schemas.openxmlformats.org/officeDocument/2006/relationships/hyperlink" Target="https://www.flashscore.com/search/?q=elijah-just" TargetMode="External" Id="rId961" /><Relationship Type="http://schemas.openxmlformats.org/officeDocument/2006/relationships/hyperlink" Target="https://www.flashscore.com/search/?q=ben-old" TargetMode="External" Id="rId962" /><Relationship Type="http://schemas.openxmlformats.org/officeDocument/2006/relationships/hyperlink" Target="https://www.flashscore.com/search/?q=callum-mccowatt" TargetMode="External" Id="rId963" /><Relationship Type="http://schemas.openxmlformats.org/officeDocument/2006/relationships/hyperlink" Target="https://fbref.com/en/search/search.fcgi?search=chris-wood" TargetMode="External" Id="rId964" /><Relationship Type="http://schemas.openxmlformats.org/officeDocument/2006/relationships/hyperlink" Target="https://www.flashscore.com/search/?q=kosta-barbarouses" TargetMode="External" Id="rId965" /><Relationship Type="http://schemas.openxmlformats.org/officeDocument/2006/relationships/hyperlink" Target="https://fbref.com/en/search/search.fcgi?search=ben-waine" TargetMode="External" Id="rId966" /><Relationship Type="http://schemas.openxmlformats.org/officeDocument/2006/relationships/hyperlink" Target="https://www.flashscore.com/search/?q=jesse-randall" TargetMode="External" Id="rId967" /><Relationship Type="http://schemas.openxmlformats.org/officeDocument/2006/relationships/hyperlink" Target="https://www.statmuse.com/fc/ask?q=verbruggen+stats+25%2F26+season" TargetMode="External" Id="rId968" /><Relationship Type="http://schemas.openxmlformats.org/officeDocument/2006/relationships/hyperlink" Target="https://www.statmuse.com/fc/ask/robin-roefs-stats-this-season" TargetMode="External" Id="rId969" /><Relationship Type="http://schemas.openxmlformats.org/officeDocument/2006/relationships/hyperlink" Target="https://theanalyst.com/players/4324/micky-van-de-ven" TargetMode="External" Id="rId970" /><Relationship Type="http://schemas.openxmlformats.org/officeDocument/2006/relationships/hyperlink" Target="https://theanalyst.com/players/4095/virgil-van-dijk" TargetMode="External" Id="rId971" /><Relationship Type="http://schemas.openxmlformats.org/officeDocument/2006/relationships/hyperlink" Target="https://theanalyst.com/players/4722/stefan-de-vrij" TargetMode="External" Id="rId972" /><Relationship Type="http://schemas.openxmlformats.org/officeDocument/2006/relationships/hyperlink" Target="https://theanalyst.com/players/277/matthijs-de-ligt" TargetMode="External" Id="rId973" /><Relationship Type="http://schemas.openxmlformats.org/officeDocument/2006/relationships/hyperlink" Target="https://theanalyst.com/players/4132/nathan-ake" TargetMode="External" Id="rId974" /><Relationship Type="http://schemas.openxmlformats.org/officeDocument/2006/relationships/hyperlink" Target="https://fbref.com/en/search/search.fcgi?search=jan-paul-van-hecke" TargetMode="External" Id="rId975" /><Relationship Type="http://schemas.openxmlformats.org/officeDocument/2006/relationships/hyperlink" Target="https://theanalyst.com/players/4062/jurrien-timber" TargetMode="External" Id="rId976" /><Relationship Type="http://schemas.openxmlformats.org/officeDocument/2006/relationships/hyperlink" Target="https://www.flashscore.com/search/?q=denzel-dumfries" TargetMode="External" Id="rId977" /><Relationship Type="http://schemas.openxmlformats.org/officeDocument/2006/relationships/hyperlink" Target="https://fbref.com/en/search/search.fcgi?search=jorrel-hato" TargetMode="External" Id="rId978" /><Relationship Type="http://schemas.openxmlformats.org/officeDocument/2006/relationships/hyperlink" Target="https://theanalyst.com/players/3950/ryan-gravenberch" TargetMode="External" Id="rId979" /><Relationship Type="http://schemas.openxmlformats.org/officeDocument/2006/relationships/hyperlink" Target="https://theanalyst.com/players/4107/tijjani-reijnders" TargetMode="External" Id="rId980" /><Relationship Type="http://schemas.openxmlformats.org/officeDocument/2006/relationships/hyperlink" Target="https://fbref.com/en/search/search.fcgi?search=mats-wieffer" TargetMode="External" Id="rId981" /><Relationship Type="http://schemas.openxmlformats.org/officeDocument/2006/relationships/hyperlink" Target="https://www.fotmob.com/players/776685/tijjani-reijnders" TargetMode="External" Id="rId982" /><Relationship Type="http://schemas.openxmlformats.org/officeDocument/2006/relationships/hyperlink" Target="https://www.fotmob.com/players/461570/guus-til" TargetMode="External" Id="rId983" /><Relationship Type="http://schemas.openxmlformats.org/officeDocument/2006/relationships/hyperlink" Target="https://theanalyst.com/players/4270/xavi-simons" TargetMode="External" Id="rId984" /><Relationship Type="http://schemas.openxmlformats.org/officeDocument/2006/relationships/hyperlink" Target="https://theanalyst.com/players/4705/teun-koopmeiners" TargetMode="External" Id="rId985" /><Relationship Type="http://schemas.openxmlformats.org/officeDocument/2006/relationships/hyperlink" Target="https://www.flashscore.com/search/?q=quinten-timber" TargetMode="External" Id="rId986" /><Relationship Type="http://schemas.openxmlformats.org/officeDocument/2006/relationships/hyperlink" Target="https://theanalyst.com/players/4706/denzel-dumfries" TargetMode="External" Id="rId987" /><Relationship Type="http://schemas.openxmlformats.org/officeDocument/2006/relationships/hyperlink" Target="https://theanalyst.com/players/4170/cody-gakpo" TargetMode="External" Id="rId988" /><Relationship Type="http://schemas.openxmlformats.org/officeDocument/2006/relationships/hyperlink" Target="https://theanalyst.com/players/4217/justin-kluivert" TargetMode="External" Id="rId989" /><Relationship Type="http://schemas.openxmlformats.org/officeDocument/2006/relationships/hyperlink" Target="https://theanalyst.com/players/4058/brian-brobbey" TargetMode="External" Id="rId990" /><Relationship Type="http://schemas.openxmlformats.org/officeDocument/2006/relationships/hyperlink" Target="https://www.fotmob.com/players/950562/noa-lang" TargetMode="External" Id="rId991" /><Relationship Type="http://schemas.openxmlformats.org/officeDocument/2006/relationships/hyperlink" Target="https://theanalyst.com/players/1274/arnaut-danjuma" TargetMode="External" Id="rId992" /><Relationship Type="http://schemas.openxmlformats.org/officeDocument/2006/relationships/hyperlink" Target="https://fbref.com/en/search/search.fcgi?search=brian-brobbey" TargetMode="External" Id="rId993" /><Relationship Type="http://schemas.openxmlformats.org/officeDocument/2006/relationships/hyperlink" Target="https://fbref.com/en/search/search.fcgi?search=crys-summerville" TargetMode="External" Id="rId994" /><Relationship Type="http://schemas.openxmlformats.org/officeDocument/2006/relationships/hyperlink" Target="https://theanalyst.com/players/4324/micky-van-de-ven" TargetMode="External" Id="rId995" /><Relationship Type="http://schemas.openxmlformats.org/officeDocument/2006/relationships/hyperlink" Target="https://theanalyst.com/players/4095/virgil-van-dijk" TargetMode="External" Id="rId996" /><Relationship Type="http://schemas.openxmlformats.org/officeDocument/2006/relationships/hyperlink" Target="https://theanalyst.com/players/4722/stefan-de-vrij" TargetMode="External" Id="rId997" /><Relationship Type="http://schemas.openxmlformats.org/officeDocument/2006/relationships/hyperlink" Target="https://theanalyst.com/players/277/matthijs-de-ligt" TargetMode="External" Id="rId998" /><Relationship Type="http://schemas.openxmlformats.org/officeDocument/2006/relationships/hyperlink" Target="https://theanalyst.com/players/4132/nathan-ake" TargetMode="External" Id="rId999" /><Relationship Type="http://schemas.openxmlformats.org/officeDocument/2006/relationships/hyperlink" Target="https://fbref.com/en/search/search.fcgi?search=jan-paul-van-hecke" TargetMode="External" Id="rId1000" /><Relationship Type="http://schemas.openxmlformats.org/officeDocument/2006/relationships/hyperlink" Target="https://theanalyst.com/players/4062/jurrien-timber" TargetMode="External" Id="rId1001" /><Relationship Type="http://schemas.openxmlformats.org/officeDocument/2006/relationships/hyperlink" Target="https://www.flashscore.com/search/?q=denzel-dumfries" TargetMode="External" Id="rId1002" /><Relationship Type="http://schemas.openxmlformats.org/officeDocument/2006/relationships/hyperlink" Target="https://fbref.com/en/search/search.fcgi?search=jorrel-hato" TargetMode="External" Id="rId1003" /><Relationship Type="http://schemas.openxmlformats.org/officeDocument/2006/relationships/hyperlink" Target="https://theanalyst.com/players/3950/ryan-gravenberch" TargetMode="External" Id="rId1004" /><Relationship Type="http://schemas.openxmlformats.org/officeDocument/2006/relationships/hyperlink" Target="https://theanalyst.com/players/4107/tijjani-reijnders" TargetMode="External" Id="rId1005" /><Relationship Type="http://schemas.openxmlformats.org/officeDocument/2006/relationships/hyperlink" Target="https://fbref.com/en/search/search.fcgi?search=mats-wieffer" TargetMode="External" Id="rId1006" /><Relationship Type="http://schemas.openxmlformats.org/officeDocument/2006/relationships/hyperlink" Target="https://www.fotmob.com/players/776685/tijjani-reijnders" TargetMode="External" Id="rId1007" /><Relationship Type="http://schemas.openxmlformats.org/officeDocument/2006/relationships/hyperlink" Target="https://www.fotmob.com/players/461570/guus-til" TargetMode="External" Id="rId1008" /><Relationship Type="http://schemas.openxmlformats.org/officeDocument/2006/relationships/hyperlink" Target="https://theanalyst.com/players/4270/xavi-simons" TargetMode="External" Id="rId1009" /><Relationship Type="http://schemas.openxmlformats.org/officeDocument/2006/relationships/hyperlink" Target="https://theanalyst.com/players/4705/teun-koopmeiners" TargetMode="External" Id="rId1010" /><Relationship Type="http://schemas.openxmlformats.org/officeDocument/2006/relationships/hyperlink" Target="https://www.flashscore.com/search/?q=quinten-timber" TargetMode="External" Id="rId1011" /><Relationship Type="http://schemas.openxmlformats.org/officeDocument/2006/relationships/hyperlink" Target="https://theanalyst.com/players/4706/denzel-dumfries" TargetMode="External" Id="rId1012" /><Relationship Type="http://schemas.openxmlformats.org/officeDocument/2006/relationships/hyperlink" Target="https://theanalyst.com/players/4170/cody-gakpo" TargetMode="External" Id="rId1013" /><Relationship Type="http://schemas.openxmlformats.org/officeDocument/2006/relationships/hyperlink" Target="https://theanalyst.com/players/4217/justin-kluivert" TargetMode="External" Id="rId1014" /><Relationship Type="http://schemas.openxmlformats.org/officeDocument/2006/relationships/hyperlink" Target="https://theanalyst.com/players/4058/brian-brobbey" TargetMode="External" Id="rId1015" /><Relationship Type="http://schemas.openxmlformats.org/officeDocument/2006/relationships/hyperlink" Target="https://www.fotmob.com/players/950562/noa-lang" TargetMode="External" Id="rId1016" /><Relationship Type="http://schemas.openxmlformats.org/officeDocument/2006/relationships/hyperlink" Target="https://theanalyst.com/players/1274/arnaut-danjuma" TargetMode="External" Id="rId1017" /><Relationship Type="http://schemas.openxmlformats.org/officeDocument/2006/relationships/hyperlink" Target="https://fbref.com/en/search/search.fcgi?search=brian-brobbey" TargetMode="External" Id="rId1018" /><Relationship Type="http://schemas.openxmlformats.org/officeDocument/2006/relationships/hyperlink" Target="https://fbref.com/en/search/search.fcgi?search=crys-summerville" TargetMode="External" Id="rId1019" /><Relationship Type="http://schemas.openxmlformats.org/officeDocument/2006/relationships/hyperlink" Target="https://www.flashscore.com/search/?q=gatito-fernandez" TargetMode="External" Id="rId1020" /><Relationship Type="http://schemas.openxmlformats.org/officeDocument/2006/relationships/hyperlink" Target="https://www.flashscore.com/search/?q=orlando-gill" TargetMode="External" Id="rId1021" /><Relationship Type="http://schemas.openxmlformats.org/officeDocument/2006/relationships/hyperlink" Target="https://www.flashscore.com/search/?q=gaston-olveira" TargetMode="External" Id="rId1022" /><Relationship Type="http://schemas.openxmlformats.org/officeDocument/2006/relationships/hyperlink" Target="https://www.flashscore.com/search/?q=gustavo-velazquez" TargetMode="External" Id="rId1023" /><Relationship Type="http://schemas.openxmlformats.org/officeDocument/2006/relationships/hyperlink" Target="https://fbref.com/en/search/search.fcgi?search=juan-jose-caceres" TargetMode="External" Id="rId1024" /><Relationship Type="http://schemas.openxmlformats.org/officeDocument/2006/relationships/hyperlink" Target="https://fbref.com/en/search/search.fcgi?search=omar-alderete" TargetMode="External" Id="rId1025" /><Relationship Type="http://schemas.openxmlformats.org/officeDocument/2006/relationships/hyperlink" Target="https://www.flashscore.com/search/?q=fabian-balbuena" TargetMode="External" Id="rId1026" /><Relationship Type="http://schemas.openxmlformats.org/officeDocument/2006/relationships/hyperlink" Target="https://www.flashscore.com/search/?q=junior-alonso" TargetMode="External" Id="rId1027" /><Relationship Type="http://schemas.openxmlformats.org/officeDocument/2006/relationships/hyperlink" Target="https://www.flashscore.com/search/?q=jose-maria-canale" TargetMode="External" Id="rId1028" /><Relationship Type="http://schemas.openxmlformats.org/officeDocument/2006/relationships/hyperlink" Target="https://www.flashscore.com/search/?q=gustavo-gomez" TargetMode="External" Id="rId1029" /><Relationship Type="http://schemas.openxmlformats.org/officeDocument/2006/relationships/hyperlink" Target="https://www.flashscore.com/search/?q=alexandro-maidana" TargetMode="External" Id="rId1030" /><Relationship Type="http://schemas.openxmlformats.org/officeDocument/2006/relationships/hyperlink" Target="https://www.flashscore.com/search/?q=andres-cubas" TargetMode="External" Id="rId1031" /><Relationship Type="http://schemas.openxmlformats.org/officeDocument/2006/relationships/hyperlink" Target="https://www.flashscore.com/search/?q=damian-bobadilla" TargetMode="External" Id="rId1032" /><Relationship Type="http://schemas.openxmlformats.org/officeDocument/2006/relationships/hyperlink" Target="https://www.flashscore.com/search/?q=braian-ojeda" TargetMode="External" Id="rId1033" /><Relationship Type="http://schemas.openxmlformats.org/officeDocument/2006/relationships/hyperlink" Target="https://www.flashscore.com/search/?q=matias-galarza" TargetMode="External" Id="rId1034" /><Relationship Type="http://schemas.openxmlformats.org/officeDocument/2006/relationships/hyperlink" Target="https://fbref.com/en/search/search.fcgi?search=diego-gomez" TargetMode="External" Id="rId1035" /><Relationship Type="http://schemas.openxmlformats.org/officeDocument/2006/relationships/hyperlink" Target="https://www.flashscore.com/search/?q=mauricio" TargetMode="External" Id="rId1036" /><Relationship Type="http://schemas.openxmlformats.org/officeDocument/2006/relationships/hyperlink" Target="https://www.flashscore.com/search/?q=kaku-gamarra" TargetMode="External" Id="rId1037" /><Relationship Type="http://schemas.openxmlformats.org/officeDocument/2006/relationships/hyperlink" Target="https://www.flashscore.com/search/?q=miguel-almiron" TargetMode="External" Id="rId1038" /><Relationship Type="http://schemas.openxmlformats.org/officeDocument/2006/relationships/hyperlink" Target="https://www.flashscore.com/search/?q=tonny-sanabria" TargetMode="External" Id="rId1039" /><Relationship Type="http://schemas.openxmlformats.org/officeDocument/2006/relationships/hyperlink" Target="https://www.flashscore.com/search/?q=alex-arce" TargetMode="External" Id="rId1040" /><Relationship Type="http://schemas.openxmlformats.org/officeDocument/2006/relationships/hyperlink" Target="https://www.flashscore.com/search/?q=gabriel-avalos" TargetMode="External" Id="rId1041" /><Relationship Type="http://schemas.openxmlformats.org/officeDocument/2006/relationships/hyperlink" Target="https://www.flashscore.com/search/?q=isidro-pitta" TargetMode="External" Id="rId1042" /><Relationship Type="http://schemas.openxmlformats.org/officeDocument/2006/relationships/hyperlink" Target="https://www.flashscore.com/search/?q=ramon-sosa" TargetMode="External" Id="rId1043" /><Relationship Type="http://schemas.openxmlformats.org/officeDocument/2006/relationships/hyperlink" Target="https://www.flashscore.com/search/?q=julio-enciso" TargetMode="External" Id="rId1044" /><Relationship Type="http://schemas.openxmlformats.org/officeDocument/2006/relationships/hyperlink" Target="https://fbref.com/en/search/search.fcgi?search=gustavo-caballero" TargetMode="External" Id="rId1045" /><Relationship Type="http://schemas.openxmlformats.org/officeDocument/2006/relationships/hyperlink" Target="https://footystats.org/players/portugal/jose-diogo-dalot-teixeira" TargetMode="External" Id="rId1046" /><Relationship Type="http://schemas.openxmlformats.org/officeDocument/2006/relationships/hyperlink" Target="https://theanalyst.com/players/1663/joao-cancelo" TargetMode="External" Id="rId1047" /><Relationship Type="http://schemas.openxmlformats.org/officeDocument/2006/relationships/hyperlink" Target="https://theanalyst.com/players/3945/ruben-dias" TargetMode="External" Id="rId1048" /><Relationship Type="http://schemas.openxmlformats.org/officeDocument/2006/relationships/hyperlink" Target="https://www.zerozero.pt/search.php?inputString=rui-silva" TargetMode="External" Id="rId1049" /><Relationship Type="http://schemas.openxmlformats.org/officeDocument/2006/relationships/hyperlink" Target="https://www.flashscore.com/search/?q=nelson-semedo" TargetMode="External" Id="rId1050" /><Relationship Type="http://schemas.openxmlformats.org/officeDocument/2006/relationships/hyperlink" Target="https://theanalyst.com/players/4120/ruben-dias" TargetMode="External" Id="rId1051" /><Relationship Type="http://schemas.openxmlformats.org/officeDocument/2006/relationships/hyperlink" Target="https://theanalyst.com/players/3592/vitinha" TargetMode="External" Id="rId1052" /><Relationship Type="http://schemas.openxmlformats.org/officeDocument/2006/relationships/hyperlink" Target="https://www.zerozero.pt/search.php?inputString=tomas-araujo" TargetMode="External" Id="rId1053" /><Relationship Type="http://schemas.openxmlformats.org/officeDocument/2006/relationships/hyperlink" Target="https://footystats.org/players/portugal/antonio-silva" TargetMode="External" Id="rId1054" /><Relationship Type="http://schemas.openxmlformats.org/officeDocument/2006/relationships/hyperlink" Target="https://theanalyst.com/players/3625/nuno-mendes" TargetMode="External" Id="rId1055" /><Relationship Type="http://schemas.openxmlformats.org/officeDocument/2006/relationships/hyperlink" Target="https://theanalyst.com/players/4094/matheus-nunes" TargetMode="External" Id="rId1056" /><Relationship Type="http://schemas.openxmlformats.org/officeDocument/2006/relationships/hyperlink" Target="https://www.zerozero.pt/jogador/joao-neves/694901" TargetMode="External" Id="rId1057" /><Relationship Type="http://schemas.openxmlformats.org/officeDocument/2006/relationships/hyperlink" Target="https://www.flashscore.com/search/?q=nuno-mendes" TargetMode="External" Id="rId1058" /><Relationship Type="http://schemas.openxmlformats.org/officeDocument/2006/relationships/hyperlink" Target="https://www.zerozero.pt/search.php?inputString=rodrigo-mora" TargetMode="External" Id="rId1059" /><Relationship Type="http://schemas.openxmlformats.org/officeDocument/2006/relationships/hyperlink" Target="https://theanalyst.com/players/4163/bruno-fernandes" TargetMode="External" Id="rId1060" /><Relationship Type="http://schemas.openxmlformats.org/officeDocument/2006/relationships/hyperlink" Target="https://www.zerozero.pt/jogador/joao-palhinha/145526" TargetMode="External" Id="rId1061" /><Relationship Type="http://schemas.openxmlformats.org/officeDocument/2006/relationships/hyperlink" Target="https://www.fotmob.com/players/950561/matheus-nunes" TargetMode="External" Id="rId1062" /><Relationship Type="http://schemas.openxmlformats.org/officeDocument/2006/relationships/hyperlink" Target="https://theanalyst.com/players/4229/pedro-neto" TargetMode="External" Id="rId1063" /><Relationship Type="http://schemas.openxmlformats.org/officeDocument/2006/relationships/hyperlink" Target="https://fbref.com/en/search/search.fcgi?search=mateus-fernandes" TargetMode="External" Id="rId1064" /><Relationship Type="http://schemas.openxmlformats.org/officeDocument/2006/relationships/hyperlink" Target="https://theanalyst.com/players/3903/diogo-jota" TargetMode="External" Id="rId1065" /><Relationship Type="http://schemas.openxmlformats.org/officeDocument/2006/relationships/hyperlink" Target="https://www.fotmob.com/players/450541/ruben-neves" TargetMode="External" Id="rId1066" /><Relationship Type="http://schemas.openxmlformats.org/officeDocument/2006/relationships/hyperlink" Target="https://www.flashscore.com/search/?q=vitinha" TargetMode="External" Id="rId1067" /><Relationship Type="http://schemas.openxmlformats.org/officeDocument/2006/relationships/hyperlink" Target="https://theanalyst.com/players/115/rafael-leao" TargetMode="External" Id="rId1068" /><Relationship Type="http://schemas.openxmlformats.org/officeDocument/2006/relationships/hyperlink" Target="https://theanalyst.com/players/4219/fabio-silva" TargetMode="External" Id="rId1069" /><Relationship Type="http://schemas.openxmlformats.org/officeDocument/2006/relationships/hyperlink" Target="https://www.flashscore.com/search/?q=goncalo-guedes" TargetMode="External" Id="rId1070" /><Relationship Type="http://schemas.openxmlformats.org/officeDocument/2006/relationships/hyperlink" Target="https://theanalyst.com/players/4712/francisco-conceicao" TargetMode="External" Id="rId1071" /><Relationship Type="http://schemas.openxmlformats.org/officeDocument/2006/relationships/hyperlink" Target="https://theanalyst.com/players/4233/joao-felix" TargetMode="External" Id="rId1072" /><Relationship Type="http://schemas.openxmlformats.org/officeDocument/2006/relationships/hyperlink" Target="https://www.zerozero.pt/search.php?inputString=francisco-trincao" TargetMode="External" Id="rId1073" /><Relationship Type="http://schemas.openxmlformats.org/officeDocument/2006/relationships/hyperlink" Target="https://www.flashscore.com/search/?q=paulinho" TargetMode="External" Id="rId1074" /><Relationship Type="http://schemas.openxmlformats.org/officeDocument/2006/relationships/hyperlink" Target="https://theanalyst.com/players/4212/goncalo-ramos" TargetMode="External" Id="rId1075" /><Relationship Type="http://schemas.openxmlformats.org/officeDocument/2006/relationships/hyperlink" Target="https://theanalyst.com/players/261/rafael-leao" TargetMode="External" Id="rId1076" /><Relationship Type="http://schemas.openxmlformats.org/officeDocument/2006/relationships/hyperlink" Target="https://www.zerozero.pt/search.php?inputString=ricardo-horta" TargetMode="External" Id="rId1077" /><Relationship Type="http://schemas.openxmlformats.org/officeDocument/2006/relationships/hyperlink" Target="https://theanalyst.com/players/4736/tiago-djalo" TargetMode="External" Id="rId1078" /><Relationship Type="http://schemas.openxmlformats.org/officeDocument/2006/relationships/hyperlink" Target="https://www.flashscore.com/search/?q=lionel-mpasi" TargetMode="External" Id="rId1079" /><Relationship Type="http://schemas.openxmlformats.org/officeDocument/2006/relationships/hyperlink" Target="https://fbref.com/en/search/search.fcgi?search=timothy-fayulu" TargetMode="External" Id="rId1080" /><Relationship Type="http://schemas.openxmlformats.org/officeDocument/2006/relationships/hyperlink" Target="https://www.flashscore.com/search/?q=matthieu-epolo" TargetMode="External" Id="rId1081" /><Relationship Type="http://schemas.openxmlformats.org/officeDocument/2006/relationships/hyperlink" Target="https://theanalyst.com/players/3534/chancel-mbemba" TargetMode="External" Id="rId1082" /><Relationship Type="http://schemas.openxmlformats.org/officeDocument/2006/relationships/hyperlink" Target="https://theanalyst.com/players/3921/aaron-wan-bissaka" TargetMode="External" Id="rId1083" /><Relationship Type="http://schemas.openxmlformats.org/officeDocument/2006/relationships/hyperlink" Target="https://fbref.com/en/search/search.fcgi?search=axel-tuanzebe" TargetMode="External" Id="rId1084" /><Relationship Type="http://schemas.openxmlformats.org/officeDocument/2006/relationships/hyperlink" Target="https://www.flashscore.com/search/?q=dylan-batubinsika" TargetMode="External" Id="rId1085" /><Relationship Type="http://schemas.openxmlformats.org/officeDocument/2006/relationships/hyperlink" Target="https://www.flashscore.com/search/?q=joris-kayembe" TargetMode="External" Id="rId1086" /><Relationship Type="http://schemas.openxmlformats.org/officeDocument/2006/relationships/hyperlink" Target="https://www.flashscore.com/search/?q=chancel-mbemba" TargetMode="External" Id="rId1087" /><Relationship Type="http://schemas.openxmlformats.org/officeDocument/2006/relationships/hyperlink" Target="https://www.flashscore.com/search/?q=gedeon-kalulu" TargetMode="External" Id="rId1088" /><Relationship Type="http://schemas.openxmlformats.org/officeDocument/2006/relationships/hyperlink" Target="https://theanalyst.com/players/974/samuel-bastien" TargetMode="External" Id="rId1089" /><Relationship Type="http://schemas.openxmlformats.org/officeDocument/2006/relationships/hyperlink" Target="https://www.flashscore.com/search/?q=ngal-ayel-mukau" TargetMode="External" Id="rId1090" /><Relationship Type="http://schemas.openxmlformats.org/officeDocument/2006/relationships/hyperlink" Target="https://www.flashscore.com/search/?q=sam-moutoussamy" TargetMode="External" Id="rId1091" /><Relationship Type="http://schemas.openxmlformats.org/officeDocument/2006/relationships/hyperlink" Target="https://fbref.com/en/search/search.fcgi?search=noah-sadiki" TargetMode="External" Id="rId1092" /><Relationship Type="http://schemas.openxmlformats.org/officeDocument/2006/relationships/hyperlink" Target="https://www.flashscore.com/search/?q=aaron-tshibola" TargetMode="External" Id="rId1093" /><Relationship Type="http://schemas.openxmlformats.org/officeDocument/2006/relationships/hyperlink" Target="https://www.flashscore.com/search/?q=charles-pickel" TargetMode="External" Id="rId1094" /><Relationship Type="http://schemas.openxmlformats.org/officeDocument/2006/relationships/hyperlink" Target="https://fbref.com/en/search/search.fcgi?search=edo-kayembe" TargetMode="External" Id="rId1095" /><Relationship Type="http://schemas.openxmlformats.org/officeDocument/2006/relationships/hyperlink" Target="https://www.flashscore.com/search/?q=nathanael-mbuku" TargetMode="External" Id="rId1096" /><Relationship Type="http://schemas.openxmlformats.org/officeDocument/2006/relationships/hyperlink" Target="https://www.flashscore.com/search/?q=brian-cipenga" TargetMode="External" Id="rId1097" /><Relationship Type="http://schemas.openxmlformats.org/officeDocument/2006/relationships/hyperlink" Target="https://fbref.com/en/search/search.fcgi?search=theo-bongonda" TargetMode="External" Id="rId1098" /><Relationship Type="http://schemas.openxmlformats.org/officeDocument/2006/relationships/hyperlink" Target="https://www.flashscore.com/search/?q=gael-kakuta" TargetMode="External" Id="rId1099" /><Relationship Type="http://schemas.openxmlformats.org/officeDocument/2006/relationships/hyperlink" Target="https://www.flashscore.com/search/?q=meschack-elia" TargetMode="External" Id="rId1100" /><Relationship Type="http://schemas.openxmlformats.org/officeDocument/2006/relationships/hyperlink" Target="https://www.flashscore.com/search/?q=cedric-bakambu" TargetMode="External" Id="rId1101" /><Relationship Type="http://schemas.openxmlformats.org/officeDocument/2006/relationships/hyperlink" Target="https://fbref.com/en/search/search.fcgi?search=fiston-mayele" TargetMode="External" Id="rId1102" /><Relationship Type="http://schemas.openxmlformats.org/officeDocument/2006/relationships/hyperlink" Target="https://fbref.com/en/search/search.fcgi?search=yoane-wissa" TargetMode="External" Id="rId1103" /><Relationship Type="http://schemas.openxmlformats.org/officeDocument/2006/relationships/hyperlink" Target="https://www.flashscore.com/search/?q=simon-banza" TargetMode="External" Id="rId1104" /><Relationship Type="http://schemas.openxmlformats.org/officeDocument/2006/relationships/hyperlink" Target="https://www.flashscore.com/search/?q=yehvann-diouf" TargetMode="External" Id="rId1105" /><Relationship Type="http://schemas.openxmlformats.org/officeDocument/2006/relationships/hyperlink" Target="https://www.fotmob.com/players/477528/edouard-mendy" TargetMode="External" Id="rId1106" /><Relationship Type="http://schemas.openxmlformats.org/officeDocument/2006/relationships/hyperlink" Target="https://www.flashscore.com/search/?q=mory-diaw" TargetMode="External" Id="rId1107" /><Relationship Type="http://schemas.openxmlformats.org/officeDocument/2006/relationships/hyperlink" Target="https://www.flashscore.com/search/?q=krepin-diatta" TargetMode="External" Id="rId1108" /><Relationship Type="http://schemas.openxmlformats.org/officeDocument/2006/relationships/hyperlink" Target="https://fbref.com/en/search/search.fcgi?search=mamadou-sarr" TargetMode="External" Id="rId1109" /><Relationship Type="http://schemas.openxmlformats.org/officeDocument/2006/relationships/hyperlink" Target="https://www.fotmob.com/players/144376/kalidou-koulibaly" TargetMode="External" Id="rId1110" /><Relationship Type="http://schemas.openxmlformats.org/officeDocument/2006/relationships/hyperlink" Target="https://fbref.com/en/search/search.fcgi?search=abdoulaye-seck" TargetMode="External" Id="rId1111" /><Relationship Type="http://schemas.openxmlformats.org/officeDocument/2006/relationships/hyperlink" Target="https://www.flashscore.com/search/?q=pathe-ciss" TargetMode="External" Id="rId1112" /><Relationship Type="http://schemas.openxmlformats.org/officeDocument/2006/relationships/hyperlink" Target="https://www.flashscore.com/search/?q=moussa-niakhate" TargetMode="External" Id="rId1113" /><Relationship Type="http://schemas.openxmlformats.org/officeDocument/2006/relationships/hyperlink" Target="https://www.flashscore.com/search/?q=antoine-mendy" TargetMode="External" Id="rId1114" /><Relationship Type="http://schemas.openxmlformats.org/officeDocument/2006/relationships/hyperlink" Target="https://theanalyst.com/players/3765/idrissa-gueye" TargetMode="External" Id="rId1115" /><Relationship Type="http://schemas.openxmlformats.org/officeDocument/2006/relationships/hyperlink" Target="https://fbref.com/en/search/search.fcgi?search=el-hadji-diouf" TargetMode="External" Id="rId1116" /><Relationship Type="http://schemas.openxmlformats.org/officeDocument/2006/relationships/hyperlink" Target="https://fbref.com/en/search/search.fcgi?search=gana-gueye" TargetMode="External" Id="rId1117" /><Relationship Type="http://schemas.openxmlformats.org/officeDocument/2006/relationships/hyperlink" Target="https://www.flashscore.com/search/?q=pape-gueye" TargetMode="External" Id="rId1118" /><Relationship Type="http://schemas.openxmlformats.org/officeDocument/2006/relationships/hyperlink" Target="https://www.flashscore.com/search/?q=lamine-camara" TargetMode="External" Id="rId1119" /><Relationship Type="http://schemas.openxmlformats.org/officeDocument/2006/relationships/hyperlink" Target="https://fbref.com/en/search/search.fcgi?search=pape-sarr" TargetMode="External" Id="rId1120" /><Relationship Type="http://schemas.openxmlformats.org/officeDocument/2006/relationships/hyperlink" Target="https://theanalyst.com/players/3862/ismaila-sarr" TargetMode="External" Id="rId1121" /><Relationship Type="http://schemas.openxmlformats.org/officeDocument/2006/relationships/hyperlink" Target="https://www.fotmob.com/search?q=bara-ndiaye" TargetMode="External" Id="rId1122" /><Relationship Type="http://schemas.openxmlformats.org/officeDocument/2006/relationships/hyperlink" Target="https://fbref.com/en/search/search.fcgi?search=iliman-ndiaye" TargetMode="External" Id="rId1123" /><Relationship Type="http://schemas.openxmlformats.org/officeDocument/2006/relationships/hyperlink" Target="https://www.fotmob.com/players/566887/ismaila-sarr" TargetMode="External" Id="rId1124" /><Relationship Type="http://schemas.openxmlformats.org/officeDocument/2006/relationships/hyperlink" Target="https://www.flashscore.com/search/?q=ibrahim-mbaye" TargetMode="External" Id="rId1125" /><Relationship Type="http://schemas.openxmlformats.org/officeDocument/2006/relationships/hyperlink" Target="https://www.flashscore.com/search/?q=bamba-dieng" TargetMode="External" Id="rId1126" /><Relationship Type="http://schemas.openxmlformats.org/officeDocument/2006/relationships/hyperlink" Target="https://theanalyst.com/players/3922/nicolas-jackson" TargetMode="External" Id="rId1127" /><Relationship Type="http://schemas.openxmlformats.org/officeDocument/2006/relationships/hyperlink" Target="https://www.flashscore.com/search/?q=cherif-ndiaye" TargetMode="External" Id="rId1128" /><Relationship Type="http://schemas.openxmlformats.org/officeDocument/2006/relationships/hyperlink" Target="https://www.flashscore.com/search/?q=assane-diao" TargetMode="External" Id="rId1129" /><Relationship Type="http://schemas.openxmlformats.org/officeDocument/2006/relationships/hyperlink" Target="https://www.fotmob.com/players/292462/sadio-mane" TargetMode="External" Id="rId1130" /><Relationship Type="http://schemas.openxmlformats.org/officeDocument/2006/relationships/hyperlink" Target="https://fbref.com/en/search/search.fcgi?search=jacob-zetterstrom" TargetMode="External" Id="rId1131" /><Relationship Type="http://schemas.openxmlformats.org/officeDocument/2006/relationships/hyperlink" Target="https://fbref.com/en/search/search.fcgi?search=viktor-johansson" TargetMode="External" Id="rId1132" /><Relationship Type="http://schemas.openxmlformats.org/officeDocument/2006/relationships/hyperlink" Target="https://www.flashscore.com/search/?q=kristoffer-nordfeldt" TargetMode="External" Id="rId1133" /><Relationship Type="http://schemas.openxmlformats.org/officeDocument/2006/relationships/hyperlink" Target="https://theanalyst.com/players/4200/viktor-gyokeres" TargetMode="External" Id="rId1134" /><Relationship Type="http://schemas.openxmlformats.org/officeDocument/2006/relationships/hyperlink" Target="https://www.flashscore.com/search/?q=elliot-stroud" TargetMode="External" Id="rId1135" /><Relationship Type="http://schemas.openxmlformats.org/officeDocument/2006/relationships/hyperlink" Target="https://www.zerozero.pt/search.php?inputString=gustaf-lagerbielke" TargetMode="External" Id="rId1136" /><Relationship Type="http://schemas.openxmlformats.org/officeDocument/2006/relationships/hyperlink" Target="https://fbref.com/en/search/search.fcgi?search=victor-lindelof" TargetMode="External" Id="rId1137" /><Relationship Type="http://schemas.openxmlformats.org/officeDocument/2006/relationships/hyperlink" Target="https://www.flashscore.com/search/?q=isak-hien" TargetMode="External" Id="rId1138" /><Relationship Type="http://schemas.openxmlformats.org/officeDocument/2006/relationships/hyperlink" Target="https://fbref.com/en/search/search.fcgi?search=hjalmar-ekdal" TargetMode="External" Id="rId1139" /><Relationship Type="http://schemas.openxmlformats.org/officeDocument/2006/relationships/hyperlink" Target="https://www.flashscore.com/search/?q=carl-starfelt" TargetMode="External" Id="rId1140" /><Relationship Type="http://schemas.openxmlformats.org/officeDocument/2006/relationships/hyperlink" Target="https://www.fotmob.com/search?q=eric-smith" TargetMode="External" Id="rId1141" /><Relationship Type="http://schemas.openxmlformats.org/officeDocument/2006/relationships/hyperlink" Target="https://fbref.com/en/search/search.fcgi?search=gabriel-gudmundsson" TargetMode="External" Id="rId1142" /><Relationship Type="http://schemas.openxmlformats.org/officeDocument/2006/relationships/hyperlink" Target="https://www.fotmob.com/search?q=daniel-svensson" TargetMode="External" Id="rId1143" /><Relationship Type="http://schemas.openxmlformats.org/officeDocument/2006/relationships/hyperlink" Target="https://www.flashscore.com/search/?q=jesper-karlstrom" TargetMode="External" Id="rId1144" /><Relationship Type="http://schemas.openxmlformats.org/officeDocument/2006/relationships/hyperlink" Target="https://fbref.com/en/search/search.fcgi?search=lucas-bergvall" TargetMode="External" Id="rId1145" /><Relationship Type="http://schemas.openxmlformats.org/officeDocument/2006/relationships/hyperlink" Target="https://www.fotmob.com/search?q=mattias-svanberg" TargetMode="External" Id="rId1146" /><Relationship Type="http://schemas.openxmlformats.org/officeDocument/2006/relationships/hyperlink" Target="https://www.flashscore.com/search/?q=besfort-zeneli" TargetMode="External" Id="rId1147" /><Relationship Type="http://schemas.openxmlformats.org/officeDocument/2006/relationships/hyperlink" Target="https://fbref.com/en/search/search.fcgi?search=yasin-ayari" TargetMode="External" Id="rId1148" /><Relationship Type="http://schemas.openxmlformats.org/officeDocument/2006/relationships/hyperlink" Target="https://www.fotmob.com/search?q=alexander-bernhardsson" TargetMode="External" Id="rId1149" /><Relationship Type="http://schemas.openxmlformats.org/officeDocument/2006/relationships/hyperlink" Target="https://www.flashscore.com/search/?q=taha-ali" TargetMode="External" Id="rId1150" /><Relationship Type="http://schemas.openxmlformats.org/officeDocument/2006/relationships/hyperlink" Target="https://fbref.com/en/search/search.fcgi?search=alexander-isak" TargetMode="External" Id="rId1151" /><Relationship Type="http://schemas.openxmlformats.org/officeDocument/2006/relationships/hyperlink" Target="https://theanalyst.com/players/3918/alexander-isak" TargetMode="External" Id="rId1152" /><Relationship Type="http://schemas.openxmlformats.org/officeDocument/2006/relationships/hyperlink" Target="https://fbref.com/en/search/search.fcgi?search=viktor-gyokeres" TargetMode="External" Id="rId1153" /><Relationship Type="http://schemas.openxmlformats.org/officeDocument/2006/relationships/hyperlink" Target="https://www.flashscore.com/search/?q=gustaf-nilsson" TargetMode="External" Id="rId1154" /><Relationship Type="http://schemas.openxmlformats.org/officeDocument/2006/relationships/hyperlink" Target="https://fbref.com/en/search/search.fcgi?search=anthony-elanga" TargetMode="External" Id="rId1155" /><Relationship Type="http://schemas.openxmlformats.org/officeDocument/2006/relationships/hyperlink" Target="https://www.flashscore.com/search/?q=ken-sema" TargetMode="External" Id="rId1156" /><Relationship Type="http://schemas.openxmlformats.org/officeDocument/2006/relationships/hyperlink" Target="https://footystats.org/players/switzerland/gregor-kobel" TargetMode="External" Id="rId1157" /><Relationship Type="http://schemas.openxmlformats.org/officeDocument/2006/relationships/hyperlink" Target="https://www.flashscore.com/search/?q=yvon-mvogo" TargetMode="External" Id="rId1158" /><Relationship Type="http://schemas.openxmlformats.org/officeDocument/2006/relationships/hyperlink" Target="https://theanalyst.com/players/71/nico-elvedi" TargetMode="External" Id="rId1159" /><Relationship Type="http://schemas.openxmlformats.org/officeDocument/2006/relationships/hyperlink" Target="https://theanalyst.com/players/3930/manuel-akanji" TargetMode="External" Id="rId1160" /><Relationship Type="http://schemas.openxmlformats.org/officeDocument/2006/relationships/hyperlink" Target="https://www.fotmob.com/search?q=silvan-widmer" TargetMode="External" Id="rId1161" /><Relationship Type="http://schemas.openxmlformats.org/officeDocument/2006/relationships/hyperlink" Target="https://theanalyst.com/players/90/ricardo-rodriguez" TargetMode="External" Id="rId1162" /><Relationship Type="http://schemas.openxmlformats.org/officeDocument/2006/relationships/hyperlink" Target="https://www.flashscore.com/search/?q=manuel-akanji" TargetMode="External" Id="rId1163" /><Relationship Type="http://schemas.openxmlformats.org/officeDocument/2006/relationships/hyperlink" Target="https://www.flashscore.com/search/?q=ricardo-rodriguez" TargetMode="External" Id="rId1164" /><Relationship Type="http://schemas.openxmlformats.org/officeDocument/2006/relationships/hyperlink" Target="https://theanalyst.com/players/4284/granit-xhaka" TargetMode="External" Id="rId1165" /><Relationship Type="http://schemas.openxmlformats.org/officeDocument/2006/relationships/hyperlink" Target="https://theanalyst.com/players/4491/remo-freuler" TargetMode="External" Id="rId1166" /><Relationship Type="http://schemas.openxmlformats.org/officeDocument/2006/relationships/hyperlink" Target="https://www.fotmob.com/search?q=luca-jaquez" TargetMode="External" Id="rId1167" /><Relationship Type="http://schemas.openxmlformats.org/officeDocument/2006/relationships/hyperlink" Target="https://www.flashscore.com/search/?q=denis-zakaria" TargetMode="External" Id="rId1168" /><Relationship Type="http://schemas.openxmlformats.org/officeDocument/2006/relationships/hyperlink" Target="https://www.flashscore.com/search/?q=remo-freuler" TargetMode="External" Id="rId1169" /><Relationship Type="http://schemas.openxmlformats.org/officeDocument/2006/relationships/hyperlink" Target="https://www.fotmob.com/search?q=johan-manzambi" TargetMode="External" Id="rId1170" /><Relationship Type="http://schemas.openxmlformats.org/officeDocument/2006/relationships/hyperlink" Target="https://theanalyst.com/players/143/granit-xhaka" TargetMode="External" Id="rId1171" /><Relationship Type="http://schemas.openxmlformats.org/officeDocument/2006/relationships/hyperlink" Target="https://theanalyst.com/players/3924/fabian-schar" TargetMode="External" Id="rId1172" /><Relationship Type="http://schemas.openxmlformats.org/officeDocument/2006/relationships/hyperlink" Target="https://www.flashscore.com/search/?q=djibril-sow" TargetMode="External" Id="rId1173" /><Relationship Type="http://schemas.openxmlformats.org/officeDocument/2006/relationships/hyperlink" Target="https://theanalyst.com/players/364/granit-xhaka" TargetMode="External" Id="rId1174" /><Relationship Type="http://schemas.openxmlformats.org/officeDocument/2006/relationships/hyperlink" Target="https://www.flashscore.com/search/?q=michel-aebischer" TargetMode="External" Id="rId1175" /><Relationship Type="http://schemas.openxmlformats.org/officeDocument/2006/relationships/hyperlink" Target="https://www.fotmob.com/search?q=fabian-rieder" TargetMode="External" Id="rId1176" /><Relationship Type="http://schemas.openxmlformats.org/officeDocument/2006/relationships/hyperlink" Target="https://www.flashscore.com/search/?q=breel-embolo" TargetMode="External" Id="rId1177" /><Relationship Type="http://schemas.openxmlformats.org/officeDocument/2006/relationships/hyperlink" Target="https://fbref.com/en/search/search.fcgi?search=dan-ndoye" TargetMode="External" Id="rId1178" /><Relationship Type="http://schemas.openxmlformats.org/officeDocument/2006/relationships/hyperlink" Target="https://www.flashscore.com/search/?q=ruben-vargas" TargetMode="External" Id="rId1179" /><Relationship Type="http://schemas.openxmlformats.org/officeDocument/2006/relationships/hyperlink" Target="https://fbref.com/en/search/search.fcgi?search=noah-okafor" TargetMode="External" Id="rId1180" /><Relationship Type="http://schemas.openxmlformats.org/officeDocument/2006/relationships/hyperlink" Target="https://fbref.com/en/search/search.fcgi?search=zeki-amdouni" TargetMode="External" Id="rId1181" /><Relationship Type="http://schemas.openxmlformats.org/officeDocument/2006/relationships/hyperlink" Target="https://www.fotmob.com/search?q=cedric-itten" TargetMode="External" Id="rId1182" /><Relationship Type="http://schemas.openxmlformats.org/officeDocument/2006/relationships/hyperlink" Target="https://www.flashscore.com/search/?q=abdelmouhib-chamakh" TargetMode="External" Id="rId1183" /><Relationship Type="http://schemas.openxmlformats.org/officeDocument/2006/relationships/hyperlink" Target="https://www.flashscore.com/search/?q=aymen-dahmen" TargetMode="External" Id="rId1184" /><Relationship Type="http://schemas.openxmlformats.org/officeDocument/2006/relationships/hyperlink" Target="https://www.flashscore.com/search/?q=sabri-ben-hessen" TargetMode="External" Id="rId1185" /><Relationship Type="http://schemas.openxmlformats.org/officeDocument/2006/relationships/hyperlink" Target="https://theanalyst.com/players/3614/dylan-bronn" TargetMode="External" Id="rId1186" /><Relationship Type="http://schemas.openxmlformats.org/officeDocument/2006/relationships/hyperlink" Target="https://www.flashscore.com/search/?q=moutaz-neffati" TargetMode="External" Id="rId1187" /><Relationship Type="http://schemas.openxmlformats.org/officeDocument/2006/relationships/hyperlink" Target="https://theanalyst.com/players/408/elias-skhiri" TargetMode="External" Id="rId1188" /><Relationship Type="http://schemas.openxmlformats.org/officeDocument/2006/relationships/hyperlink" Target="https://www.flashscore.com/search/?q=omar-rekik" TargetMode="External" Id="rId1189" /><Relationship Type="http://schemas.openxmlformats.org/officeDocument/2006/relationships/hyperlink" Target="https://www.flashscore.com/search/?q=adem-arous" TargetMode="External" Id="rId1190" /><Relationship Type="http://schemas.openxmlformats.org/officeDocument/2006/relationships/hyperlink" Target="https://www.flashscore.com/search/?q=dylan-bronn" TargetMode="External" Id="rId1191" /><Relationship Type="http://schemas.openxmlformats.org/officeDocument/2006/relationships/hyperlink" Target="https://theanalyst.com/players/3565/wahbi-khazri" TargetMode="External" Id="rId1192" /><Relationship Type="http://schemas.openxmlformats.org/officeDocument/2006/relationships/hyperlink" Target="https://www.flashscore.com/search/?q=ali-abdi" TargetMode="External" Id="rId1193" /><Relationship Type="http://schemas.openxmlformats.org/officeDocument/2006/relationships/hyperlink" Target="https://www.flashscore.com/search/?q=mohamed-ben-hamida" TargetMode="External" Id="rId1194" /><Relationship Type="http://schemas.openxmlformats.org/officeDocument/2006/relationships/hyperlink" Target="https://www.fotmob.com/search?q=rani-khedira" TargetMode="External" Id="rId1195" /><Relationship Type="http://schemas.openxmlformats.org/officeDocument/2006/relationships/hyperlink" Target="https://fbref.com/en/search/search.fcgi?search=hannibal-mejbri" TargetMode="External" Id="rId1196" /><Relationship Type="http://schemas.openxmlformats.org/officeDocument/2006/relationships/hyperlink" Target="https://www.flashscore.com/search/?q=hadj-mahmoud" TargetMode="External" Id="rId1197" /><Relationship Type="http://schemas.openxmlformats.org/officeDocument/2006/relationships/hyperlink" Target="https://www.fotmob.com/search?q=ellyes-skhiri" TargetMode="External" Id="rId1198" /><Relationship Type="http://schemas.openxmlformats.org/officeDocument/2006/relationships/hyperlink" Target="https://fbref.com/en/search/search.fcgi?search=anis-slimane" TargetMode="External" Id="rId1199" /><Relationship Type="http://schemas.openxmlformats.org/officeDocument/2006/relationships/hyperlink" Target="https://www.flashscore.com/search/?q=elias-achouri" TargetMode="External" Id="rId1200" /><Relationship Type="http://schemas.openxmlformats.org/officeDocument/2006/relationships/hyperlink" Target="https://fbref.com/en/search/search.fcgi?search=hazem-mastouri" TargetMode="External" Id="rId1201" /><Relationship Type="http://schemas.openxmlformats.org/officeDocument/2006/relationships/hyperlink" Target="https://www.flashscore.com/search/?q=rayan-elloumi" TargetMode="External" Id="rId1202" /><Relationship Type="http://schemas.openxmlformats.org/officeDocument/2006/relationships/hyperlink" Target="https://www.flashscore.com/search/?q=firas-chaouat" TargetMode="External" Id="rId1203" /><Relationship Type="http://schemas.openxmlformats.org/officeDocument/2006/relationships/hyperlink" Target="https://www.fotmob.com/search?q=elias-saad" TargetMode="External" Id="rId1204" /><Relationship Type="http://schemas.openxmlformats.org/officeDocument/2006/relationships/hyperlink" Target="https://www.fotmob.com/search?q=ismael-gharbi" TargetMode="External" Id="rId1205" /><Relationship Type="http://schemas.openxmlformats.org/officeDocument/2006/relationships/hyperlink" Target="https://www.flashscore.com/search/?q=mortadha-ben-ouanes" TargetMode="External" Id="rId1206" /><Relationship Type="http://schemas.openxmlformats.org/officeDocument/2006/relationships/hyperlink" Target="https://www.flashscore.com/search/?q=khalil-ayari" TargetMode="External" Id="rId1207" /><Relationship Type="http://schemas.openxmlformats.org/officeDocument/2006/relationships/hyperlink" Target="https://www.flashscore.com/search/?q=sebastian-tounekti" TargetMode="External" Id="rId1208" /><Relationship Type="http://schemas.openxmlformats.org/officeDocument/2006/relationships/hyperlink" Target="https://www.flashscore.com/search/?q=mert-gunok" TargetMode="External" Id="rId1209" /><Relationship Type="http://schemas.openxmlformats.org/officeDocument/2006/relationships/hyperlink" Target="https://fbref.com/en/search/search.fcgi?search=altay-bayindir" TargetMode="External" Id="rId1210" /><Relationship Type="http://schemas.openxmlformats.org/officeDocument/2006/relationships/hyperlink" Target="https://www.fotmob.com/players/351652/ugurcan-cakir" TargetMode="External" Id="rId1211" /><Relationship Type="http://schemas.openxmlformats.org/officeDocument/2006/relationships/hyperlink" Target="https://www.flashscore.com/search/?q=zeki-celik" TargetMode="External" Id="rId1212" /><Relationship Type="http://schemas.openxmlformats.org/officeDocument/2006/relationships/hyperlink" Target="https://www.flashscore.com/search/?q=mert-muldur" TargetMode="External" Id="rId1213" /><Relationship Type="http://schemas.openxmlformats.org/officeDocument/2006/relationships/hyperlink" Target="https://www.fotmob.com/players/478509/kaan-ayhan" TargetMode="External" Id="rId1214" /><Relationship Type="http://schemas.openxmlformats.org/officeDocument/2006/relationships/hyperlink" Target="https://www.fotmob.com/players/950563/merih-demiral" TargetMode="External" Id="rId1215" /><Relationship Type="http://schemas.openxmlformats.org/officeDocument/2006/relationships/hyperlink" Target="https://theanalyst.com/players/3905/caglar-soyuncu" TargetMode="External" Id="rId1216" /><Relationship Type="http://schemas.openxmlformats.org/officeDocument/2006/relationships/hyperlink" Target="https://www.fotmob.com/players/741587/abdulkerim-bardakci" TargetMode="External" Id="rId1217" /><Relationship Type="http://schemas.openxmlformats.org/officeDocument/2006/relationships/hyperlink" Target="https://www.fotmob.com/search?q=ozan-kabak" TargetMode="External" Id="rId1218" /><Relationship Type="http://schemas.openxmlformats.org/officeDocument/2006/relationships/hyperlink" Target="https://www.flashscore.com/search/?q=samet-akaydin" TargetMode="External" Id="rId1219" /><Relationship Type="http://schemas.openxmlformats.org/officeDocument/2006/relationships/hyperlink" Target="https://www.fotmob.com/players/1303553/evren-elmali" TargetMode="External" Id="rId1220" /><Relationship Type="http://schemas.openxmlformats.org/officeDocument/2006/relationships/hyperlink" Target="https://theanalyst.com/players/4675/hakan-calhanoglu" TargetMode="External" Id="rId1221" /><Relationship Type="http://schemas.openxmlformats.org/officeDocument/2006/relationships/hyperlink" Target="https://www.fotmob.com/search?q=salih-ozcan" TargetMode="External" Id="rId1222" /><Relationship Type="http://schemas.openxmlformats.org/officeDocument/2006/relationships/hyperlink" Target="https://www.flashscore.com/search/?q=orkun-kokcu" TargetMode="External" Id="rId1223" /><Relationship Type="http://schemas.openxmlformats.org/officeDocument/2006/relationships/hyperlink" Target="https://www.flashscore.com/search/?q=hakan-calhanoglu" TargetMode="External" Id="rId1224" /><Relationship Type="http://schemas.openxmlformats.org/officeDocument/2006/relationships/hyperlink" Target="https://www.flashscore.com/search/?q=ismail-yuksek" TargetMode="External" Id="rId1225" /><Relationship Type="http://schemas.openxmlformats.org/officeDocument/2006/relationships/hyperlink" Target="https://www.flashscore.com/search/?q=arda-guler" TargetMode="External" Id="rId1226" /><Relationship Type="http://schemas.openxmlformats.org/officeDocument/2006/relationships/hyperlink" Target="https://www.flashscore.com/search/?q=irfan-kahveci" TargetMode="External" Id="rId1227" /><Relationship Type="http://schemas.openxmlformats.org/officeDocument/2006/relationships/hyperlink" Target="https://www.fotmob.com/players/831880/yunus-akgun" TargetMode="External" Id="rId1228" /><Relationship Type="http://schemas.openxmlformats.org/officeDocument/2006/relationships/hyperlink" Target="https://www.fotmob.com/search?q=can-uzun" TargetMode="External" Id="rId1229" /><Relationship Type="http://schemas.openxmlformats.org/officeDocument/2006/relationships/hyperlink" Target="https://www.zerozero.pt/search.php?inputString=deniz-gul" TargetMode="External" Id="rId1230" /><Relationship Type="http://schemas.openxmlformats.org/officeDocument/2006/relationships/hyperlink" Target="https://www.flashscore.com/search/?q=kerem-akturkoglu" TargetMode="External" Id="rId1231" /><Relationship Type="http://schemas.openxmlformats.org/officeDocument/2006/relationships/hyperlink" Target="https://www.flashscore.com/search/?q=kenan-yildiz" TargetMode="External" Id="rId1232" /><Relationship Type="http://schemas.openxmlformats.org/officeDocument/2006/relationships/hyperlink" Target="https://www.fotmob.com/players/942314/baris-yilmaz" TargetMode="External" Id="rId1233" /><Relationship Type="http://schemas.openxmlformats.org/officeDocument/2006/relationships/hyperlink" Target="https://www.flashscore.com/search/?q=oguz-aydin" TargetMode="External" Id="rId1234" /><Relationship Type="http://schemas.openxmlformats.org/officeDocument/2006/relationships/hyperlink" Target="https://footystats.org/players/uruguay/sergio-rochet" TargetMode="External" Id="rId1235" /><Relationship Type="http://schemas.openxmlformats.org/officeDocument/2006/relationships/hyperlink" Target="https://www.flashscore.com/search/?q=santiago-mele" TargetMode="External" Id="rId1236" /><Relationship Type="http://schemas.openxmlformats.org/officeDocument/2006/relationships/hyperlink" Target="https://www.flashscore.com/search/?q=fernando-muslera" TargetMode="External" Id="rId1237" /><Relationship Type="http://schemas.openxmlformats.org/officeDocument/2006/relationships/hyperlink" Target="https://www.flashscore.com/search/?q=jose-gimenez" TargetMode="External" Id="rId1238" /><Relationship Type="http://schemas.openxmlformats.org/officeDocument/2006/relationships/hyperlink" Target="https://footystats.org/players/uruguay/maximiliano-araujo" TargetMode="External" Id="rId1239" /><Relationship Type="http://schemas.openxmlformats.org/officeDocument/2006/relationships/hyperlink" Target="https://www.flashscore.com/search/?q=ronald-araujo" TargetMode="External" Id="rId1240" /><Relationship Type="http://schemas.openxmlformats.org/officeDocument/2006/relationships/hyperlink" Target="https://theanalyst.com/players/4490/matias-vina" TargetMode="External" Id="rId1241" /><Relationship Type="http://schemas.openxmlformats.org/officeDocument/2006/relationships/hyperlink" Target="https://www.flashscore.com/search/?q=mathias-olivera" TargetMode="External" Id="rId1242" /><Relationship Type="http://schemas.openxmlformats.org/officeDocument/2006/relationships/hyperlink" Target="https://theanalyst.com/players/3972/manuel-ugarte" TargetMode="External" Id="rId1243" /><Relationship Type="http://schemas.openxmlformats.org/officeDocument/2006/relationships/hyperlink" Target="https://www.zerozero.pt/search.php?inputString=maxi-araujo" TargetMode="External" Id="rId1244" /><Relationship Type="http://schemas.openxmlformats.org/officeDocument/2006/relationships/hyperlink" Target="https://www.flashscore.com/search/?q=joaquin-piquerez" TargetMode="External" Id="rId1245" /><Relationship Type="http://schemas.openxmlformats.org/officeDocument/2006/relationships/hyperlink" Target="https://fbref.com/en/search/search.fcgi?search=santiago-bueno" TargetMode="External" Id="rId1246" /><Relationship Type="http://schemas.openxmlformats.org/officeDocument/2006/relationships/hyperlink" Target="https://fbref.com/en/search/search.fcgi?search=manuel-ugarte" TargetMode="External" Id="rId1247" /><Relationship Type="http://schemas.openxmlformats.org/officeDocument/2006/relationships/hyperlink" Target="https://fbref.com/en/search/search.fcgi?search=rodrigo-bentancur" TargetMode="External" Id="rId1248" /><Relationship Type="http://schemas.openxmlformats.org/officeDocument/2006/relationships/hyperlink" Target="https://theanalyst.com/players/1674/federico-valverde" TargetMode="External" Id="rId1249" /><Relationship Type="http://schemas.openxmlformats.org/officeDocument/2006/relationships/hyperlink" Target="https://www.flashscore.com/search/?q=fede-valverde" TargetMode="External" Id="rId1250" /><Relationship Type="http://schemas.openxmlformats.org/officeDocument/2006/relationships/hyperlink" Target="https://theanalyst.com/players/4338/rodrigo-bentancur" TargetMode="External" Id="rId1251" /><Relationship Type="http://schemas.openxmlformats.org/officeDocument/2006/relationships/hyperlink" Target="https://www.flashscore.com/search/?q=emiliano-martinez" TargetMode="External" Id="rId1252" /><Relationship Type="http://schemas.openxmlformats.org/officeDocument/2006/relationships/hyperlink" Target="https://www.flashscore.com/search/?q=juan-sanabria" TargetMode="External" Id="rId1253" /><Relationship Type="http://schemas.openxmlformats.org/officeDocument/2006/relationships/hyperlink" Target="https://theanalyst.com/players/1647/ronald-araujo" TargetMode="External" Id="rId1254" /><Relationship Type="http://schemas.openxmlformats.org/officeDocument/2006/relationships/hyperlink" Target="https://www.fotmob.com/players/798712/darwin-nunez" TargetMode="External" Id="rId1255" /><Relationship Type="http://schemas.openxmlformats.org/officeDocument/2006/relationships/hyperlink" Target="https://theanalyst.com/players/3982/darwin-nunez" TargetMode="External" Id="rId1256" /><Relationship Type="http://schemas.openxmlformats.org/officeDocument/2006/relationships/hyperlink" Target="https://www.flashscore.com/search/?q=agustin-canobbio" TargetMode="External" Id="rId1257" /><Relationship Type="http://schemas.openxmlformats.org/officeDocument/2006/relationships/hyperlink" Target="https://www.flashscore.com/search/?q=brian-rodriguez" TargetMode="External" Id="rId1258" /><Relationship Type="http://schemas.openxmlformats.org/officeDocument/2006/relationships/hyperlink" Target="https://www.flashscore.com/search/?q=rodrigo-aguirre" TargetMode="External" Id="rId1259" /><Relationship Type="http://schemas.openxmlformats.org/officeDocument/2006/relationships/hyperlink" Target="https://www.flashscore.com/search/?q=federico-vinas" TargetMode="External" Id="rId1260" /><Relationship Type="http://schemas.openxmlformats.org/officeDocument/2006/relationships/hyperlink" Target="https://www.flashscore.com/search/?q=utkir-yusupov" TargetMode="External" Id="rId1261" /><Relationship Type="http://schemas.openxmlformats.org/officeDocument/2006/relationships/hyperlink" Target="https://www.flashscore.com/search/?q=abduvohid-nematov" TargetMode="External" Id="rId1262" /><Relationship Type="http://schemas.openxmlformats.org/officeDocument/2006/relationships/hyperlink" Target="https://www.flashscore.com/search/?q=botir-ergashev" TargetMode="External" Id="rId1263" /><Relationship Type="http://schemas.openxmlformats.org/officeDocument/2006/relationships/hyperlink" Target="https://www.flashscore.com/search/?q=khozhiakbar-alizhonov" TargetMode="External" Id="rId1264" /><Relationship Type="http://schemas.openxmlformats.org/officeDocument/2006/relationships/hyperlink" Target="https://theanalyst.com/players/3586/abdukodir-khusanov" TargetMode="External" Id="rId1265" /><Relationship Type="http://schemas.openxmlformats.org/officeDocument/2006/relationships/hyperlink" Target="https://www.flashscore.com/search/?q=avazbek-ulmasaliev" TargetMode="External" Id="rId1266" /><Relationship Type="http://schemas.openxmlformats.org/officeDocument/2006/relationships/hyperlink" Target="https://www.fotmob.com/players/1236688/abdukodir-khusanov" TargetMode="External" Id="rId1267" /><Relationship Type="http://schemas.openxmlformats.org/officeDocument/2006/relationships/hyperlink" Target="https://www.flashscore.com/search/?q=rustamjon-ashurmatov" TargetMode="External" Id="rId1268" /><Relationship Type="http://schemas.openxmlformats.org/officeDocument/2006/relationships/hyperlink" Target="https://www.flashscore.com/search/?q=umar-eshmurodov" TargetMode="External" Id="rId1269" /><Relationship Type="http://schemas.openxmlformats.org/officeDocument/2006/relationships/hyperlink" Target="https://www.flashscore.com/search/?q=jakhongir-urozov" TargetMode="External" Id="rId1270" /><Relationship Type="http://schemas.openxmlformats.org/officeDocument/2006/relationships/hyperlink" Target="https://www.flashscore.com/search/?q=farruh-sayfiev" TargetMode="External" Id="rId1271" /><Relationship Type="http://schemas.openxmlformats.org/officeDocument/2006/relationships/hyperlink" Target="https://www.flashscore.com/search/?q=sherzod-nasrullaev" TargetMode="External" Id="rId1272" /><Relationship Type="http://schemas.openxmlformats.org/officeDocument/2006/relationships/hyperlink" Target="https://www.flashscore.com/search/?q=abdulla-abdullaev" TargetMode="External" Id="rId1273" /><Relationship Type="http://schemas.openxmlformats.org/officeDocument/2006/relationships/hyperlink" Target="https://footystats.org/players/uzbekistan/dostonbek-khamdamov" TargetMode="External" Id="rId1274" /><Relationship Type="http://schemas.openxmlformats.org/officeDocument/2006/relationships/hyperlink" Target="https://www.flashscore.com/search/?q=akmal-mozgovoy" TargetMode="External" Id="rId1275" /><Relationship Type="http://schemas.openxmlformats.org/officeDocument/2006/relationships/hyperlink" Target="https://www.uaepl.ae/en/player/otabek-shukurov/adnoc-pro-league-4" TargetMode="External" Id="rId1276" /><Relationship Type="http://schemas.openxmlformats.org/officeDocument/2006/relationships/hyperlink" Target="https://www.flashscore.com/search/?q=odil-khamrobekov" TargetMode="External" Id="rId1277" /><Relationship Type="http://schemas.openxmlformats.org/officeDocument/2006/relationships/hyperlink" Target="https://www.flashscore.com/search/?q=aziz-ganiev" TargetMode="External" Id="rId1278" /><Relationship Type="http://schemas.openxmlformats.org/officeDocument/2006/relationships/hyperlink" Target="https://www.flashscore.com/search/?q=sherzod-esanov" TargetMode="External" Id="rId1279" /><Relationship Type="http://schemas.openxmlformats.org/officeDocument/2006/relationships/hyperlink" Target="https://www.flashscore.com/search/?q=jamshid-iskandarov" TargetMode="External" Id="rId1280" /><Relationship Type="http://schemas.openxmlformats.org/officeDocument/2006/relationships/hyperlink" Target="https://www.flashscore.com/search/?q=oston-urunov" TargetMode="External" Id="rId1281" /><Relationship Type="http://schemas.openxmlformats.org/officeDocument/2006/relationships/hyperlink" Target="https://www.flashscore.com/search/?q=azizbek-amonov" TargetMode="External" Id="rId1282" /><Relationship Type="http://schemas.openxmlformats.org/officeDocument/2006/relationships/hyperlink" Target="https://www.espn.com/soccer/player/stats/_/id/317793/abbosbek-fayzullaev" TargetMode="External" Id="rId1283" /><Relationship Type="http://schemas.openxmlformats.org/officeDocument/2006/relationships/hyperlink" Target="https://www.espn.com/soccer/player/stats/_/id/216937/eldor-shomurodov" TargetMode="External" Id="rId1284" /><Relationship Type="http://schemas.openxmlformats.org/officeDocument/2006/relationships/hyperlink" Target="https://www.flashscore.com/search/?q=igor-sergeev" TargetMode="External" Id="rId1285" /><Relationship Type="http://schemas.openxmlformats.org/officeDocument/2006/relationships/hyperlink" Target="https://www.flashscore.com/search/?q=jaloliddin-masharipov" TargetMode="External" Id="rId128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116" activePane="bottomLeft" state="frozen"/>
      <selection pane="bottomLeft" activeCell="E3" sqref="E3"/>
    </sheetView>
  </sheetViews>
  <sheetFormatPr baseColWidth="10" defaultColWidth="8.83203125" defaultRowHeight="15"/>
  <cols>
    <col width="4" customWidth="1" style="25" min="1" max="1"/>
    <col width="14" customWidth="1" style="25" min="2" max="3"/>
    <col width="12" customWidth="1" style="25" min="4" max="5"/>
  </cols>
  <sheetData>
    <row r="1">
      <c r="A1" s="1" t="inlineStr">
        <is>
          <t>id</t>
        </is>
      </c>
      <c r="B1" s="1" t="inlineStr">
        <is>
          <t>country_name</t>
        </is>
      </c>
      <c r="C1" s="1" t="inlineStr">
        <is>
          <t>fifa_ranking</t>
        </is>
      </c>
      <c r="D1" s="1" t="inlineStr">
        <is>
          <t>points</t>
        </is>
      </c>
      <c r="E1" s="1" t="inlineStr">
        <is>
          <t>pct_ranking</t>
        </is>
      </c>
      <c r="F1" s="1" t="inlineStr">
        <is>
          <t>máx.</t>
        </is>
      </c>
      <c r="G1">
        <f>MAX((D2:D212))</f>
        <v/>
      </c>
    </row>
    <row r="2">
      <c r="A2" s="1" t="n">
        <v>1</v>
      </c>
      <c r="B2" s="2" t="inlineStr">
        <is>
          <t>Argentina</t>
        </is>
      </c>
      <c r="C2" s="2" t="n">
        <v>1</v>
      </c>
      <c r="D2" s="2" t="n">
        <v>1876.12</v>
      </c>
      <c r="E2">
        <f>(D2/G$1)</f>
        <v/>
      </c>
    </row>
    <row r="3">
      <c r="A3" s="1" t="n">
        <v>2</v>
      </c>
      <c r="B3" s="2" t="inlineStr">
        <is>
          <t>Spain</t>
        </is>
      </c>
      <c r="C3" s="2" t="n">
        <v>2</v>
      </c>
      <c r="D3" s="2" t="n">
        <v>1874.71</v>
      </c>
      <c r="E3" s="4">
        <f>(D3/G$1)</f>
        <v/>
      </c>
    </row>
    <row r="4">
      <c r="A4" s="1" t="n">
        <v>3</v>
      </c>
      <c r="B4" s="2" t="inlineStr">
        <is>
          <t>France</t>
        </is>
      </c>
      <c r="C4" s="2" t="n">
        <v>3</v>
      </c>
      <c r="D4" s="2" t="n">
        <v>1870.7</v>
      </c>
      <c r="E4" s="4">
        <f>(D4/G$1)</f>
        <v/>
      </c>
    </row>
    <row r="5">
      <c r="A5" s="1" t="n">
        <v>4</v>
      </c>
      <c r="B5" s="2" t="inlineStr">
        <is>
          <t>England</t>
        </is>
      </c>
      <c r="C5" s="2" t="n">
        <v>4</v>
      </c>
      <c r="D5" s="2" t="n">
        <v>1827.05</v>
      </c>
      <c r="E5" s="4">
        <f>(D5/G$1)</f>
        <v/>
      </c>
    </row>
    <row r="6">
      <c r="A6" s="1" t="n">
        <v>5</v>
      </c>
      <c r="B6" s="2" t="inlineStr">
        <is>
          <t>Portugal</t>
        </is>
      </c>
      <c r="C6" s="2" t="n">
        <v>5</v>
      </c>
      <c r="D6" s="2" t="n">
        <v>1766.18</v>
      </c>
      <c r="E6" s="4">
        <f>(D6/G$1)</f>
        <v/>
      </c>
    </row>
    <row r="7">
      <c r="A7" s="1" t="n">
        <v>6</v>
      </c>
      <c r="B7" s="2" t="inlineStr">
        <is>
          <t>Brazil</t>
        </is>
      </c>
      <c r="C7" s="2" t="n">
        <v>6</v>
      </c>
      <c r="D7" s="2" t="n">
        <v>1765.86</v>
      </c>
      <c r="E7" s="4">
        <f>(D7/G$1)</f>
        <v/>
      </c>
    </row>
    <row r="8">
      <c r="A8" s="1" t="n">
        <v>7</v>
      </c>
      <c r="B8" s="2" t="inlineStr">
        <is>
          <t>Morocco</t>
        </is>
      </c>
      <c r="C8" s="2" t="n">
        <v>7</v>
      </c>
      <c r="D8" s="2" t="n">
        <v>1755.1</v>
      </c>
      <c r="E8" s="4">
        <f>(D8/G$1)</f>
        <v/>
      </c>
    </row>
    <row r="9">
      <c r="A9" s="1" t="n">
        <v>8</v>
      </c>
      <c r="B9" s="2" t="inlineStr">
        <is>
          <t>Netherlands</t>
        </is>
      </c>
      <c r="C9" s="2" t="n">
        <v>8</v>
      </c>
      <c r="D9" s="2" t="n">
        <v>1753.57</v>
      </c>
      <c r="E9" s="4">
        <f>(D9/G$1)</f>
        <v/>
      </c>
    </row>
    <row r="10">
      <c r="A10" s="1" t="n">
        <v>9</v>
      </c>
      <c r="B10" s="2" t="inlineStr">
        <is>
          <t>Belgium</t>
        </is>
      </c>
      <c r="C10" s="2" t="n">
        <v>9</v>
      </c>
      <c r="D10" s="2" t="n">
        <v>1742.24</v>
      </c>
      <c r="E10" s="4">
        <f>(D10/G$1)</f>
        <v/>
      </c>
    </row>
    <row r="11">
      <c r="A11" s="1" t="n">
        <v>10</v>
      </c>
      <c r="B11" s="2" t="inlineStr">
        <is>
          <t>Germany</t>
        </is>
      </c>
      <c r="C11" s="2" t="n">
        <v>10</v>
      </c>
      <c r="D11" s="2" t="n">
        <v>1735.77</v>
      </c>
      <c r="E11" s="4">
        <f>(D11/G$1)</f>
        <v/>
      </c>
    </row>
    <row r="12">
      <c r="A12" s="1" t="n">
        <v>11</v>
      </c>
      <c r="B12" s="2" t="inlineStr">
        <is>
          <t>Croatia</t>
        </is>
      </c>
      <c r="C12" s="2" t="n">
        <v>11</v>
      </c>
      <c r="D12" s="2" t="n">
        <v>1714.87</v>
      </c>
      <c r="E12" s="4">
        <f>(D12/G$1)</f>
        <v/>
      </c>
    </row>
    <row r="13">
      <c r="A13" s="1" t="n">
        <v>12</v>
      </c>
      <c r="B13" s="2" t="inlineStr">
        <is>
          <t>Italy</t>
        </is>
      </c>
      <c r="C13" s="2" t="n">
        <v>12</v>
      </c>
      <c r="D13" s="2" t="n">
        <v>1704.73</v>
      </c>
      <c r="E13" s="4">
        <f>(D13/G$1)</f>
        <v/>
      </c>
    </row>
    <row r="14">
      <c r="A14" s="1" t="n">
        <v>13</v>
      </c>
      <c r="B14" s="2" t="inlineStr">
        <is>
          <t>Colombia</t>
        </is>
      </c>
      <c r="C14" s="2" t="n">
        <v>13</v>
      </c>
      <c r="D14" s="2" t="n">
        <v>1698.35</v>
      </c>
      <c r="E14" s="4">
        <f>(D14/G$1)</f>
        <v/>
      </c>
    </row>
    <row r="15">
      <c r="A15" s="1" t="n">
        <v>14</v>
      </c>
      <c r="B15" s="2" t="inlineStr">
        <is>
          <t>Mexico</t>
        </is>
      </c>
      <c r="C15" s="2" t="n">
        <v>14</v>
      </c>
      <c r="D15" s="2" t="n">
        <v>1687.48</v>
      </c>
      <c r="E15" s="4">
        <f>(D15/G$1)</f>
        <v/>
      </c>
    </row>
    <row r="16">
      <c r="A16" s="1" t="n">
        <v>15</v>
      </c>
      <c r="B16" s="2" t="inlineStr">
        <is>
          <t>Senegal</t>
        </is>
      </c>
      <c r="C16" s="2" t="n">
        <v>15</v>
      </c>
      <c r="D16" s="2" t="n">
        <v>1686.41</v>
      </c>
      <c r="E16" s="4">
        <f>(D16/G$1)</f>
        <v/>
      </c>
    </row>
    <row r="17">
      <c r="A17" s="1" t="n">
        <v>16</v>
      </c>
      <c r="B17" s="2" t="inlineStr">
        <is>
          <t>Uruguay</t>
        </is>
      </c>
      <c r="C17" s="2" t="n">
        <v>16</v>
      </c>
      <c r="D17" s="2" t="n">
        <v>1673.07</v>
      </c>
      <c r="E17" s="4">
        <f>(D17/G$1)</f>
        <v/>
      </c>
    </row>
    <row r="18">
      <c r="A18" s="1" t="n">
        <v>17</v>
      </c>
      <c r="B18" s="2" t="inlineStr">
        <is>
          <t>USA</t>
        </is>
      </c>
      <c r="C18" s="2" t="n">
        <v>17</v>
      </c>
      <c r="D18" s="2" t="n">
        <v>1671.23</v>
      </c>
      <c r="E18" s="4">
        <f>(D18/G$1)</f>
        <v/>
      </c>
    </row>
    <row r="19">
      <c r="A19" s="1" t="n">
        <v>18</v>
      </c>
      <c r="B19" s="2" t="inlineStr">
        <is>
          <t>Japan</t>
        </is>
      </c>
      <c r="C19" s="2" t="n">
        <v>18</v>
      </c>
      <c r="D19" s="2" t="n">
        <v>1661.58</v>
      </c>
      <c r="E19" s="4">
        <f>(D19/G$1)</f>
        <v/>
      </c>
    </row>
    <row r="20">
      <c r="A20" s="1" t="n">
        <v>19</v>
      </c>
      <c r="B20" s="2" t="inlineStr">
        <is>
          <t>Switzerland</t>
        </is>
      </c>
      <c r="C20" s="2" t="n">
        <v>19</v>
      </c>
      <c r="D20" s="2" t="n">
        <v>1650.06</v>
      </c>
      <c r="E20" s="4">
        <f>(D20/G$1)</f>
        <v/>
      </c>
    </row>
    <row r="21">
      <c r="A21" s="1" t="n">
        <v>20</v>
      </c>
      <c r="B21" s="2" t="inlineStr">
        <is>
          <t>IR Iran</t>
        </is>
      </c>
      <c r="C21" s="2" t="n">
        <v>20</v>
      </c>
      <c r="D21" s="2" t="n">
        <v>1619.58</v>
      </c>
      <c r="E21" s="4">
        <f>(D21/G$1)</f>
        <v/>
      </c>
    </row>
    <row r="22">
      <c r="A22" s="1" t="n">
        <v>21</v>
      </c>
      <c r="B22" s="2" t="inlineStr">
        <is>
          <t>Denmark</t>
        </is>
      </c>
      <c r="C22" s="2" t="n">
        <v>21</v>
      </c>
      <c r="D22" s="2" t="n">
        <v>1619.47</v>
      </c>
      <c r="E22" s="4">
        <f>(D22/G$1)</f>
        <v/>
      </c>
    </row>
    <row r="23">
      <c r="A23" s="1" t="n">
        <v>22</v>
      </c>
      <c r="B23" s="2" t="inlineStr">
        <is>
          <t>Türkiye</t>
        </is>
      </c>
      <c r="C23" s="2" t="n">
        <v>22</v>
      </c>
      <c r="D23" s="2" t="n">
        <v>1605.73</v>
      </c>
      <c r="E23" s="4">
        <f>(D23/G$1)</f>
        <v/>
      </c>
    </row>
    <row r="24">
      <c r="A24" s="1" t="n">
        <v>23</v>
      </c>
      <c r="B24" s="2" t="inlineStr">
        <is>
          <t>Ecuador</t>
        </is>
      </c>
      <c r="C24" s="2" t="n">
        <v>23</v>
      </c>
      <c r="D24" s="2" t="n">
        <v>1598.52</v>
      </c>
      <c r="E24" s="4">
        <f>(D24/G$1)</f>
        <v/>
      </c>
    </row>
    <row r="25">
      <c r="A25" s="1" t="n">
        <v>24</v>
      </c>
      <c r="B25" s="2" t="inlineStr">
        <is>
          <t>Austria</t>
        </is>
      </c>
      <c r="C25" s="2" t="n">
        <v>24</v>
      </c>
      <c r="D25" s="2" t="n">
        <v>1597.4</v>
      </c>
      <c r="E25" s="4">
        <f>(D25/G$1)</f>
        <v/>
      </c>
    </row>
    <row r="26">
      <c r="A26" s="1" t="n">
        <v>25</v>
      </c>
      <c r="B26" s="2" t="inlineStr">
        <is>
          <t>Korea Republic</t>
        </is>
      </c>
      <c r="C26" s="2" t="n">
        <v>25</v>
      </c>
      <c r="D26" s="2" t="n">
        <v>1591.63</v>
      </c>
      <c r="E26" s="4">
        <f>(D26/G$1)</f>
        <v/>
      </c>
    </row>
    <row r="27">
      <c r="A27" s="1" t="n">
        <v>26</v>
      </c>
      <c r="B27" s="2" t="inlineStr">
        <is>
          <t>Nigeria</t>
        </is>
      </c>
      <c r="C27" s="2" t="n">
        <v>26</v>
      </c>
      <c r="D27" s="2" t="n">
        <v>1586.69</v>
      </c>
      <c r="E27" s="4">
        <f>(D27/G$1)</f>
        <v/>
      </c>
    </row>
    <row r="28">
      <c r="A28" s="1" t="n">
        <v>27</v>
      </c>
      <c r="B28" s="2" t="inlineStr">
        <is>
          <t>Australia</t>
        </is>
      </c>
      <c r="C28" s="2" t="n">
        <v>27</v>
      </c>
      <c r="D28" s="2" t="n">
        <v>1579.34</v>
      </c>
      <c r="E28" s="4">
        <f>(D28/G$1)</f>
        <v/>
      </c>
    </row>
    <row r="29">
      <c r="A29" s="1" t="n">
        <v>28</v>
      </c>
      <c r="B29" s="2" t="inlineStr">
        <is>
          <t>Algeria</t>
        </is>
      </c>
      <c r="C29" s="2" t="n">
        <v>28</v>
      </c>
      <c r="D29" s="2" t="n">
        <v>1571.03</v>
      </c>
      <c r="E29" s="4">
        <f>(D29/G$1)</f>
        <v/>
      </c>
    </row>
    <row r="30">
      <c r="A30" s="1" t="n">
        <v>29</v>
      </c>
      <c r="B30" s="2" t="inlineStr">
        <is>
          <t>Egypt</t>
        </is>
      </c>
      <c r="C30" s="2" t="n">
        <v>29</v>
      </c>
      <c r="D30" s="2" t="n">
        <v>1562.37</v>
      </c>
      <c r="E30" s="4">
        <f>(D30/G$1)</f>
        <v/>
      </c>
    </row>
    <row r="31">
      <c r="A31" s="1" t="n">
        <v>30</v>
      </c>
      <c r="B31" s="2" t="inlineStr">
        <is>
          <t>Canada</t>
        </is>
      </c>
      <c r="C31" s="2" t="n">
        <v>30</v>
      </c>
      <c r="D31" s="2" t="n">
        <v>1559.48</v>
      </c>
      <c r="E31" s="4">
        <f>(D31/G$1)</f>
        <v/>
      </c>
    </row>
    <row r="32">
      <c r="A32" s="1" t="n">
        <v>31</v>
      </c>
      <c r="B32" s="2" t="inlineStr">
        <is>
          <t>Norway</t>
        </is>
      </c>
      <c r="C32" s="2" t="n">
        <v>31</v>
      </c>
      <c r="D32" s="2" t="n">
        <v>1557.44</v>
      </c>
      <c r="E32" s="4">
        <f>(D32/G$1)</f>
        <v/>
      </c>
    </row>
    <row r="33">
      <c r="A33" s="1" t="n">
        <v>32</v>
      </c>
      <c r="B33" s="2" t="inlineStr">
        <is>
          <t>Ukraine</t>
        </is>
      </c>
      <c r="C33" s="2" t="n">
        <v>32</v>
      </c>
      <c r="D33" s="2" t="n">
        <v>1549.29</v>
      </c>
      <c r="E33" s="4">
        <f>(D33/G$1)</f>
        <v/>
      </c>
    </row>
    <row r="34">
      <c r="A34" s="1" t="n">
        <v>33</v>
      </c>
      <c r="B34" s="2" t="inlineStr">
        <is>
          <t>Côte d'Ivoire</t>
        </is>
      </c>
      <c r="C34" s="2" t="n">
        <v>33</v>
      </c>
      <c r="D34" s="2" t="n">
        <v>1540.87</v>
      </c>
      <c r="E34" s="4">
        <f>(D34/G$1)</f>
        <v/>
      </c>
    </row>
    <row r="35">
      <c r="A35" s="1" t="n">
        <v>34</v>
      </c>
      <c r="B35" s="2" t="inlineStr">
        <is>
          <t>Panama</t>
        </is>
      </c>
      <c r="C35" s="2" t="n">
        <v>34</v>
      </c>
      <c r="D35" s="2" t="n">
        <v>1539.16</v>
      </c>
      <c r="E35" s="4">
        <f>(D35/G$1)</f>
        <v/>
      </c>
    </row>
    <row r="36">
      <c r="A36" s="1" t="n">
        <v>35</v>
      </c>
      <c r="B36" s="2" t="inlineStr">
        <is>
          <t>Russia</t>
        </is>
      </c>
      <c r="C36" s="2" t="n">
        <v>35</v>
      </c>
      <c r="D36" s="2" t="n">
        <v>1527.24</v>
      </c>
      <c r="E36" s="4">
        <f>(D36/G$1)</f>
        <v/>
      </c>
    </row>
    <row r="37">
      <c r="A37" s="1" t="n">
        <v>36</v>
      </c>
      <c r="B37" s="2" t="inlineStr">
        <is>
          <t>Poland</t>
        </is>
      </c>
      <c r="C37" s="2" t="n">
        <v>36</v>
      </c>
      <c r="D37" s="2" t="n">
        <v>1526.18</v>
      </c>
      <c r="E37" s="4">
        <f>(D37/G$1)</f>
        <v/>
      </c>
    </row>
    <row r="38">
      <c r="A38" s="1" t="n">
        <v>37</v>
      </c>
      <c r="B38" s="2" t="inlineStr">
        <is>
          <t>Wales</t>
        </is>
      </c>
      <c r="C38" s="2" t="n">
        <v>37</v>
      </c>
      <c r="D38" s="2" t="n">
        <v>1516.95</v>
      </c>
      <c r="E38" s="4">
        <f>(D38/G$1)</f>
        <v/>
      </c>
    </row>
    <row r="39">
      <c r="A39" s="1" t="n">
        <v>38</v>
      </c>
      <c r="B39" s="2" t="inlineStr">
        <is>
          <t>Sweden</t>
        </is>
      </c>
      <c r="C39" s="2" t="n">
        <v>38</v>
      </c>
      <c r="D39" s="2" t="n">
        <v>1509.79</v>
      </c>
      <c r="E39" s="4">
        <f>(D39/G$1)</f>
        <v/>
      </c>
    </row>
    <row r="40">
      <c r="A40" s="1" t="n">
        <v>39</v>
      </c>
      <c r="B40" s="2" t="inlineStr">
        <is>
          <t>Czechia</t>
        </is>
      </c>
      <c r="C40" s="2" t="n">
        <v>39</v>
      </c>
      <c r="D40" s="2" t="n">
        <v>1505.74</v>
      </c>
      <c r="E40" s="4">
        <f>(D40/G$1)</f>
        <v/>
      </c>
    </row>
    <row r="41">
      <c r="A41" s="1" t="n">
        <v>40</v>
      </c>
      <c r="B41" s="2" t="inlineStr">
        <is>
          <t>Paraguay</t>
        </is>
      </c>
      <c r="C41" s="2" t="n">
        <v>40</v>
      </c>
      <c r="D41" s="2" t="n">
        <v>1505.35</v>
      </c>
      <c r="E41" s="4">
        <f>(D41/G$1)</f>
        <v/>
      </c>
    </row>
    <row r="42">
      <c r="A42" s="1" t="n">
        <v>41</v>
      </c>
      <c r="B42" s="2" t="inlineStr">
        <is>
          <t>Hungary</t>
        </is>
      </c>
      <c r="C42" s="2" t="n">
        <v>41</v>
      </c>
      <c r="D42" s="2" t="n">
        <v>1504.14</v>
      </c>
      <c r="E42" s="4">
        <f>(D42/G$1)</f>
        <v/>
      </c>
    </row>
    <row r="43">
      <c r="A43" s="1" t="n">
        <v>42</v>
      </c>
      <c r="B43" s="2" t="inlineStr">
        <is>
          <t>Scotland</t>
        </is>
      </c>
      <c r="C43" s="2" t="n">
        <v>42</v>
      </c>
      <c r="D43" s="2" t="n">
        <v>1503.34</v>
      </c>
      <c r="E43" s="4">
        <f>(D43/G$1)</f>
        <v/>
      </c>
    </row>
    <row r="44">
      <c r="A44" s="1" t="n">
        <v>43</v>
      </c>
      <c r="B44" s="2" t="inlineStr">
        <is>
          <t>Serbia</t>
        </is>
      </c>
      <c r="C44" s="2" t="n">
        <v>43</v>
      </c>
      <c r="D44" s="2" t="n">
        <v>1502.13</v>
      </c>
      <c r="E44" s="4">
        <f>(D44/G$1)</f>
        <v/>
      </c>
    </row>
    <row r="45">
      <c r="A45" s="1" t="n">
        <v>44</v>
      </c>
      <c r="B45" s="2" t="inlineStr">
        <is>
          <t>Cameroon</t>
        </is>
      </c>
      <c r="C45" s="2" t="n">
        <v>44</v>
      </c>
      <c r="D45" s="2" t="n">
        <v>1481.24</v>
      </c>
      <c r="E45" s="4">
        <f>(D45/G$1)</f>
        <v/>
      </c>
    </row>
    <row r="46">
      <c r="A46" s="1" t="n">
        <v>45</v>
      </c>
      <c r="B46" s="2" t="inlineStr">
        <is>
          <t>Congo DR</t>
        </is>
      </c>
      <c r="C46" s="2" t="n">
        <v>45</v>
      </c>
      <c r="D46" s="2" t="n">
        <v>1479.68</v>
      </c>
      <c r="E46" s="4">
        <f>(D46/G$1)</f>
        <v/>
      </c>
    </row>
    <row r="47">
      <c r="A47" s="1" t="n">
        <v>46</v>
      </c>
      <c r="B47" s="2" t="inlineStr">
        <is>
          <t>Tunisia</t>
        </is>
      </c>
      <c r="C47" s="2" t="n">
        <v>46</v>
      </c>
      <c r="D47" s="2" t="n">
        <v>1476.41</v>
      </c>
      <c r="E47" s="4">
        <f>(D47/G$1)</f>
        <v/>
      </c>
    </row>
    <row r="48">
      <c r="A48" s="1" t="n">
        <v>47</v>
      </c>
      <c r="B48" s="2" t="inlineStr">
        <is>
          <t>Slovakia</t>
        </is>
      </c>
      <c r="C48" s="2" t="n">
        <v>47</v>
      </c>
      <c r="D48" s="2" t="n">
        <v>1473.66</v>
      </c>
      <c r="E48" s="4">
        <f>(D48/G$1)</f>
        <v/>
      </c>
    </row>
    <row r="49">
      <c r="A49" s="1" t="n">
        <v>48</v>
      </c>
      <c r="B49" s="2" t="inlineStr">
        <is>
          <t>Greece</t>
        </is>
      </c>
      <c r="C49" s="2" t="n">
        <v>48</v>
      </c>
      <c r="D49" s="2" t="n">
        <v>1473.19</v>
      </c>
      <c r="E49" s="4">
        <f>(D49/G$1)</f>
        <v/>
      </c>
    </row>
    <row r="50">
      <c r="A50" s="1" t="n">
        <v>49</v>
      </c>
      <c r="B50" s="2" t="inlineStr">
        <is>
          <t>Venezuela</t>
        </is>
      </c>
      <c r="C50" s="2" t="n">
        <v>49</v>
      </c>
      <c r="D50" s="2" t="n">
        <v>1464.3</v>
      </c>
      <c r="E50" s="4">
        <f>(D50/G$1)</f>
        <v/>
      </c>
    </row>
    <row r="51">
      <c r="A51" s="1" t="n">
        <v>50</v>
      </c>
      <c r="B51" s="2" t="inlineStr">
        <is>
          <t>Uzbekistan</t>
        </is>
      </c>
      <c r="C51" s="2" t="n">
        <v>50</v>
      </c>
      <c r="D51" s="2" t="n">
        <v>1458.73</v>
      </c>
      <c r="E51" s="4">
        <f>(D51/G$1)</f>
        <v/>
      </c>
    </row>
    <row r="52">
      <c r="A52" s="1" t="n">
        <v>51</v>
      </c>
      <c r="B52" s="2" t="inlineStr">
        <is>
          <t>Peru</t>
        </is>
      </c>
      <c r="C52" s="2" t="n">
        <v>51</v>
      </c>
      <c r="D52" s="2" t="n">
        <v>1457.69</v>
      </c>
      <c r="E52" s="4">
        <f>(D52/G$1)</f>
        <v/>
      </c>
    </row>
    <row r="53">
      <c r="A53" s="1" t="n">
        <v>52</v>
      </c>
      <c r="B53" s="2" t="inlineStr">
        <is>
          <t>Costa Rica</t>
        </is>
      </c>
      <c r="C53" s="2" t="n">
        <v>52</v>
      </c>
      <c r="D53" s="2" t="n">
        <v>1457</v>
      </c>
      <c r="E53" s="4">
        <f>(D53/G$1)</f>
        <v/>
      </c>
    </row>
    <row r="54">
      <c r="A54" s="1" t="n">
        <v>53</v>
      </c>
      <c r="B54" s="2" t="inlineStr">
        <is>
          <t>Romania</t>
        </is>
      </c>
      <c r="C54" s="2" t="n">
        <v>53</v>
      </c>
      <c r="D54" s="2" t="n">
        <v>1455.89</v>
      </c>
      <c r="E54" s="4">
        <f>(D54/G$1)</f>
        <v/>
      </c>
    </row>
    <row r="55">
      <c r="A55" s="1" t="n">
        <v>54</v>
      </c>
      <c r="B55" s="2" t="inlineStr">
        <is>
          <t>Mali</t>
        </is>
      </c>
      <c r="C55" s="2" t="n">
        <v>54</v>
      </c>
      <c r="D55" s="2" t="n">
        <v>1455.59</v>
      </c>
      <c r="E55" s="4">
        <f>(D55/G$1)</f>
        <v/>
      </c>
    </row>
    <row r="56">
      <c r="A56" s="1" t="n">
        <v>55</v>
      </c>
      <c r="B56" s="2" t="inlineStr">
        <is>
          <t>Chile</t>
        </is>
      </c>
      <c r="C56" s="2" t="n">
        <v>55</v>
      </c>
      <c r="D56" s="2" t="n">
        <v>1452.94</v>
      </c>
      <c r="E56" s="4">
        <f>(D56/G$1)</f>
        <v/>
      </c>
    </row>
    <row r="57">
      <c r="A57" s="1" t="n">
        <v>56</v>
      </c>
      <c r="B57" s="2" t="inlineStr">
        <is>
          <t>Iraq</t>
        </is>
      </c>
      <c r="C57" s="2" t="n">
        <v>56</v>
      </c>
      <c r="D57" s="2" t="n">
        <v>1451.15</v>
      </c>
      <c r="E57" s="4">
        <f>(D57/G$1)</f>
        <v/>
      </c>
    </row>
    <row r="58">
      <c r="A58" s="1" t="n">
        <v>57</v>
      </c>
      <c r="B58" s="2" t="inlineStr">
        <is>
          <t>Qatar</t>
        </is>
      </c>
      <c r="C58" s="2" t="n">
        <v>57</v>
      </c>
      <c r="D58" s="2" t="n">
        <v>1450.31</v>
      </c>
      <c r="E58" s="4">
        <f>(D58/G$1)</f>
        <v/>
      </c>
    </row>
    <row r="59">
      <c r="A59" s="1" t="n">
        <v>58</v>
      </c>
      <c r="B59" s="2" t="inlineStr">
        <is>
          <t>Republic of Ireland</t>
        </is>
      </c>
      <c r="C59" s="2" t="n">
        <v>58</v>
      </c>
      <c r="D59" s="2" t="n">
        <v>1441.1</v>
      </c>
      <c r="E59" s="4">
        <f>(D59/G$1)</f>
        <v/>
      </c>
    </row>
    <row r="60">
      <c r="A60" s="1" t="n">
        <v>59</v>
      </c>
      <c r="B60" s="2" t="inlineStr">
        <is>
          <t>Slovenia</t>
        </is>
      </c>
      <c r="C60" s="2" t="n">
        <v>59</v>
      </c>
      <c r="D60" s="2" t="n">
        <v>1441.09</v>
      </c>
      <c r="E60" s="4">
        <f>(D60/G$1)</f>
        <v/>
      </c>
    </row>
    <row r="61">
      <c r="A61" s="1" t="n">
        <v>60</v>
      </c>
      <c r="B61" s="2" t="inlineStr">
        <is>
          <t>South Africa</t>
        </is>
      </c>
      <c r="C61" s="2" t="n">
        <v>60</v>
      </c>
      <c r="D61" s="2" t="n">
        <v>1428.38</v>
      </c>
      <c r="E61" s="4">
        <f>(D61/G$1)</f>
        <v/>
      </c>
    </row>
    <row r="62">
      <c r="A62" s="1" t="n">
        <v>61</v>
      </c>
      <c r="B62" s="2" t="inlineStr">
        <is>
          <t>Saudi Arabia</t>
        </is>
      </c>
      <c r="C62" s="2" t="n">
        <v>61</v>
      </c>
      <c r="D62" s="2" t="n">
        <v>1421.54</v>
      </c>
      <c r="E62" s="4">
        <f>(D62/G$1)</f>
        <v/>
      </c>
    </row>
    <row r="63">
      <c r="A63" s="1" t="n">
        <v>62</v>
      </c>
      <c r="B63" s="2" t="inlineStr">
        <is>
          <t>Burkina Faso</t>
        </is>
      </c>
      <c r="C63" s="2" t="n">
        <v>62</v>
      </c>
      <c r="D63" s="2" t="n">
        <v>1408.54</v>
      </c>
      <c r="E63" s="4">
        <f>(D63/G$1)</f>
        <v/>
      </c>
    </row>
    <row r="64">
      <c r="A64" s="1" t="n">
        <v>63</v>
      </c>
      <c r="B64" s="2" t="inlineStr">
        <is>
          <t>Jordan</t>
        </is>
      </c>
      <c r="C64" s="2" t="n">
        <v>63</v>
      </c>
      <c r="D64" s="2" t="n">
        <v>1387.74</v>
      </c>
      <c r="E64" s="4">
        <f>(D64/G$1)</f>
        <v/>
      </c>
    </row>
    <row r="65">
      <c r="A65" s="1" t="n">
        <v>64</v>
      </c>
      <c r="B65" s="2" t="inlineStr">
        <is>
          <t>Bosnia and Herzegovina</t>
        </is>
      </c>
      <c r="C65" s="2" t="n">
        <v>64</v>
      </c>
      <c r="D65" s="2" t="n">
        <v>1387.22</v>
      </c>
      <c r="E65" s="4">
        <f>(D65/G$1)</f>
        <v/>
      </c>
    </row>
    <row r="66">
      <c r="A66" s="1" t="n">
        <v>65</v>
      </c>
      <c r="B66" s="2" t="inlineStr">
        <is>
          <t>Honduras</t>
        </is>
      </c>
      <c r="C66" s="2" t="n">
        <v>65</v>
      </c>
      <c r="D66" s="2" t="n">
        <v>1378.97</v>
      </c>
      <c r="E66" s="4">
        <f>(D66/G$1)</f>
        <v/>
      </c>
    </row>
    <row r="67">
      <c r="A67" s="1" t="n">
        <v>66</v>
      </c>
      <c r="B67" s="2" t="inlineStr">
        <is>
          <t>Albania</t>
        </is>
      </c>
      <c r="C67" s="2" t="n">
        <v>66</v>
      </c>
      <c r="D67" s="2" t="n">
        <v>1376.03</v>
      </c>
      <c r="E67" s="4">
        <f>(D67/G$1)</f>
        <v/>
      </c>
    </row>
    <row r="68">
      <c r="A68" s="1" t="n">
        <v>67</v>
      </c>
      <c r="B68" s="2" t="inlineStr">
        <is>
          <t>Cabo Verde</t>
        </is>
      </c>
      <c r="C68" s="2" t="n">
        <v>67</v>
      </c>
      <c r="D68" s="2" t="n">
        <v>1371.11</v>
      </c>
      <c r="E68" s="4">
        <f>(D68/G$1)</f>
        <v/>
      </c>
    </row>
    <row r="69">
      <c r="A69" s="1" t="n">
        <v>68</v>
      </c>
      <c r="B69" s="2" t="inlineStr">
        <is>
          <t>United Arab Emirates</t>
        </is>
      </c>
      <c r="C69" s="2" t="n">
        <v>68</v>
      </c>
      <c r="D69" s="2" t="n">
        <v>1370.47</v>
      </c>
      <c r="E69" s="4">
        <f>(D69/G$1)</f>
        <v/>
      </c>
    </row>
    <row r="70">
      <c r="A70" s="1" t="n">
        <v>69</v>
      </c>
      <c r="B70" s="2" t="inlineStr">
        <is>
          <t>North Macedonia</t>
        </is>
      </c>
      <c r="C70" s="2" t="n">
        <v>69</v>
      </c>
      <c r="D70" s="2" t="n">
        <v>1369.16</v>
      </c>
      <c r="E70" s="4">
        <f>(D70/G$1)</f>
        <v/>
      </c>
    </row>
    <row r="71">
      <c r="A71" s="1" t="n">
        <v>70</v>
      </c>
      <c r="B71" s="2" t="inlineStr">
        <is>
          <t>Northern Ireland</t>
        </is>
      </c>
      <c r="C71" s="2" t="n">
        <v>70</v>
      </c>
      <c r="D71" s="2" t="n">
        <v>1365.3</v>
      </c>
      <c r="E71" s="4">
        <f>(D71/G$1)</f>
        <v/>
      </c>
    </row>
    <row r="72">
      <c r="A72" s="1" t="n">
        <v>71</v>
      </c>
      <c r="B72" s="2" t="inlineStr">
        <is>
          <t>Jamaica</t>
        </is>
      </c>
      <c r="C72" s="2" t="n">
        <v>71</v>
      </c>
      <c r="D72" s="2" t="n">
        <v>1357.84</v>
      </c>
      <c r="E72" s="4">
        <f>(D72/G$1)</f>
        <v/>
      </c>
    </row>
    <row r="73">
      <c r="A73" s="1" t="n">
        <v>72</v>
      </c>
      <c r="B73" s="2" t="inlineStr">
        <is>
          <t>Georgia</t>
        </is>
      </c>
      <c r="C73" s="2" t="n">
        <v>72</v>
      </c>
      <c r="D73" s="2" t="n">
        <v>1355.26</v>
      </c>
      <c r="E73" s="4">
        <f>(D73/G$1)</f>
        <v/>
      </c>
    </row>
    <row r="74">
      <c r="A74" s="1" t="n">
        <v>73</v>
      </c>
      <c r="B74" s="2" t="inlineStr">
        <is>
          <t>Ghana</t>
        </is>
      </c>
      <c r="C74" s="2" t="n">
        <v>73</v>
      </c>
      <c r="D74" s="2" t="n">
        <v>1346.88</v>
      </c>
      <c r="E74" s="4">
        <f>(D74/G$1)</f>
        <v/>
      </c>
    </row>
    <row r="75">
      <c r="A75" s="1" t="n">
        <v>74</v>
      </c>
      <c r="B75" s="2" t="inlineStr">
        <is>
          <t>Iceland</t>
        </is>
      </c>
      <c r="C75" s="2" t="n">
        <v>74</v>
      </c>
      <c r="D75" s="2" t="n">
        <v>1343.92</v>
      </c>
      <c r="E75" s="4">
        <f>(D75/G$1)</f>
        <v/>
      </c>
    </row>
    <row r="76">
      <c r="A76" s="1" t="n">
        <v>75</v>
      </c>
      <c r="B76" s="2" t="inlineStr">
        <is>
          <t>Finland</t>
        </is>
      </c>
      <c r="C76" s="2" t="n">
        <v>75</v>
      </c>
      <c r="D76" s="2" t="n">
        <v>1341.92</v>
      </c>
      <c r="E76" s="4">
        <f>(D76/G$1)</f>
        <v/>
      </c>
    </row>
    <row r="77">
      <c r="A77" s="1" t="n">
        <v>76</v>
      </c>
      <c r="B77" s="2" t="inlineStr">
        <is>
          <t>Israel</t>
        </is>
      </c>
      <c r="C77" s="2" t="n">
        <v>76</v>
      </c>
      <c r="D77" s="2" t="n">
        <v>1333.9</v>
      </c>
      <c r="E77" s="4">
        <f>(D77/G$1)</f>
        <v/>
      </c>
    </row>
    <row r="78">
      <c r="A78" s="1" t="n">
        <v>77</v>
      </c>
      <c r="B78" s="2" t="inlineStr">
        <is>
          <t>Bolivia</t>
        </is>
      </c>
      <c r="C78" s="2" t="n">
        <v>77</v>
      </c>
      <c r="D78" s="2" t="n">
        <v>1326</v>
      </c>
      <c r="E78" s="4">
        <f>(D78/G$1)</f>
        <v/>
      </c>
    </row>
    <row r="79">
      <c r="A79" s="1" t="n">
        <v>78</v>
      </c>
      <c r="B79" s="2" t="inlineStr">
        <is>
          <t>Kosovo</t>
        </is>
      </c>
      <c r="C79" s="2" t="n">
        <v>78</v>
      </c>
      <c r="D79" s="2" t="n">
        <v>1319.12</v>
      </c>
      <c r="E79" s="4">
        <f>(D79/G$1)</f>
        <v/>
      </c>
    </row>
    <row r="80">
      <c r="A80" s="1" t="n">
        <v>79</v>
      </c>
      <c r="B80" s="2" t="inlineStr">
        <is>
          <t>Oman</t>
        </is>
      </c>
      <c r="C80" s="2" t="n">
        <v>79</v>
      </c>
      <c r="D80" s="2" t="n">
        <v>1306.9</v>
      </c>
      <c r="E80" s="4">
        <f>(D80/G$1)</f>
        <v/>
      </c>
    </row>
    <row r="81">
      <c r="A81" s="1" t="n">
        <v>80</v>
      </c>
      <c r="B81" s="2" t="inlineStr">
        <is>
          <t>Montenegro</t>
        </is>
      </c>
      <c r="C81" s="2" t="n">
        <v>80</v>
      </c>
      <c r="D81" s="2" t="n">
        <v>1301.98</v>
      </c>
      <c r="E81" s="4">
        <f>(D81/G$1)</f>
        <v/>
      </c>
    </row>
    <row r="82">
      <c r="A82" s="1" t="n">
        <v>81</v>
      </c>
      <c r="B82" s="2" t="inlineStr">
        <is>
          <t>Guinea</t>
        </is>
      </c>
      <c r="C82" s="2" t="n">
        <v>81</v>
      </c>
      <c r="D82" s="2" t="n">
        <v>1295.6</v>
      </c>
      <c r="E82" s="4">
        <f>(D82/G$1)</f>
        <v/>
      </c>
    </row>
    <row r="83">
      <c r="A83" s="1" t="n">
        <v>82</v>
      </c>
      <c r="B83" s="2" t="inlineStr">
        <is>
          <t>Curaçao</t>
        </is>
      </c>
      <c r="C83" s="2" t="n">
        <v>82</v>
      </c>
      <c r="D83" s="2" t="n">
        <v>1294.77</v>
      </c>
      <c r="E83" s="4">
        <f>(D83/G$1)</f>
        <v/>
      </c>
    </row>
    <row r="84">
      <c r="A84" s="1" t="n">
        <v>83</v>
      </c>
      <c r="B84" s="2" t="inlineStr">
        <is>
          <t>Haiti</t>
        </is>
      </c>
      <c r="C84" s="2" t="n">
        <v>83</v>
      </c>
      <c r="D84" s="2" t="n">
        <v>1293.1</v>
      </c>
      <c r="E84" s="4">
        <f>(D84/G$1)</f>
        <v/>
      </c>
    </row>
    <row r="85">
      <c r="A85" s="1" t="n">
        <v>84</v>
      </c>
      <c r="B85" s="2" t="inlineStr">
        <is>
          <t>Syria</t>
        </is>
      </c>
      <c r="C85" s="2" t="n">
        <v>84</v>
      </c>
      <c r="D85" s="2" t="n">
        <v>1283.05</v>
      </c>
      <c r="E85" s="4">
        <f>(D85/G$1)</f>
        <v/>
      </c>
    </row>
    <row r="86">
      <c r="A86" s="1" t="n">
        <v>85</v>
      </c>
      <c r="B86" s="2" t="inlineStr">
        <is>
          <t>New Zealand</t>
        </is>
      </c>
      <c r="C86" s="2" t="n">
        <v>85</v>
      </c>
      <c r="D86" s="2" t="n">
        <v>1275.58</v>
      </c>
      <c r="E86" s="4">
        <f>(D86/G$1)</f>
        <v/>
      </c>
    </row>
    <row r="87">
      <c r="A87" s="1" t="n">
        <v>86</v>
      </c>
      <c r="B87" s="2" t="inlineStr">
        <is>
          <t>Gabon</t>
        </is>
      </c>
      <c r="C87" s="2" t="n">
        <v>86</v>
      </c>
      <c r="D87" s="2" t="n">
        <v>1272.51</v>
      </c>
      <c r="E87" s="4">
        <f>(D87/G$1)</f>
        <v/>
      </c>
    </row>
    <row r="88">
      <c r="A88" s="1" t="n">
        <v>87</v>
      </c>
      <c r="B88" s="2" t="inlineStr">
        <is>
          <t>Bulgaria</t>
        </is>
      </c>
      <c r="C88" s="2" t="n">
        <v>87</v>
      </c>
      <c r="D88" s="2" t="n">
        <v>1271.68</v>
      </c>
      <c r="E88" s="4">
        <f>(D88/G$1)</f>
        <v/>
      </c>
    </row>
    <row r="89">
      <c r="A89" s="1" t="n">
        <v>88</v>
      </c>
      <c r="B89" s="2" t="inlineStr">
        <is>
          <t>Uganda</t>
        </is>
      </c>
      <c r="C89" s="2" t="n">
        <v>88</v>
      </c>
      <c r="D89" s="2" t="n">
        <v>1264.09</v>
      </c>
      <c r="E89" s="4">
        <f>(D89/G$1)</f>
        <v/>
      </c>
    </row>
    <row r="90">
      <c r="A90" s="1" t="n">
        <v>89</v>
      </c>
      <c r="B90" s="2" t="inlineStr">
        <is>
          <t>Angola</t>
        </is>
      </c>
      <c r="C90" s="2" t="n">
        <v>89</v>
      </c>
      <c r="D90" s="2" t="n">
        <v>1262.22</v>
      </c>
      <c r="E90" s="4">
        <f>(D90/G$1)</f>
        <v/>
      </c>
    </row>
    <row r="91">
      <c r="A91" s="1" t="n">
        <v>90</v>
      </c>
      <c r="B91" s="2" t="inlineStr">
        <is>
          <t>Benin</t>
        </is>
      </c>
      <c r="C91" s="2" t="n">
        <v>90</v>
      </c>
      <c r="D91" s="2" t="n">
        <v>1258.22</v>
      </c>
      <c r="E91" s="4">
        <f>(D91/G$1)</f>
        <v/>
      </c>
    </row>
    <row r="92">
      <c r="A92" s="1" t="n">
        <v>91</v>
      </c>
      <c r="B92" s="2" t="inlineStr">
        <is>
          <t>Zambia</t>
        </is>
      </c>
      <c r="C92" s="2" t="n">
        <v>91</v>
      </c>
      <c r="D92" s="2" t="n">
        <v>1255.82</v>
      </c>
      <c r="E92" s="4">
        <f>(D92/G$1)</f>
        <v/>
      </c>
    </row>
    <row r="93">
      <c r="A93" s="1" t="n">
        <v>92</v>
      </c>
      <c r="B93" s="2" t="inlineStr">
        <is>
          <t>China PR</t>
        </is>
      </c>
      <c r="C93" s="2" t="n">
        <v>92</v>
      </c>
      <c r="D93" s="2" t="n">
        <v>1254.85</v>
      </c>
      <c r="E93" s="4">
        <f>(D93/G$1)</f>
        <v/>
      </c>
    </row>
    <row r="94">
      <c r="A94" s="1" t="n">
        <v>93</v>
      </c>
      <c r="B94" s="2" t="inlineStr">
        <is>
          <t>Bahrain</t>
        </is>
      </c>
      <c r="C94" s="2" t="n">
        <v>93</v>
      </c>
      <c r="D94" s="2" t="n">
        <v>1254.41</v>
      </c>
      <c r="E94" s="4">
        <f>(D94/G$1)</f>
        <v/>
      </c>
    </row>
    <row r="95">
      <c r="A95" s="1" t="n">
        <v>94</v>
      </c>
      <c r="B95" s="2" t="inlineStr">
        <is>
          <t>Thailand</t>
        </is>
      </c>
      <c r="C95" s="2" t="n">
        <v>94</v>
      </c>
      <c r="D95" s="2" t="n">
        <v>1250.76</v>
      </c>
      <c r="E95" s="4">
        <f>(D95/G$1)</f>
        <v/>
      </c>
    </row>
    <row r="96">
      <c r="A96" s="1" t="n">
        <v>95</v>
      </c>
      <c r="B96" s="2" t="inlineStr">
        <is>
          <t>Palestine</t>
        </is>
      </c>
      <c r="C96" s="2" t="n">
        <v>95</v>
      </c>
      <c r="D96" s="2" t="n">
        <v>1244.22</v>
      </c>
      <c r="E96" s="4">
        <f>(D96/G$1)</f>
        <v/>
      </c>
    </row>
    <row r="97">
      <c r="A97" s="1" t="n">
        <v>96</v>
      </c>
      <c r="B97" s="2" t="inlineStr">
        <is>
          <t>Belarus</t>
        </is>
      </c>
      <c r="C97" s="2" t="n">
        <v>96</v>
      </c>
      <c r="D97" s="2" t="n">
        <v>1241.32</v>
      </c>
      <c r="E97" s="4">
        <f>(D97/G$1)</f>
        <v/>
      </c>
    </row>
    <row r="98">
      <c r="A98" s="1" t="n">
        <v>97</v>
      </c>
      <c r="B98" s="2" t="inlineStr">
        <is>
          <t>Guatemala</t>
        </is>
      </c>
      <c r="C98" s="2" t="n">
        <v>97</v>
      </c>
      <c r="D98" s="2" t="n">
        <v>1238.74</v>
      </c>
      <c r="E98" s="4">
        <f>(D98/G$1)</f>
        <v/>
      </c>
    </row>
    <row r="99">
      <c r="A99" s="1" t="n">
        <v>98</v>
      </c>
      <c r="B99" s="2" t="inlineStr">
        <is>
          <t>Luxembourg</t>
        </is>
      </c>
      <c r="C99" s="2" t="n">
        <v>98</v>
      </c>
      <c r="D99" s="2" t="n">
        <v>1232.82</v>
      </c>
      <c r="E99" s="4">
        <f>(D99/G$1)</f>
        <v/>
      </c>
    </row>
    <row r="100">
      <c r="A100" s="1" t="n">
        <v>99</v>
      </c>
      <c r="B100" s="2" t="inlineStr">
        <is>
          <t>Vietnam</t>
        </is>
      </c>
      <c r="C100" s="2" t="n">
        <v>99</v>
      </c>
      <c r="D100" s="2" t="n">
        <v>1225.68</v>
      </c>
      <c r="E100" s="4">
        <f>(D100/G$1)</f>
        <v/>
      </c>
    </row>
    <row r="101">
      <c r="A101" s="1" t="n">
        <v>100</v>
      </c>
      <c r="B101" s="2" t="inlineStr">
        <is>
          <t>Tajikistan</t>
        </is>
      </c>
      <c r="C101" s="2" t="n">
        <v>100</v>
      </c>
      <c r="D101" s="2" t="n">
        <v>1225.52</v>
      </c>
      <c r="E101" s="4">
        <f>(D101/G$1)</f>
        <v/>
      </c>
    </row>
    <row r="102">
      <c r="A102" s="1" t="n">
        <v>101</v>
      </c>
      <c r="B102" s="2" t="inlineStr">
        <is>
          <t>El Salvador</t>
        </is>
      </c>
      <c r="C102" s="2" t="n">
        <v>101</v>
      </c>
      <c r="D102" s="2" t="n">
        <v>1225.34</v>
      </c>
      <c r="E102" s="4">
        <f>(D102/G$1)</f>
        <v/>
      </c>
    </row>
    <row r="103">
      <c r="A103" s="1" t="n">
        <v>102</v>
      </c>
      <c r="B103" s="2" t="inlineStr">
        <is>
          <t>Mozambique</t>
        </is>
      </c>
      <c r="C103" s="2" t="n">
        <v>102</v>
      </c>
      <c r="D103" s="2" t="n">
        <v>1224.31</v>
      </c>
      <c r="E103" s="4">
        <f>(D103/G$1)</f>
        <v/>
      </c>
    </row>
    <row r="104">
      <c r="A104" s="1" t="n">
        <v>103</v>
      </c>
      <c r="B104" s="2" t="inlineStr">
        <is>
          <t>Trinidad and Tobago</t>
        </is>
      </c>
      <c r="C104" s="2" t="n">
        <v>103</v>
      </c>
      <c r="D104" s="2" t="n">
        <v>1221.95</v>
      </c>
      <c r="E104" s="4">
        <f>(D104/G$1)</f>
        <v/>
      </c>
    </row>
    <row r="105">
      <c r="A105" s="1" t="n">
        <v>104</v>
      </c>
      <c r="B105" s="2" t="inlineStr">
        <is>
          <t>Madagascar</t>
        </is>
      </c>
      <c r="C105" s="2" t="n">
        <v>104</v>
      </c>
      <c r="D105" s="2" t="n">
        <v>1202.69</v>
      </c>
      <c r="E105" s="4">
        <f>(D105/G$1)</f>
        <v/>
      </c>
    </row>
    <row r="106">
      <c r="A106" s="1" t="n">
        <v>105</v>
      </c>
      <c r="B106" s="2" t="inlineStr">
        <is>
          <t>Equatorial Guinea</t>
        </is>
      </c>
      <c r="C106" s="2" t="n">
        <v>105</v>
      </c>
      <c r="D106" s="2" t="n">
        <v>1195.2</v>
      </c>
      <c r="E106" s="4">
        <f>(D106/G$1)</f>
        <v/>
      </c>
    </row>
    <row r="107">
      <c r="A107" s="1" t="n">
        <v>106</v>
      </c>
      <c r="B107" s="2" t="inlineStr">
        <is>
          <t>Kyrgyz Republic</t>
        </is>
      </c>
      <c r="C107" s="2" t="n">
        <v>106</v>
      </c>
      <c r="D107" s="2" t="n">
        <v>1191.66</v>
      </c>
      <c r="E107" s="4">
        <f>(D107/G$1)</f>
        <v/>
      </c>
    </row>
    <row r="108">
      <c r="A108" s="1" t="n">
        <v>107</v>
      </c>
      <c r="B108" s="2" t="inlineStr">
        <is>
          <t>Armenia</t>
        </is>
      </c>
      <c r="C108" s="2" t="n">
        <v>107</v>
      </c>
      <c r="D108" s="2" t="n">
        <v>1191.33</v>
      </c>
      <c r="E108" s="4">
        <f>(D108/G$1)</f>
        <v/>
      </c>
    </row>
    <row r="109">
      <c r="A109" s="1" t="n">
        <v>108</v>
      </c>
      <c r="B109" s="2" t="inlineStr">
        <is>
          <t>Comoros</t>
        </is>
      </c>
      <c r="C109" s="2" t="n">
        <v>108</v>
      </c>
      <c r="D109" s="2" t="n">
        <v>1187.91</v>
      </c>
      <c r="E109" s="4">
        <f>(D109/G$1)</f>
        <v/>
      </c>
    </row>
    <row r="110">
      <c r="A110" s="1" t="n">
        <v>109</v>
      </c>
      <c r="B110" s="2" t="inlineStr">
        <is>
          <t>Kenya</t>
        </is>
      </c>
      <c r="C110" s="2" t="n">
        <v>109</v>
      </c>
      <c r="D110" s="2" t="n">
        <v>1185.08</v>
      </c>
      <c r="E110" s="4">
        <f>(D110/G$1)</f>
        <v/>
      </c>
    </row>
    <row r="111">
      <c r="A111" s="1" t="n">
        <v>110</v>
      </c>
      <c r="B111" s="2" t="inlineStr">
        <is>
          <t>Kazakhstan</t>
        </is>
      </c>
      <c r="C111" s="2" t="n">
        <v>110</v>
      </c>
      <c r="D111" s="2" t="n">
        <v>1183.04</v>
      </c>
      <c r="E111" s="4">
        <f>(D111/G$1)</f>
        <v/>
      </c>
    </row>
    <row r="112">
      <c r="A112" s="1" t="n">
        <v>111</v>
      </c>
      <c r="B112" s="2" t="inlineStr">
        <is>
          <t>Libya</t>
        </is>
      </c>
      <c r="C112" s="2" t="n">
        <v>111</v>
      </c>
      <c r="D112" s="2" t="n">
        <v>1182.08</v>
      </c>
      <c r="E112" s="4">
        <f>(D112/G$1)</f>
        <v/>
      </c>
    </row>
    <row r="113">
      <c r="A113" s="1" t="n">
        <v>112</v>
      </c>
      <c r="B113" s="2" t="inlineStr">
        <is>
          <t>Tanzania</t>
        </is>
      </c>
      <c r="C113" s="2" t="n">
        <v>112</v>
      </c>
      <c r="D113" s="2" t="n">
        <v>1180.27</v>
      </c>
      <c r="E113" s="4">
        <f>(D113/G$1)</f>
        <v/>
      </c>
    </row>
    <row r="114">
      <c r="A114" s="1" t="n">
        <v>113</v>
      </c>
      <c r="B114" s="2" t="inlineStr">
        <is>
          <t>Mauritania</t>
        </is>
      </c>
      <c r="C114" s="2" t="n">
        <v>113</v>
      </c>
      <c r="D114" s="2" t="n">
        <v>1176.68</v>
      </c>
      <c r="E114" s="4">
        <f>(D114/G$1)</f>
        <v/>
      </c>
    </row>
    <row r="115">
      <c r="A115" s="1" t="n">
        <v>114</v>
      </c>
      <c r="B115" s="2" t="inlineStr">
        <is>
          <t>Niger</t>
        </is>
      </c>
      <c r="C115" s="2" t="n">
        <v>114</v>
      </c>
      <c r="D115" s="2" t="n">
        <v>1175.33</v>
      </c>
      <c r="E115" s="4">
        <f>(D115/G$1)</f>
        <v/>
      </c>
    </row>
    <row r="116">
      <c r="A116" s="1" t="n">
        <v>115</v>
      </c>
      <c r="B116" s="2" t="inlineStr">
        <is>
          <t>Lebanon</t>
        </is>
      </c>
      <c r="C116" s="2" t="n">
        <v>115</v>
      </c>
      <c r="D116" s="2" t="n">
        <v>1172.22</v>
      </c>
      <c r="E116" s="4">
        <f>(D116/G$1)</f>
        <v/>
      </c>
    </row>
    <row r="117">
      <c r="A117" s="1" t="n">
        <v>116</v>
      </c>
      <c r="B117" s="2" t="inlineStr">
        <is>
          <t>The Gambia</t>
        </is>
      </c>
      <c r="C117" s="2" t="n">
        <v>116</v>
      </c>
      <c r="D117" s="2" t="n">
        <v>1159.64</v>
      </c>
      <c r="E117" s="4">
        <f>(D117/G$1)</f>
        <v/>
      </c>
    </row>
    <row r="118">
      <c r="A118" s="1" t="n">
        <v>117</v>
      </c>
      <c r="B118" s="2" t="inlineStr">
        <is>
          <t>Sudan</t>
        </is>
      </c>
      <c r="C118" s="2" t="n">
        <v>117</v>
      </c>
      <c r="D118" s="2" t="n">
        <v>1157.22</v>
      </c>
      <c r="E118" s="4">
        <f>(D118/G$1)</f>
        <v/>
      </c>
    </row>
    <row r="119">
      <c r="A119" s="1" t="n">
        <v>118</v>
      </c>
      <c r="B119" s="2" t="inlineStr">
        <is>
          <t>Sierra Leone</t>
        </is>
      </c>
      <c r="C119" s="2" t="n">
        <v>118</v>
      </c>
      <c r="D119" s="2" t="n">
        <v>1153.31</v>
      </c>
      <c r="E119" s="4">
        <f>(D119/G$1)</f>
        <v/>
      </c>
    </row>
    <row r="120">
      <c r="A120" s="1" t="n">
        <v>119</v>
      </c>
      <c r="B120" s="2" t="inlineStr">
        <is>
          <t>Indonesia</t>
        </is>
      </c>
      <c r="C120" s="2" t="n">
        <v>119</v>
      </c>
      <c r="D120" s="2" t="n">
        <v>1151.45</v>
      </c>
      <c r="E120" s="4">
        <f>(D120/G$1)</f>
        <v/>
      </c>
    </row>
    <row r="121">
      <c r="A121" s="1" t="n">
        <v>120</v>
      </c>
      <c r="B121" s="2" t="inlineStr">
        <is>
          <t>Korea DPR</t>
        </is>
      </c>
      <c r="C121" s="2" t="n">
        <v>120</v>
      </c>
      <c r="D121" s="2" t="n">
        <v>1151.05</v>
      </c>
      <c r="E121" s="4">
        <f>(D121/G$1)</f>
        <v/>
      </c>
    </row>
    <row r="122">
      <c r="A122" s="1" t="n">
        <v>121</v>
      </c>
      <c r="B122" s="2" t="inlineStr">
        <is>
          <t>Namibia</t>
        </is>
      </c>
      <c r="C122" s="2" t="n">
        <v>121</v>
      </c>
      <c r="D122" s="2" t="n">
        <v>1148.84</v>
      </c>
      <c r="E122" s="4">
        <f>(D122/G$1)</f>
        <v/>
      </c>
    </row>
    <row r="123">
      <c r="A123" s="1" t="n">
        <v>122</v>
      </c>
      <c r="B123" s="2" t="inlineStr">
        <is>
          <t>Togo</t>
        </is>
      </c>
      <c r="C123" s="2" t="n">
        <v>122</v>
      </c>
      <c r="D123" s="2" t="n">
        <v>1146.7</v>
      </c>
      <c r="E123" s="4">
        <f>(D123/G$1)</f>
        <v/>
      </c>
    </row>
    <row r="124">
      <c r="A124" s="1" t="n">
        <v>123</v>
      </c>
      <c r="B124" s="2" t="inlineStr">
        <is>
          <t>Cyprus</t>
        </is>
      </c>
      <c r="C124" s="2" t="n">
        <v>123</v>
      </c>
      <c r="D124" s="2" t="n">
        <v>1133.25</v>
      </c>
      <c r="E124" s="4">
        <f>(D124/G$1)</f>
        <v/>
      </c>
    </row>
    <row r="125">
      <c r="A125" s="1" t="n">
        <v>124</v>
      </c>
      <c r="B125" s="2" t="inlineStr">
        <is>
          <t>Suriname</t>
        </is>
      </c>
      <c r="C125" s="2" t="n">
        <v>124</v>
      </c>
      <c r="D125" s="2" t="n">
        <v>1132.43</v>
      </c>
      <c r="E125" s="4">
        <f>(D125/G$1)</f>
        <v/>
      </c>
    </row>
    <row r="126">
      <c r="A126" s="1" t="n">
        <v>125</v>
      </c>
      <c r="B126" s="2" t="inlineStr">
        <is>
          <t>Faroe Islands</t>
        </is>
      </c>
      <c r="C126" s="2" t="n">
        <v>125</v>
      </c>
      <c r="D126" s="2" t="n">
        <v>1131.98</v>
      </c>
      <c r="E126" s="4">
        <f>(D126/G$1)</f>
        <v/>
      </c>
    </row>
    <row r="127">
      <c r="A127" s="1" t="n">
        <v>126</v>
      </c>
      <c r="B127" s="2" t="inlineStr">
        <is>
          <t>Azerbaijan</t>
        </is>
      </c>
      <c r="C127" s="2" t="n">
        <v>126</v>
      </c>
      <c r="D127" s="2" t="n">
        <v>1130.26</v>
      </c>
      <c r="E127" s="4">
        <f>(D127/G$1)</f>
        <v/>
      </c>
    </row>
    <row r="128">
      <c r="A128" s="1" t="n">
        <v>127</v>
      </c>
      <c r="B128" s="2" t="inlineStr">
        <is>
          <t>Rwanda</t>
        </is>
      </c>
      <c r="C128" s="2" t="n">
        <v>127</v>
      </c>
      <c r="D128" s="2" t="n">
        <v>1126.62</v>
      </c>
      <c r="E128" s="4">
        <f>(D128/G$1)</f>
        <v/>
      </c>
    </row>
    <row r="129">
      <c r="A129" s="1" t="n">
        <v>128</v>
      </c>
      <c r="B129" s="2" t="inlineStr">
        <is>
          <t>Estonia</t>
        </is>
      </c>
      <c r="C129" s="2" t="n">
        <v>128</v>
      </c>
      <c r="D129" s="2" t="n">
        <v>1126.26</v>
      </c>
      <c r="E129" s="4">
        <f>(D129/G$1)</f>
        <v/>
      </c>
    </row>
    <row r="130">
      <c r="A130" s="1" t="n">
        <v>129</v>
      </c>
      <c r="B130" s="2" t="inlineStr">
        <is>
          <t>Malawi</t>
        </is>
      </c>
      <c r="C130" s="2" t="n">
        <v>129</v>
      </c>
      <c r="D130" s="2" t="n">
        <v>1122.49</v>
      </c>
      <c r="E130" s="4">
        <f>(D130/G$1)</f>
        <v/>
      </c>
    </row>
    <row r="131">
      <c r="A131" s="1" t="n">
        <v>130</v>
      </c>
      <c r="B131" s="2" t="inlineStr">
        <is>
          <t>Zimbabwe</t>
        </is>
      </c>
      <c r="C131" s="2" t="n">
        <v>130</v>
      </c>
      <c r="D131" s="2" t="n">
        <v>1119.78</v>
      </c>
      <c r="E131" s="4">
        <f>(D131/G$1)</f>
        <v/>
      </c>
    </row>
    <row r="132">
      <c r="A132" s="1" t="n">
        <v>131</v>
      </c>
      <c r="B132" s="2" t="inlineStr">
        <is>
          <t>Nicaragua</t>
        </is>
      </c>
      <c r="C132" s="2" t="n">
        <v>131</v>
      </c>
      <c r="D132" s="2" t="n">
        <v>1114.63</v>
      </c>
      <c r="E132" s="4">
        <f>(D132/G$1)</f>
        <v/>
      </c>
    </row>
    <row r="133">
      <c r="A133" s="1" t="n">
        <v>132</v>
      </c>
      <c r="B133" s="2" t="inlineStr">
        <is>
          <t>Guinea-Bissau</t>
        </is>
      </c>
      <c r="C133" s="2" t="n">
        <v>132</v>
      </c>
      <c r="D133" s="2" t="n">
        <v>1108.38</v>
      </c>
      <c r="E133" s="4">
        <f>(D133/G$1)</f>
        <v/>
      </c>
    </row>
    <row r="134">
      <c r="A134" s="1" t="n">
        <v>133</v>
      </c>
      <c r="B134" s="2" t="inlineStr">
        <is>
          <t>Kuwait</t>
        </is>
      </c>
      <c r="C134" s="2" t="n">
        <v>133</v>
      </c>
      <c r="D134" s="2" t="n">
        <v>1106.47</v>
      </c>
      <c r="E134" s="4">
        <f>(D134/G$1)</f>
        <v/>
      </c>
    </row>
    <row r="135">
      <c r="A135" s="1" t="n">
        <v>134</v>
      </c>
      <c r="B135" s="2" t="inlineStr">
        <is>
          <t>Congo</t>
        </is>
      </c>
      <c r="C135" s="2" t="n">
        <v>134</v>
      </c>
      <c r="D135" s="2" t="n">
        <v>1105.96</v>
      </c>
      <c r="E135" s="4">
        <f>(D135/G$1)</f>
        <v/>
      </c>
    </row>
    <row r="136">
      <c r="A136" s="1" t="n">
        <v>135</v>
      </c>
      <c r="B136" s="2" t="inlineStr">
        <is>
          <t>Philippines</t>
        </is>
      </c>
      <c r="C136" s="2" t="n">
        <v>135</v>
      </c>
      <c r="D136" s="2" t="n">
        <v>1096.73</v>
      </c>
      <c r="E136" s="4">
        <f>(D136/G$1)</f>
        <v/>
      </c>
    </row>
    <row r="137">
      <c r="A137" s="1" t="n">
        <v>136</v>
      </c>
      <c r="B137" s="2" t="inlineStr">
        <is>
          <t>Latvia</t>
        </is>
      </c>
      <c r="C137" s="2" t="n">
        <v>136</v>
      </c>
      <c r="D137" s="2" t="n">
        <v>1090.26</v>
      </c>
      <c r="E137" s="4">
        <f>(D137/G$1)</f>
        <v/>
      </c>
    </row>
    <row r="138">
      <c r="A138" s="1" t="n">
        <v>137</v>
      </c>
      <c r="B138" s="2" t="inlineStr">
        <is>
          <t>Malaysia</t>
        </is>
      </c>
      <c r="C138" s="2" t="n">
        <v>137</v>
      </c>
      <c r="D138" s="2" t="n">
        <v>1086.22</v>
      </c>
      <c r="E138" s="4">
        <f>(D138/G$1)</f>
        <v/>
      </c>
    </row>
    <row r="139">
      <c r="A139" s="1" t="n">
        <v>138</v>
      </c>
      <c r="B139" s="2" t="inlineStr">
        <is>
          <t>Central African Republic</t>
        </is>
      </c>
      <c r="C139" s="2" t="n">
        <v>138</v>
      </c>
      <c r="D139" s="2" t="n">
        <v>1084.18</v>
      </c>
      <c r="E139" s="4">
        <f>(D139/G$1)</f>
        <v/>
      </c>
    </row>
    <row r="140">
      <c r="A140" s="1" t="n">
        <v>139</v>
      </c>
      <c r="B140" s="2" t="inlineStr">
        <is>
          <t>India</t>
        </is>
      </c>
      <c r="C140" s="2" t="n">
        <v>139</v>
      </c>
      <c r="D140" s="2" t="n">
        <v>1083.6</v>
      </c>
      <c r="E140" s="4">
        <f>(D140/G$1)</f>
        <v/>
      </c>
    </row>
    <row r="141">
      <c r="A141" s="1" t="n">
        <v>140</v>
      </c>
      <c r="B141" s="2" t="inlineStr">
        <is>
          <t>Turkmenistan</t>
        </is>
      </c>
      <c r="C141" s="2" t="n">
        <v>140</v>
      </c>
      <c r="D141" s="2" t="n">
        <v>1078.65</v>
      </c>
      <c r="E141" s="4">
        <f>(D141/G$1)</f>
        <v/>
      </c>
    </row>
    <row r="142">
      <c r="A142" s="1" t="n">
        <v>141</v>
      </c>
      <c r="B142" s="2" t="inlineStr">
        <is>
          <t>Burundi</t>
        </is>
      </c>
      <c r="C142" s="2" t="n">
        <v>141</v>
      </c>
      <c r="D142" s="2" t="n">
        <v>1078.01</v>
      </c>
      <c r="E142" s="4">
        <f>(D142/G$1)</f>
        <v/>
      </c>
    </row>
    <row r="143">
      <c r="A143" s="1" t="n">
        <v>142</v>
      </c>
      <c r="B143" s="2" t="inlineStr">
        <is>
          <t>Ethiopia</t>
        </is>
      </c>
      <c r="C143" s="2" t="n">
        <v>142</v>
      </c>
      <c r="D143" s="2" t="n">
        <v>1077.09</v>
      </c>
      <c r="E143" s="4">
        <f>(D143/G$1)</f>
        <v/>
      </c>
    </row>
    <row r="144">
      <c r="A144" s="1" t="n">
        <v>143</v>
      </c>
      <c r="B144" s="2" t="inlineStr">
        <is>
          <t>Dominican Republic</t>
        </is>
      </c>
      <c r="C144" s="2" t="n">
        <v>143</v>
      </c>
      <c r="D144" s="2" t="n">
        <v>1076.5</v>
      </c>
      <c r="E144" s="4">
        <f>(D144/G$1)</f>
        <v/>
      </c>
    </row>
    <row r="145">
      <c r="A145" s="1" t="n">
        <v>144</v>
      </c>
      <c r="B145" s="2" t="inlineStr">
        <is>
          <t>Liberia</t>
        </is>
      </c>
      <c r="C145" s="2" t="n">
        <v>144</v>
      </c>
      <c r="D145" s="2" t="n">
        <v>1074.69</v>
      </c>
      <c r="E145" s="4">
        <f>(D145/G$1)</f>
        <v/>
      </c>
    </row>
    <row r="146">
      <c r="A146" s="1" t="n">
        <v>145</v>
      </c>
      <c r="B146" s="2" t="inlineStr">
        <is>
          <t>Yemen</t>
        </is>
      </c>
      <c r="C146" s="2" t="n">
        <v>145</v>
      </c>
      <c r="D146" s="2" t="n">
        <v>1065.24</v>
      </c>
      <c r="E146" s="4">
        <f>(D146/G$1)</f>
        <v/>
      </c>
    </row>
    <row r="147">
      <c r="A147" s="1" t="n">
        <v>146</v>
      </c>
      <c r="B147" s="2" t="inlineStr">
        <is>
          <t>Lesotho</t>
        </is>
      </c>
      <c r="C147" s="2" t="n">
        <v>146</v>
      </c>
      <c r="D147" s="2" t="n">
        <v>1064.29</v>
      </c>
      <c r="E147" s="4">
        <f>(D147/G$1)</f>
        <v/>
      </c>
    </row>
    <row r="148">
      <c r="A148" s="1" t="n">
        <v>147</v>
      </c>
      <c r="B148" s="2" t="inlineStr">
        <is>
          <t>Botswana</t>
        </is>
      </c>
      <c r="C148" s="2" t="n">
        <v>147</v>
      </c>
      <c r="D148" s="2" t="n">
        <v>1063.63</v>
      </c>
      <c r="E148" s="4">
        <f>(D148/G$1)</f>
        <v/>
      </c>
    </row>
    <row r="149">
      <c r="A149" s="1" t="n">
        <v>148</v>
      </c>
      <c r="B149" s="2" t="inlineStr">
        <is>
          <t>Lithuania</t>
        </is>
      </c>
      <c r="C149" s="2" t="n">
        <v>148</v>
      </c>
      <c r="D149" s="2" t="n">
        <v>1061.23</v>
      </c>
      <c r="E149" s="4">
        <f>(D149/G$1)</f>
        <v/>
      </c>
    </row>
    <row r="150">
      <c r="A150" s="1" t="n">
        <v>149</v>
      </c>
      <c r="B150" s="2" t="inlineStr">
        <is>
          <t>Singapore</t>
        </is>
      </c>
      <c r="C150" s="2" t="n">
        <v>149</v>
      </c>
      <c r="D150" s="2" t="n">
        <v>1057.95</v>
      </c>
      <c r="E150" s="4">
        <f>(D150/G$1)</f>
        <v/>
      </c>
    </row>
    <row r="151">
      <c r="A151" s="1" t="n">
        <v>150</v>
      </c>
      <c r="B151" s="2" t="inlineStr">
        <is>
          <t>Guyana</t>
        </is>
      </c>
      <c r="C151" s="2" t="n">
        <v>150</v>
      </c>
      <c r="D151" s="2" t="n">
        <v>1049.32</v>
      </c>
      <c r="E151" s="4">
        <f>(D151/G$1)</f>
        <v/>
      </c>
    </row>
    <row r="152">
      <c r="A152" s="1" t="n">
        <v>151</v>
      </c>
      <c r="B152" s="2" t="inlineStr">
        <is>
          <t>New Caledonia</t>
        </is>
      </c>
      <c r="C152" s="2" t="n">
        <v>151</v>
      </c>
      <c r="D152" s="2" t="n">
        <v>1036.95</v>
      </c>
      <c r="E152" s="4">
        <f>(D152/G$1)</f>
        <v/>
      </c>
    </row>
    <row r="153">
      <c r="A153" s="1" t="n">
        <v>152</v>
      </c>
      <c r="B153" s="2" t="inlineStr">
        <is>
          <t>St Kitts and Nevis</t>
        </is>
      </c>
      <c r="C153" s="2" t="n">
        <v>152</v>
      </c>
      <c r="D153" s="2" t="n">
        <v>1036.33</v>
      </c>
      <c r="E153" s="4">
        <f>(D153/G$1)</f>
        <v/>
      </c>
    </row>
    <row r="154">
      <c r="A154" s="1" t="n">
        <v>153</v>
      </c>
      <c r="B154" s="2" t="inlineStr">
        <is>
          <t>Solomon Islands</t>
        </is>
      </c>
      <c r="C154" s="2" t="n">
        <v>153</v>
      </c>
      <c r="D154" s="2" t="n">
        <v>1031.89</v>
      </c>
      <c r="E154" s="4">
        <f>(D154/G$1)</f>
        <v/>
      </c>
    </row>
    <row r="155">
      <c r="A155" s="1" t="n">
        <v>154</v>
      </c>
      <c r="B155" s="2" t="inlineStr">
        <is>
          <t>Hong Kong, China</t>
        </is>
      </c>
      <c r="C155" s="2" t="n">
        <v>154</v>
      </c>
      <c r="D155" s="2" t="n">
        <v>1030.24</v>
      </c>
      <c r="E155" s="4">
        <f>(D155/G$1)</f>
        <v/>
      </c>
    </row>
    <row r="156">
      <c r="A156" s="1" t="n">
        <v>155</v>
      </c>
      <c r="B156" s="2" t="inlineStr">
        <is>
          <t>Fiji</t>
        </is>
      </c>
      <c r="C156" s="2" t="n">
        <v>155</v>
      </c>
      <c r="D156" s="2" t="n">
        <v>1024.38</v>
      </c>
      <c r="E156" s="4">
        <f>(D156/G$1)</f>
        <v/>
      </c>
    </row>
    <row r="157">
      <c r="A157" s="1" t="n">
        <v>156</v>
      </c>
      <c r="B157" s="2" t="inlineStr">
        <is>
          <t>Puerto Rico</t>
        </is>
      </c>
      <c r="C157" s="2" t="n">
        <v>156</v>
      </c>
      <c r="D157" s="2" t="n">
        <v>1024.3</v>
      </c>
      <c r="E157" s="4">
        <f>(D157/G$1)</f>
        <v/>
      </c>
    </row>
    <row r="158">
      <c r="A158" s="1" t="n">
        <v>157</v>
      </c>
      <c r="B158" s="2" t="inlineStr">
        <is>
          <t>Tahiti</t>
        </is>
      </c>
      <c r="C158" s="2" t="n">
        <v>157</v>
      </c>
      <c r="D158" s="2" t="n">
        <v>1019.04</v>
      </c>
      <c r="E158" s="4">
        <f>(D158/G$1)</f>
        <v/>
      </c>
    </row>
    <row r="159">
      <c r="A159" s="1" t="n">
        <v>158</v>
      </c>
      <c r="B159" s="2" t="inlineStr">
        <is>
          <t>Myanmar</t>
        </is>
      </c>
      <c r="C159" s="2" t="n">
        <v>158</v>
      </c>
      <c r="D159" s="2" t="n">
        <v>1015.14</v>
      </c>
      <c r="E159" s="4">
        <f>(D159/G$1)</f>
        <v/>
      </c>
    </row>
    <row r="160">
      <c r="A160" s="1" t="n">
        <v>159</v>
      </c>
      <c r="B160" s="2" t="inlineStr">
        <is>
          <t>Moldova</t>
        </is>
      </c>
      <c r="C160" s="2" t="n">
        <v>159</v>
      </c>
      <c r="D160" s="2" t="n">
        <v>1006.54</v>
      </c>
      <c r="E160" s="4">
        <f>(D160/G$1)</f>
        <v/>
      </c>
    </row>
    <row r="161">
      <c r="A161" s="1" t="n">
        <v>160</v>
      </c>
      <c r="B161" s="2" t="inlineStr">
        <is>
          <t>Vanuatu</t>
        </is>
      </c>
      <c r="C161" s="2" t="n">
        <v>160</v>
      </c>
      <c r="D161" s="2" t="n">
        <v>1002.32</v>
      </c>
      <c r="E161" s="4">
        <f>(D161/G$1)</f>
        <v/>
      </c>
    </row>
    <row r="162">
      <c r="A162" s="1" t="n">
        <v>161</v>
      </c>
      <c r="B162" s="2" t="inlineStr">
        <is>
          <t>Malta</t>
        </is>
      </c>
      <c r="C162" s="2" t="n">
        <v>161</v>
      </c>
      <c r="D162" s="2" t="n">
        <v>992.79</v>
      </c>
      <c r="E162" s="4">
        <f>(D162/G$1)</f>
        <v/>
      </c>
    </row>
    <row r="163">
      <c r="A163" s="1" t="n">
        <v>162</v>
      </c>
      <c r="B163" s="2" t="inlineStr">
        <is>
          <t>Antigua and Barbuda</t>
        </is>
      </c>
      <c r="C163" s="2" t="n">
        <v>162</v>
      </c>
      <c r="D163" s="2" t="n">
        <v>986.58</v>
      </c>
      <c r="E163" s="4">
        <f>(D163/G$1)</f>
        <v/>
      </c>
    </row>
    <row r="164">
      <c r="A164" s="1" t="n">
        <v>163</v>
      </c>
      <c r="B164" s="2" t="inlineStr">
        <is>
          <t>Grenada</t>
        </is>
      </c>
      <c r="C164" s="2" t="n">
        <v>163</v>
      </c>
      <c r="D164" s="2" t="n">
        <v>981.8200000000001</v>
      </c>
      <c r="E164" s="4">
        <f>(D164/G$1)</f>
        <v/>
      </c>
    </row>
    <row r="165">
      <c r="A165" s="1" t="n">
        <v>164</v>
      </c>
      <c r="B165" s="2" t="inlineStr">
        <is>
          <t>Cuba</t>
        </is>
      </c>
      <c r="C165" s="2" t="n">
        <v>164</v>
      </c>
      <c r="D165" s="2" t="n">
        <v>981.42</v>
      </c>
      <c r="E165" s="4">
        <f>(D165/G$1)</f>
        <v/>
      </c>
    </row>
    <row r="166">
      <c r="A166" s="1" t="n">
        <v>165</v>
      </c>
      <c r="B166" s="2" t="inlineStr">
        <is>
          <t>Eswatini</t>
        </is>
      </c>
      <c r="C166" s="2" t="n">
        <v>165</v>
      </c>
      <c r="D166" s="2" t="n">
        <v>979.01</v>
      </c>
      <c r="E166" s="4">
        <f>(D166/G$1)</f>
        <v/>
      </c>
    </row>
    <row r="167">
      <c r="A167" s="1" t="n">
        <v>166</v>
      </c>
      <c r="B167" s="2" t="inlineStr">
        <is>
          <t>St Lucia</t>
        </is>
      </c>
      <c r="C167" s="2" t="n">
        <v>166</v>
      </c>
      <c r="D167" s="2" t="n">
        <v>976.71</v>
      </c>
      <c r="E167" s="4">
        <f>(D167/G$1)</f>
        <v/>
      </c>
    </row>
    <row r="168">
      <c r="A168" s="1" t="n">
        <v>167</v>
      </c>
      <c r="B168" s="2" t="inlineStr">
        <is>
          <t>Bermuda</t>
        </is>
      </c>
      <c r="C168" s="2" t="n">
        <v>167</v>
      </c>
      <c r="D168" s="2" t="n">
        <v>975.05</v>
      </c>
      <c r="E168" s="4">
        <f>(D168/G$1)</f>
        <v/>
      </c>
    </row>
    <row r="169">
      <c r="A169" s="1" t="n">
        <v>168</v>
      </c>
      <c r="B169" s="2" t="inlineStr">
        <is>
          <t>Papua New Guinea</t>
        </is>
      </c>
      <c r="C169" s="2" t="n">
        <v>168</v>
      </c>
      <c r="D169" s="2" t="n">
        <v>974.9</v>
      </c>
      <c r="E169" s="4">
        <f>(D169/G$1)</f>
        <v/>
      </c>
    </row>
    <row r="170">
      <c r="A170" s="1" t="n">
        <v>169</v>
      </c>
      <c r="B170" s="2" t="inlineStr">
        <is>
          <t>Afghanistan</t>
        </is>
      </c>
      <c r="C170" s="2" t="n">
        <v>169</v>
      </c>
      <c r="D170" s="2" t="n">
        <v>971.2</v>
      </c>
      <c r="E170" s="4">
        <f>(D170/G$1)</f>
        <v/>
      </c>
    </row>
    <row r="171">
      <c r="A171" s="1" t="n">
        <v>170</v>
      </c>
      <c r="B171" s="2" t="inlineStr">
        <is>
          <t>South Sudan</t>
        </is>
      </c>
      <c r="C171" s="2" t="n">
        <v>170</v>
      </c>
      <c r="D171" s="2" t="n">
        <v>970.9400000000001</v>
      </c>
      <c r="E171" s="4">
        <f>(D171/G$1)</f>
        <v/>
      </c>
    </row>
    <row r="172">
      <c r="A172" s="1" t="n">
        <v>171</v>
      </c>
      <c r="B172" s="2" t="inlineStr">
        <is>
          <t>St Vincent and the Grenadines</t>
        </is>
      </c>
      <c r="C172" s="2" t="n">
        <v>171</v>
      </c>
      <c r="D172" s="2" t="n">
        <v>968.27</v>
      </c>
      <c r="E172" s="4">
        <f>(D172/G$1)</f>
        <v/>
      </c>
    </row>
    <row r="173">
      <c r="A173" s="1" t="n">
        <v>172</v>
      </c>
      <c r="B173" s="2" t="inlineStr">
        <is>
          <t>Andorra</t>
        </is>
      </c>
      <c r="C173" s="2" t="n">
        <v>172</v>
      </c>
      <c r="D173" s="2" t="n">
        <v>946.4299999999999</v>
      </c>
      <c r="E173" s="4">
        <f>(D173/G$1)</f>
        <v/>
      </c>
    </row>
    <row r="174">
      <c r="A174" s="1" t="n">
        <v>173</v>
      </c>
      <c r="B174" s="2" t="inlineStr">
        <is>
          <t>Maldives</t>
        </is>
      </c>
      <c r="C174" s="2" t="n">
        <v>173</v>
      </c>
      <c r="D174" s="2" t="n">
        <v>943.92</v>
      </c>
      <c r="E174" s="4">
        <f>(D174/G$1)</f>
        <v/>
      </c>
    </row>
    <row r="175">
      <c r="A175" s="1" t="n">
        <v>174</v>
      </c>
      <c r="B175" s="2" t="inlineStr">
        <is>
          <t>Chinese Taipei</t>
        </is>
      </c>
      <c r="C175" s="2" t="n">
        <v>174</v>
      </c>
      <c r="D175" s="2" t="n">
        <v>923.78</v>
      </c>
      <c r="E175" s="4">
        <f>(D175/G$1)</f>
        <v/>
      </c>
    </row>
    <row r="176">
      <c r="A176" s="1" t="n">
        <v>175</v>
      </c>
      <c r="B176" s="2" t="inlineStr">
        <is>
          <t>Montserrat</t>
        </is>
      </c>
      <c r="C176" s="2" t="n">
        <v>175</v>
      </c>
      <c r="D176" s="2" t="n">
        <v>916.75</v>
      </c>
      <c r="E176" s="4">
        <f>(D176/G$1)</f>
        <v/>
      </c>
    </row>
    <row r="177">
      <c r="A177" s="1" t="n">
        <v>176</v>
      </c>
      <c r="B177" s="2" t="inlineStr">
        <is>
          <t>Cambodia</t>
        </is>
      </c>
      <c r="C177" s="2" t="n">
        <v>176</v>
      </c>
      <c r="D177" s="2" t="n">
        <v>916.24</v>
      </c>
      <c r="E177" s="4">
        <f>(D177/G$1)</f>
        <v/>
      </c>
    </row>
    <row r="178">
      <c r="A178" s="1" t="n">
        <v>177</v>
      </c>
      <c r="B178" s="2" t="inlineStr">
        <is>
          <t>Nepal</t>
        </is>
      </c>
      <c r="C178" s="2" t="n">
        <v>177</v>
      </c>
      <c r="D178" s="2" t="n">
        <v>914.54</v>
      </c>
      <c r="E178" s="4">
        <f>(D178/G$1)</f>
        <v/>
      </c>
    </row>
    <row r="179">
      <c r="A179" s="1" t="n">
        <v>178</v>
      </c>
      <c r="B179" s="2" t="inlineStr">
        <is>
          <t>Mauritius</t>
        </is>
      </c>
      <c r="C179" s="2" t="n">
        <v>178</v>
      </c>
      <c r="D179" s="2" t="n">
        <v>911.49</v>
      </c>
      <c r="E179" s="4">
        <f>(D179/G$1)</f>
        <v/>
      </c>
    </row>
    <row r="180">
      <c r="A180" s="1" t="n">
        <v>179</v>
      </c>
      <c r="B180" s="2" t="inlineStr">
        <is>
          <t>Barbados</t>
        </is>
      </c>
      <c r="C180" s="2" t="n">
        <v>179</v>
      </c>
      <c r="D180" s="2" t="n">
        <v>909.89</v>
      </c>
      <c r="E180" s="4">
        <f>(D180/G$1)</f>
        <v/>
      </c>
    </row>
    <row r="181">
      <c r="A181" s="1" t="n">
        <v>180</v>
      </c>
      <c r="B181" s="2" t="inlineStr">
        <is>
          <t>Belize</t>
        </is>
      </c>
      <c r="C181" s="2" t="n">
        <v>180</v>
      </c>
      <c r="D181" s="2" t="n">
        <v>907</v>
      </c>
      <c r="E181" s="4">
        <f>(D181/G$1)</f>
        <v/>
      </c>
    </row>
    <row r="182">
      <c r="A182" s="1" t="n">
        <v>181</v>
      </c>
      <c r="B182" s="2" t="inlineStr">
        <is>
          <t>Bangladesh</t>
        </is>
      </c>
      <c r="C182" s="2" t="n">
        <v>181</v>
      </c>
      <c r="D182" s="2" t="n">
        <v>902.9299999999999</v>
      </c>
      <c r="E182" s="4">
        <f>(D182/G$1)</f>
        <v/>
      </c>
    </row>
    <row r="183">
      <c r="A183" s="1" t="n">
        <v>182</v>
      </c>
      <c r="B183" s="2" t="inlineStr">
        <is>
          <t>Dominica</t>
        </is>
      </c>
      <c r="C183" s="2" t="n">
        <v>182</v>
      </c>
      <c r="D183" s="2" t="n">
        <v>897.6900000000001</v>
      </c>
      <c r="E183" s="4">
        <f>(D183/G$1)</f>
        <v/>
      </c>
    </row>
    <row r="184">
      <c r="A184" s="1" t="n">
        <v>183</v>
      </c>
      <c r="B184" s="2" t="inlineStr">
        <is>
          <t>Chad</t>
        </is>
      </c>
      <c r="C184" s="2" t="n">
        <v>183</v>
      </c>
      <c r="D184" s="2" t="n">
        <v>896.85</v>
      </c>
      <c r="E184" s="4">
        <f>(D184/G$1)</f>
        <v/>
      </c>
    </row>
    <row r="185">
      <c r="A185" s="1" t="n">
        <v>184</v>
      </c>
      <c r="B185" s="2" t="inlineStr">
        <is>
          <t>Eritrea</t>
        </is>
      </c>
      <c r="C185" s="2" t="n">
        <v>184</v>
      </c>
      <c r="D185" s="2" t="n">
        <v>887.0599999999999</v>
      </c>
      <c r="E185" s="4">
        <f>(D185/G$1)</f>
        <v/>
      </c>
    </row>
    <row r="186">
      <c r="A186" s="1" t="n">
        <v>185</v>
      </c>
      <c r="B186" s="2" t="inlineStr">
        <is>
          <t>Laos</t>
        </is>
      </c>
      <c r="C186" s="2" t="n">
        <v>185</v>
      </c>
      <c r="D186" s="2" t="n">
        <v>885.03</v>
      </c>
      <c r="E186" s="4">
        <f>(D186/G$1)</f>
        <v/>
      </c>
    </row>
    <row r="187">
      <c r="A187" s="1" t="n">
        <v>186</v>
      </c>
      <c r="B187" s="2" t="inlineStr">
        <is>
          <t>Cook Islands</t>
        </is>
      </c>
      <c r="C187" s="2" t="n">
        <v>186</v>
      </c>
      <c r="D187" s="2" t="n">
        <v>877.53</v>
      </c>
      <c r="E187" s="4">
        <f>(D187/G$1)</f>
        <v/>
      </c>
    </row>
    <row r="188">
      <c r="A188" s="1" t="n">
        <v>187</v>
      </c>
      <c r="B188" s="2" t="inlineStr">
        <is>
          <t>Sri Lanka</t>
        </is>
      </c>
      <c r="C188" s="2" t="n">
        <v>187</v>
      </c>
      <c r="D188" s="2" t="n">
        <v>876.86</v>
      </c>
      <c r="E188" s="4">
        <f>(D188/G$1)</f>
        <v/>
      </c>
    </row>
    <row r="189">
      <c r="A189" s="1" t="n">
        <v>188</v>
      </c>
      <c r="B189" s="2" t="inlineStr">
        <is>
          <t>Samoa</t>
        </is>
      </c>
      <c r="C189" s="2" t="n">
        <v>188</v>
      </c>
      <c r="D189" s="2" t="n">
        <v>876.41</v>
      </c>
      <c r="E189" s="4">
        <f>(D189/G$1)</f>
        <v/>
      </c>
    </row>
    <row r="190">
      <c r="A190" s="1" t="n">
        <v>189</v>
      </c>
      <c r="B190" s="2" t="inlineStr">
        <is>
          <t>Aruba</t>
        </is>
      </c>
      <c r="C190" s="2" t="n">
        <v>189</v>
      </c>
      <c r="D190" s="2" t="n">
        <v>875.61</v>
      </c>
      <c r="E190" s="4">
        <f>(D190/G$1)</f>
        <v/>
      </c>
    </row>
    <row r="191">
      <c r="A191" s="1" t="n">
        <v>190</v>
      </c>
      <c r="B191" s="2" t="inlineStr">
        <is>
          <t>Mongolia</t>
        </is>
      </c>
      <c r="C191" s="2" t="n">
        <v>190</v>
      </c>
      <c r="D191" s="2" t="n">
        <v>874.47</v>
      </c>
      <c r="E191" s="4">
        <f>(D191/G$1)</f>
        <v/>
      </c>
    </row>
    <row r="192">
      <c r="A192" s="1" t="n">
        <v>191</v>
      </c>
      <c r="B192" s="2" t="inlineStr">
        <is>
          <t>American Samoa</t>
        </is>
      </c>
      <c r="C192" s="2" t="n">
        <v>191</v>
      </c>
      <c r="D192" s="2" t="n">
        <v>871.61</v>
      </c>
      <c r="E192" s="4">
        <f>(D192/G$1)</f>
        <v/>
      </c>
    </row>
    <row r="193">
      <c r="A193" s="1" t="n">
        <v>192</v>
      </c>
      <c r="B193" s="2" t="inlineStr">
        <is>
          <t>Bhutan</t>
        </is>
      </c>
      <c r="C193" s="2" t="n">
        <v>192</v>
      </c>
      <c r="D193" s="2" t="n">
        <v>870.8099999999999</v>
      </c>
      <c r="E193" s="4">
        <f>(D193/G$1)</f>
        <v/>
      </c>
    </row>
    <row r="194">
      <c r="A194" s="1" t="n">
        <v>193</v>
      </c>
      <c r="B194" s="2" t="inlineStr">
        <is>
          <t>Brunei Darussalam</t>
        </is>
      </c>
      <c r="C194" s="2" t="n">
        <v>193</v>
      </c>
      <c r="D194" s="2" t="n">
        <v>863.09</v>
      </c>
      <c r="E194" s="4">
        <f>(D194/G$1)</f>
        <v/>
      </c>
    </row>
    <row r="195">
      <c r="A195" s="1" t="n">
        <v>194</v>
      </c>
      <c r="B195" s="2" t="inlineStr">
        <is>
          <t>Macau</t>
        </is>
      </c>
      <c r="C195" s="2" t="n">
        <v>194</v>
      </c>
      <c r="D195" s="2" t="n">
        <v>858.03</v>
      </c>
      <c r="E195" s="4">
        <f>(D195/G$1)</f>
        <v/>
      </c>
    </row>
    <row r="196">
      <c r="A196" s="1" t="n">
        <v>195</v>
      </c>
      <c r="B196" s="2" t="inlineStr">
        <is>
          <t>São Tomé and Príncipe</t>
        </is>
      </c>
      <c r="C196" s="2" t="n">
        <v>195</v>
      </c>
      <c r="D196" s="2" t="n">
        <v>855.4400000000001</v>
      </c>
      <c r="E196" s="4">
        <f>(D196/G$1)</f>
        <v/>
      </c>
    </row>
    <row r="197">
      <c r="A197" s="1" t="n">
        <v>196</v>
      </c>
      <c r="B197" s="2" t="inlineStr">
        <is>
          <t>Djibouti</t>
        </is>
      </c>
      <c r="C197" s="2" t="n">
        <v>196</v>
      </c>
      <c r="D197" s="2" t="n">
        <v>853.58</v>
      </c>
      <c r="E197" s="4">
        <f>(D197/G$1)</f>
        <v/>
      </c>
    </row>
    <row r="198">
      <c r="A198" s="1" t="n">
        <v>197</v>
      </c>
      <c r="B198" s="2" t="inlineStr">
        <is>
          <t>Cayman Islands</t>
        </is>
      </c>
      <c r="C198" s="2" t="n">
        <v>197</v>
      </c>
      <c r="D198" s="2" t="n">
        <v>850.0599999999999</v>
      </c>
      <c r="E198" s="4">
        <f>(D198/G$1)</f>
        <v/>
      </c>
    </row>
    <row r="199">
      <c r="A199" s="1" t="n">
        <v>198</v>
      </c>
      <c r="B199" s="2" t="inlineStr">
        <is>
          <t>Somalia</t>
        </is>
      </c>
      <c r="C199" s="2" t="n">
        <v>198</v>
      </c>
      <c r="D199" s="2" t="n">
        <v>839.17</v>
      </c>
      <c r="E199" s="4">
        <f>(D199/G$1)</f>
        <v/>
      </c>
    </row>
    <row r="200">
      <c r="A200" s="1" t="n">
        <v>199</v>
      </c>
      <c r="B200" s="2" t="inlineStr">
        <is>
          <t>Pakistan</t>
        </is>
      </c>
      <c r="C200" s="2" t="n">
        <v>199</v>
      </c>
      <c r="D200" s="2" t="n">
        <v>837.15</v>
      </c>
      <c r="E200" s="4">
        <f>(D200/G$1)</f>
        <v/>
      </c>
    </row>
    <row r="201">
      <c r="A201" s="1" t="n">
        <v>200</v>
      </c>
      <c r="B201" s="2" t="inlineStr">
        <is>
          <t>Tonga</t>
        </is>
      </c>
      <c r="C201" s="2" t="n">
        <v>200</v>
      </c>
      <c r="D201" s="2" t="n">
        <v>835.64</v>
      </c>
      <c r="E201" s="4">
        <f>(D201/G$1)</f>
        <v/>
      </c>
    </row>
    <row r="202">
      <c r="A202" s="1" t="n">
        <v>201</v>
      </c>
      <c r="B202" s="2" t="inlineStr">
        <is>
          <t>Timor-Leste</t>
        </is>
      </c>
      <c r="C202" s="2" t="n">
        <v>201</v>
      </c>
      <c r="D202" s="2" t="n">
        <v>825.64</v>
      </c>
      <c r="E202" s="4">
        <f>(D202/G$1)</f>
        <v/>
      </c>
    </row>
    <row r="203">
      <c r="A203" s="1" t="n">
        <v>202</v>
      </c>
      <c r="B203" s="2" t="inlineStr">
        <is>
          <t>Gibraltar</t>
        </is>
      </c>
      <c r="C203" s="2" t="n">
        <v>202</v>
      </c>
      <c r="D203" s="2" t="n">
        <v>820.26</v>
      </c>
      <c r="E203" s="4">
        <f>(D203/G$1)</f>
        <v/>
      </c>
    </row>
    <row r="204">
      <c r="A204" s="1" t="n">
        <v>203</v>
      </c>
      <c r="B204" s="2" t="inlineStr">
        <is>
          <t>Guam</t>
        </is>
      </c>
      <c r="C204" s="2" t="n">
        <v>203</v>
      </c>
      <c r="D204" s="2" t="n">
        <v>819.54</v>
      </c>
      <c r="E204" s="4">
        <f>(D204/G$1)</f>
        <v/>
      </c>
    </row>
    <row r="205">
      <c r="A205" s="1" t="n">
        <v>204</v>
      </c>
      <c r="B205" s="2" t="inlineStr">
        <is>
          <t>Seychelles</t>
        </is>
      </c>
      <c r="C205" s="2" t="n">
        <v>204</v>
      </c>
      <c r="D205" s="2" t="n">
        <v>804.16</v>
      </c>
      <c r="E205" s="4">
        <f>(D205/G$1)</f>
        <v/>
      </c>
    </row>
    <row r="206">
      <c r="A206" s="1" t="n">
        <v>205</v>
      </c>
      <c r="B206" s="2" t="inlineStr">
        <is>
          <t>Turks and Caicos Islands</t>
        </is>
      </c>
      <c r="C206" s="2" t="n">
        <v>205</v>
      </c>
      <c r="D206" s="2" t="n">
        <v>803.98</v>
      </c>
      <c r="E206" s="4">
        <f>(D206/G$1)</f>
        <v/>
      </c>
    </row>
    <row r="207">
      <c r="A207" s="1" t="n">
        <v>206</v>
      </c>
      <c r="B207" s="2" t="inlineStr">
        <is>
          <t>Liechtenstein</t>
        </is>
      </c>
      <c r="C207" s="2" t="n">
        <v>206</v>
      </c>
      <c r="D207" s="2" t="n">
        <v>797.7</v>
      </c>
      <c r="E207" s="4">
        <f>(D207/G$1)</f>
        <v/>
      </c>
    </row>
    <row r="208">
      <c r="A208" s="1" t="n">
        <v>207</v>
      </c>
      <c r="B208" s="2" t="inlineStr">
        <is>
          <t>Bahamas</t>
        </is>
      </c>
      <c r="C208" s="2" t="n">
        <v>207</v>
      </c>
      <c r="D208" s="2" t="n">
        <v>786.8200000000001</v>
      </c>
      <c r="E208" s="4">
        <f>(D208/G$1)</f>
        <v/>
      </c>
    </row>
    <row r="209">
      <c r="A209" s="1" t="n">
        <v>208</v>
      </c>
      <c r="B209" s="2" t="inlineStr">
        <is>
          <t>US Virgin Islands</t>
        </is>
      </c>
      <c r="C209" s="2" t="n">
        <v>208</v>
      </c>
      <c r="D209" s="2" t="n">
        <v>779.76</v>
      </c>
      <c r="E209" s="4">
        <f>(D209/G$1)</f>
        <v/>
      </c>
    </row>
    <row r="210">
      <c r="A210" s="1" t="n">
        <v>209</v>
      </c>
      <c r="B210" s="2" t="inlineStr">
        <is>
          <t>British Virgin Islands</t>
        </is>
      </c>
      <c r="C210" s="2" t="n">
        <v>209</v>
      </c>
      <c r="D210" s="2" t="n">
        <v>777.41</v>
      </c>
      <c r="E210" s="4">
        <f>(D210/G$1)</f>
        <v/>
      </c>
    </row>
    <row r="211">
      <c r="A211" s="1" t="n">
        <v>210</v>
      </c>
      <c r="B211" s="2" t="inlineStr">
        <is>
          <t>Anguilla</t>
        </is>
      </c>
      <c r="C211" s="2" t="n">
        <v>210</v>
      </c>
      <c r="D211" s="2" t="n">
        <v>760.25</v>
      </c>
      <c r="E211" s="4">
        <f>(D211/G$1)</f>
        <v/>
      </c>
    </row>
    <row r="212">
      <c r="A212" s="1" t="n">
        <v>211</v>
      </c>
      <c r="B212" s="2" t="inlineStr">
        <is>
          <t>San Marino</t>
        </is>
      </c>
      <c r="C212" s="2" t="n">
        <v>211</v>
      </c>
      <c r="D212" s="2" t="n">
        <v>722.9299999999999</v>
      </c>
      <c r="E212" s="4">
        <f>(D212/G$1)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50" workbookViewId="0">
      <pane ySplit="1" topLeftCell="A4" activePane="bottomLeft" state="frozen"/>
      <selection pane="bottomLeft" activeCell="H49" sqref="H49"/>
    </sheetView>
  </sheetViews>
  <sheetFormatPr baseColWidth="10" defaultColWidth="8.83203125" defaultRowHeight="15"/>
  <cols>
    <col width="4" customWidth="1" style="25" min="1" max="1"/>
    <col width="19.5" bestFit="1" customWidth="1" style="25" min="2" max="2"/>
    <col width="9" customWidth="1" style="25" min="3" max="3"/>
    <col width="5.83203125" customWidth="1" style="25" min="4" max="7"/>
    <col width="12" customWidth="1" style="25" min="8" max="8"/>
  </cols>
  <sheetData>
    <row r="1">
      <c r="A1" s="1" t="inlineStr">
        <is>
          <t>id</t>
        </is>
      </c>
      <c r="B1" s="1" t="inlineStr">
        <is>
          <t>pais</t>
        </is>
      </c>
      <c r="C1" s="1" t="inlineStr">
        <is>
          <t>grupo</t>
        </is>
      </c>
      <c r="D1" s="24" t="inlineStr">
        <is>
          <t>sistema _tatico</t>
        </is>
      </c>
    </row>
    <row r="2">
      <c r="A2" s="1" t="n">
        <v>1</v>
      </c>
      <c r="B2" s="2" t="inlineStr">
        <is>
          <t>Mexico</t>
        </is>
      </c>
      <c r="C2" s="2" t="inlineStr">
        <is>
          <t>Group A</t>
        </is>
      </c>
      <c r="D2" s="13" t="n">
        <v>1</v>
      </c>
      <c r="E2" s="13" t="n">
        <v>4</v>
      </c>
      <c r="F2" s="13" t="n">
        <v>3</v>
      </c>
      <c r="G2" s="13" t="n">
        <v>3</v>
      </c>
    </row>
    <row r="3">
      <c r="A3" s="1" t="n">
        <v>2</v>
      </c>
      <c r="B3" s="2" t="inlineStr">
        <is>
          <t>South Africa</t>
        </is>
      </c>
      <c r="C3" s="2" t="inlineStr">
        <is>
          <t>Group A</t>
        </is>
      </c>
      <c r="D3" s="13" t="n">
        <v>1</v>
      </c>
      <c r="E3" s="13" t="n">
        <v>5</v>
      </c>
      <c r="F3" s="13" t="n">
        <v>3</v>
      </c>
      <c r="G3" s="13" t="n">
        <v>2</v>
      </c>
    </row>
    <row r="4">
      <c r="A4" s="1" t="n">
        <v>3</v>
      </c>
      <c r="B4" s="2" t="inlineStr">
        <is>
          <t>Korea Republic</t>
        </is>
      </c>
      <c r="C4" s="2" t="inlineStr">
        <is>
          <t>Group A</t>
        </is>
      </c>
      <c r="D4" s="13" t="n">
        <v>1</v>
      </c>
      <c r="E4" s="13" t="n">
        <v>3</v>
      </c>
      <c r="F4" s="13" t="n">
        <v>4</v>
      </c>
      <c r="G4" s="13" t="n">
        <v>3</v>
      </c>
    </row>
    <row r="5">
      <c r="A5" s="1" t="n">
        <v>4</v>
      </c>
      <c r="B5" s="2" t="inlineStr">
        <is>
          <t>Czechia</t>
        </is>
      </c>
      <c r="C5" s="2" t="inlineStr">
        <is>
          <t>Group A</t>
        </is>
      </c>
      <c r="D5" s="13" t="n">
        <v>1</v>
      </c>
      <c r="E5" s="13" t="n">
        <v>3</v>
      </c>
      <c r="F5" s="13" t="n">
        <v>4</v>
      </c>
      <c r="G5" s="13" t="n">
        <v>3</v>
      </c>
    </row>
    <row r="6">
      <c r="A6" s="1" t="n">
        <v>5</v>
      </c>
      <c r="B6" s="2" t="inlineStr">
        <is>
          <t>Canada</t>
        </is>
      </c>
      <c r="C6" s="2" t="inlineStr">
        <is>
          <t>Group B</t>
        </is>
      </c>
      <c r="D6" s="13" t="n">
        <v>1</v>
      </c>
      <c r="E6" s="13" t="n">
        <v>4</v>
      </c>
      <c r="F6" s="13" t="n">
        <v>4</v>
      </c>
      <c r="G6" s="13" t="n">
        <v>2</v>
      </c>
    </row>
    <row r="7">
      <c r="A7" s="1" t="n">
        <v>6</v>
      </c>
      <c r="B7" s="2" t="inlineStr">
        <is>
          <t>Bosnia and Herzegovina</t>
        </is>
      </c>
      <c r="C7" s="2" t="inlineStr">
        <is>
          <t>Group B</t>
        </is>
      </c>
      <c r="D7" s="13" t="n">
        <v>1</v>
      </c>
      <c r="E7" s="13" t="n">
        <v>4</v>
      </c>
      <c r="F7" s="13" t="n">
        <v>4</v>
      </c>
      <c r="G7" s="13" t="n">
        <v>2</v>
      </c>
    </row>
    <row r="8">
      <c r="A8" s="1" t="n">
        <v>7</v>
      </c>
      <c r="B8" s="2" t="inlineStr">
        <is>
          <t>Qatar</t>
        </is>
      </c>
      <c r="C8" s="2" t="inlineStr">
        <is>
          <t>Group B</t>
        </is>
      </c>
      <c r="D8" s="13" t="n">
        <v>1</v>
      </c>
      <c r="E8" s="13" t="n">
        <v>4</v>
      </c>
      <c r="F8" s="13" t="n">
        <v>3</v>
      </c>
      <c r="G8" s="13" t="n">
        <v>3</v>
      </c>
    </row>
    <row r="9">
      <c r="A9" s="1" t="n">
        <v>8</v>
      </c>
      <c r="B9" s="2" t="inlineStr">
        <is>
          <t>Switzerland</t>
        </is>
      </c>
      <c r="C9" s="2" t="inlineStr">
        <is>
          <t>Group B</t>
        </is>
      </c>
      <c r="D9" s="13" t="n">
        <v>1</v>
      </c>
      <c r="E9" s="13" t="n">
        <v>4</v>
      </c>
      <c r="F9" s="13" t="n">
        <v>5</v>
      </c>
      <c r="G9" s="13" t="n">
        <v>1</v>
      </c>
    </row>
    <row r="10">
      <c r="A10" s="1" t="n">
        <v>9</v>
      </c>
      <c r="B10" s="2" t="inlineStr">
        <is>
          <t>Brazil</t>
        </is>
      </c>
      <c r="C10" s="2" t="inlineStr">
        <is>
          <t>Group C</t>
        </is>
      </c>
      <c r="D10" s="13" t="n">
        <v>1</v>
      </c>
      <c r="E10" s="13" t="n">
        <v>4</v>
      </c>
      <c r="F10" s="13" t="n">
        <v>3</v>
      </c>
      <c r="G10" s="13" t="n">
        <v>3</v>
      </c>
    </row>
    <row r="11">
      <c r="A11" s="1" t="n">
        <v>10</v>
      </c>
      <c r="B11" s="2" t="inlineStr">
        <is>
          <t>Morocco</t>
        </is>
      </c>
      <c r="C11" s="2" t="inlineStr">
        <is>
          <t>Group C</t>
        </is>
      </c>
      <c r="D11" s="13" t="n">
        <v>1</v>
      </c>
      <c r="E11" s="13" t="n">
        <v>4</v>
      </c>
      <c r="F11" s="13" t="n">
        <v>3</v>
      </c>
      <c r="G11" s="13" t="n">
        <v>3</v>
      </c>
    </row>
    <row r="12">
      <c r="A12" s="1" t="n">
        <v>11</v>
      </c>
      <c r="B12" s="2" t="inlineStr">
        <is>
          <t>Haiti</t>
        </is>
      </c>
      <c r="C12" s="2" t="inlineStr">
        <is>
          <t>Group C</t>
        </is>
      </c>
      <c r="D12" s="13" t="n">
        <v>1</v>
      </c>
      <c r="E12" s="13" t="n">
        <v>4</v>
      </c>
      <c r="F12" s="13" t="n">
        <v>4</v>
      </c>
      <c r="G12" s="13" t="n">
        <v>2</v>
      </c>
    </row>
    <row r="13">
      <c r="A13" s="1" t="n">
        <v>12</v>
      </c>
      <c r="B13" s="2" t="inlineStr">
        <is>
          <t>Scotland</t>
        </is>
      </c>
      <c r="C13" s="2" t="inlineStr">
        <is>
          <t>Group C</t>
        </is>
      </c>
      <c r="D13" s="13" t="n">
        <v>1</v>
      </c>
      <c r="E13" s="13" t="n">
        <v>4</v>
      </c>
      <c r="F13" s="13" t="n">
        <v>4</v>
      </c>
      <c r="G13" s="13" t="n">
        <v>2</v>
      </c>
    </row>
    <row r="14">
      <c r="A14" s="1" t="n">
        <v>13</v>
      </c>
      <c r="B14" s="2" t="inlineStr">
        <is>
          <t>USA</t>
        </is>
      </c>
      <c r="C14" s="2" t="inlineStr">
        <is>
          <t>Group D</t>
        </is>
      </c>
      <c r="D14" s="13" t="n">
        <v>1</v>
      </c>
      <c r="E14" s="13" t="n">
        <v>4</v>
      </c>
      <c r="F14" s="13" t="n">
        <v>3</v>
      </c>
      <c r="G14" s="13" t="n">
        <v>3</v>
      </c>
    </row>
    <row r="15">
      <c r="A15" s="1" t="n">
        <v>14</v>
      </c>
      <c r="B15" s="2" t="inlineStr">
        <is>
          <t>Paraguay</t>
        </is>
      </c>
      <c r="C15" s="2" t="inlineStr">
        <is>
          <t>Group D</t>
        </is>
      </c>
      <c r="D15" s="13" t="n">
        <v>1</v>
      </c>
      <c r="E15" s="13" t="n">
        <v>4</v>
      </c>
      <c r="F15" s="13" t="n">
        <v>4</v>
      </c>
      <c r="G15" s="13" t="n">
        <v>2</v>
      </c>
    </row>
    <row r="16">
      <c r="A16" s="1" t="n">
        <v>15</v>
      </c>
      <c r="B16" s="2" t="inlineStr">
        <is>
          <t>Australia</t>
        </is>
      </c>
      <c r="C16" s="2" t="inlineStr">
        <is>
          <t>Group D</t>
        </is>
      </c>
      <c r="D16" s="13" t="n">
        <v>1</v>
      </c>
      <c r="E16" s="13" t="n">
        <v>5</v>
      </c>
      <c r="F16" s="13" t="n">
        <v>4</v>
      </c>
      <c r="G16" s="13" t="n">
        <v>1</v>
      </c>
    </row>
    <row r="17">
      <c r="A17" s="1" t="n">
        <v>16</v>
      </c>
      <c r="B17" s="2" t="inlineStr">
        <is>
          <t>Türkiye</t>
        </is>
      </c>
      <c r="C17" s="2" t="inlineStr">
        <is>
          <t>Group D</t>
        </is>
      </c>
      <c r="D17" s="13" t="n">
        <v>1</v>
      </c>
      <c r="E17" s="13" t="n">
        <v>4</v>
      </c>
      <c r="F17" s="13" t="n">
        <v>5</v>
      </c>
      <c r="G17" s="13" t="n">
        <v>1</v>
      </c>
    </row>
    <row r="18">
      <c r="A18" s="1" t="n">
        <v>17</v>
      </c>
      <c r="B18" s="2" t="inlineStr">
        <is>
          <t>Germany</t>
        </is>
      </c>
      <c r="C18" s="2" t="inlineStr">
        <is>
          <t>Group E</t>
        </is>
      </c>
      <c r="D18" s="13" t="n">
        <v>1</v>
      </c>
      <c r="E18" s="13" t="n">
        <v>4</v>
      </c>
      <c r="F18" s="13" t="n">
        <v>4</v>
      </c>
      <c r="G18" s="13" t="n">
        <v>2</v>
      </c>
    </row>
    <row r="19">
      <c r="A19" s="1" t="n">
        <v>18</v>
      </c>
      <c r="B19" s="2" t="inlineStr">
        <is>
          <t>Curaçao</t>
        </is>
      </c>
      <c r="C19" s="2" t="inlineStr">
        <is>
          <t>Group E</t>
        </is>
      </c>
      <c r="D19" s="13" t="n">
        <v>1</v>
      </c>
      <c r="E19" s="13" t="n">
        <v>4</v>
      </c>
      <c r="F19" s="13" t="n">
        <v>3</v>
      </c>
      <c r="G19" s="13" t="n">
        <v>3</v>
      </c>
    </row>
    <row r="20">
      <c r="A20" s="1" t="n">
        <v>19</v>
      </c>
      <c r="B20" s="2" t="inlineStr">
        <is>
          <t>Côte d'Ivoire</t>
        </is>
      </c>
      <c r="C20" s="2" t="inlineStr">
        <is>
          <t>Group E</t>
        </is>
      </c>
      <c r="D20" s="13" t="n">
        <v>1</v>
      </c>
      <c r="E20" s="13" t="n">
        <v>4</v>
      </c>
      <c r="F20" s="13" t="n">
        <v>3</v>
      </c>
      <c r="G20" s="13" t="n">
        <v>3</v>
      </c>
    </row>
    <row r="21">
      <c r="A21" s="1" t="n">
        <v>20</v>
      </c>
      <c r="B21" s="2" t="inlineStr">
        <is>
          <t>Ecuador</t>
        </is>
      </c>
      <c r="C21" s="2" t="inlineStr">
        <is>
          <t>Group E</t>
        </is>
      </c>
      <c r="D21" s="13" t="n">
        <v>1</v>
      </c>
      <c r="E21" s="13" t="n">
        <v>4</v>
      </c>
      <c r="F21" s="13" t="n">
        <v>3</v>
      </c>
      <c r="G21" s="13" t="n">
        <v>3</v>
      </c>
    </row>
    <row r="22">
      <c r="A22" s="1" t="n">
        <v>21</v>
      </c>
      <c r="B22" s="2" t="inlineStr">
        <is>
          <t>Netherlands</t>
        </is>
      </c>
      <c r="C22" s="2" t="inlineStr">
        <is>
          <t>Group F</t>
        </is>
      </c>
      <c r="D22" s="13" t="n">
        <v>1</v>
      </c>
      <c r="E22" s="13" t="n">
        <v>4</v>
      </c>
      <c r="F22" s="13" t="n">
        <v>3</v>
      </c>
      <c r="G22" s="13" t="n">
        <v>3</v>
      </c>
    </row>
    <row r="23">
      <c r="A23" s="1" t="n">
        <v>22</v>
      </c>
      <c r="B23" s="2" t="inlineStr">
        <is>
          <t>Japan</t>
        </is>
      </c>
      <c r="C23" s="2" t="inlineStr">
        <is>
          <t>Group F</t>
        </is>
      </c>
      <c r="D23" s="13" t="n">
        <v>1</v>
      </c>
      <c r="E23" s="13" t="n">
        <v>3</v>
      </c>
      <c r="F23" s="13" t="n">
        <v>4</v>
      </c>
      <c r="G23" s="13" t="n">
        <v>3</v>
      </c>
    </row>
    <row r="24">
      <c r="A24" s="1" t="n">
        <v>23</v>
      </c>
      <c r="B24" s="2" t="inlineStr">
        <is>
          <t>Sweden</t>
        </is>
      </c>
      <c r="C24" s="2" t="inlineStr">
        <is>
          <t>Group F</t>
        </is>
      </c>
      <c r="D24" s="13" t="n">
        <v>1</v>
      </c>
      <c r="E24" s="13" t="n">
        <v>4</v>
      </c>
      <c r="F24" s="13" t="n">
        <v>4</v>
      </c>
      <c r="G24" s="13" t="n">
        <v>2</v>
      </c>
    </row>
    <row r="25">
      <c r="A25" s="1" t="n">
        <v>24</v>
      </c>
      <c r="B25" s="2" t="inlineStr">
        <is>
          <t>Tunisia</t>
        </is>
      </c>
      <c r="C25" s="2" t="inlineStr">
        <is>
          <t>Group F</t>
        </is>
      </c>
      <c r="D25" s="13" t="n">
        <v>1</v>
      </c>
      <c r="E25" s="13" t="n">
        <v>4</v>
      </c>
      <c r="F25" s="13" t="n">
        <v>3</v>
      </c>
      <c r="G25" s="13" t="n">
        <v>3</v>
      </c>
    </row>
    <row r="26">
      <c r="A26" s="1" t="n">
        <v>25</v>
      </c>
      <c r="B26" s="2" t="inlineStr">
        <is>
          <t>Belgium</t>
        </is>
      </c>
      <c r="C26" s="2" t="inlineStr">
        <is>
          <t>Group G</t>
        </is>
      </c>
      <c r="D26" s="13" t="n">
        <v>1</v>
      </c>
      <c r="E26" s="13" t="n">
        <v>4</v>
      </c>
      <c r="F26" s="13" t="n">
        <v>5</v>
      </c>
      <c r="G26" s="13" t="n">
        <v>1</v>
      </c>
    </row>
    <row r="27">
      <c r="A27" s="1" t="n">
        <v>26</v>
      </c>
      <c r="B27" s="2" t="inlineStr">
        <is>
          <t>Egypt</t>
        </is>
      </c>
      <c r="C27" s="2" t="inlineStr">
        <is>
          <t>Group G</t>
        </is>
      </c>
      <c r="D27" s="13" t="n">
        <v>1</v>
      </c>
      <c r="E27" s="13" t="n">
        <v>4</v>
      </c>
      <c r="F27" s="13" t="n">
        <v>3</v>
      </c>
      <c r="G27" s="13" t="n">
        <v>3</v>
      </c>
    </row>
    <row r="28">
      <c r="A28" s="1" t="n">
        <v>27</v>
      </c>
      <c r="B28" s="2" t="inlineStr">
        <is>
          <t>IR Iran</t>
        </is>
      </c>
      <c r="C28" s="2" t="inlineStr">
        <is>
          <t>Group G</t>
        </is>
      </c>
      <c r="D28" s="13" t="n">
        <v>1</v>
      </c>
      <c r="E28" s="13" t="n">
        <v>4</v>
      </c>
      <c r="F28" s="13" t="n">
        <v>5</v>
      </c>
      <c r="G28" s="13" t="n">
        <v>1</v>
      </c>
    </row>
    <row r="29">
      <c r="A29" s="1" t="n">
        <v>28</v>
      </c>
      <c r="B29" s="2" t="inlineStr">
        <is>
          <t>New Zealand</t>
        </is>
      </c>
      <c r="C29" s="2" t="inlineStr">
        <is>
          <t>Group G</t>
        </is>
      </c>
      <c r="D29" s="13" t="n">
        <v>1</v>
      </c>
      <c r="E29" s="13" t="n">
        <v>4</v>
      </c>
      <c r="F29" s="13" t="n">
        <v>3</v>
      </c>
      <c r="G29" s="13" t="n">
        <v>3</v>
      </c>
    </row>
    <row r="30">
      <c r="A30" s="1" t="n">
        <v>29</v>
      </c>
      <c r="B30" s="2" t="inlineStr">
        <is>
          <t>Spain</t>
        </is>
      </c>
      <c r="C30" s="2" t="inlineStr">
        <is>
          <t>Group H</t>
        </is>
      </c>
      <c r="D30" s="13" t="n">
        <v>1</v>
      </c>
      <c r="E30" s="13" t="n">
        <v>4</v>
      </c>
      <c r="F30" s="13" t="n">
        <v>3</v>
      </c>
      <c r="G30" s="13" t="n">
        <v>3</v>
      </c>
    </row>
    <row r="31">
      <c r="A31" s="1" t="n">
        <v>30</v>
      </c>
      <c r="B31" s="2" t="inlineStr">
        <is>
          <t>Cabo Verde</t>
        </is>
      </c>
      <c r="C31" s="2" t="inlineStr">
        <is>
          <t>Group H</t>
        </is>
      </c>
      <c r="D31" s="13" t="n">
        <v>1</v>
      </c>
      <c r="E31" s="13" t="n">
        <v>4</v>
      </c>
      <c r="F31" s="13" t="n">
        <v>3</v>
      </c>
      <c r="G31" s="13" t="n">
        <v>3</v>
      </c>
    </row>
    <row r="32">
      <c r="A32" s="1" t="n">
        <v>31</v>
      </c>
      <c r="B32" s="2" t="inlineStr">
        <is>
          <t>Saudi Arabia</t>
        </is>
      </c>
      <c r="C32" s="2" t="inlineStr">
        <is>
          <t>Group H</t>
        </is>
      </c>
      <c r="D32" s="13" t="n">
        <v>1</v>
      </c>
      <c r="E32" s="13" t="n">
        <v>4</v>
      </c>
      <c r="F32" s="13" t="n">
        <v>3</v>
      </c>
      <c r="G32" s="13" t="n">
        <v>3</v>
      </c>
    </row>
    <row r="33">
      <c r="A33" s="1" t="n">
        <v>32</v>
      </c>
      <c r="B33" s="2" t="inlineStr">
        <is>
          <t>Uruguay</t>
        </is>
      </c>
      <c r="C33" s="2" t="inlineStr">
        <is>
          <t>Group H</t>
        </is>
      </c>
      <c r="D33" s="13" t="n">
        <v>1</v>
      </c>
      <c r="E33" s="13" t="n">
        <v>4</v>
      </c>
      <c r="F33" s="13" t="n">
        <v>4</v>
      </c>
      <c r="G33" s="13" t="n">
        <v>2</v>
      </c>
    </row>
    <row r="34">
      <c r="A34" s="1" t="n">
        <v>33</v>
      </c>
      <c r="B34" s="2" t="inlineStr">
        <is>
          <t>France</t>
        </is>
      </c>
      <c r="C34" s="2" t="inlineStr">
        <is>
          <t>Group I</t>
        </is>
      </c>
      <c r="D34" s="13" t="n">
        <v>1</v>
      </c>
      <c r="E34" s="13" t="n">
        <v>4</v>
      </c>
      <c r="F34" s="13" t="n">
        <v>3</v>
      </c>
      <c r="G34" s="13" t="n">
        <v>3</v>
      </c>
    </row>
    <row r="35">
      <c r="A35" s="1" t="n">
        <v>34</v>
      </c>
      <c r="B35" s="2" t="inlineStr">
        <is>
          <t>Senegal</t>
        </is>
      </c>
      <c r="C35" s="2" t="inlineStr">
        <is>
          <t>Group I</t>
        </is>
      </c>
      <c r="D35" s="13" t="n">
        <v>1</v>
      </c>
      <c r="E35" s="13" t="n">
        <v>4</v>
      </c>
      <c r="F35" s="13" t="n">
        <v>3</v>
      </c>
      <c r="G35" s="13" t="n">
        <v>3</v>
      </c>
    </row>
    <row r="36">
      <c r="A36" s="1" t="n">
        <v>35</v>
      </c>
      <c r="B36" s="2" t="inlineStr">
        <is>
          <t>Iraq</t>
        </is>
      </c>
      <c r="C36" s="2" t="inlineStr">
        <is>
          <t>Group I</t>
        </is>
      </c>
      <c r="D36" s="13" t="n">
        <v>1</v>
      </c>
      <c r="E36" s="13" t="n">
        <v>4</v>
      </c>
      <c r="F36" s="13" t="n">
        <v>4</v>
      </c>
      <c r="G36" s="13" t="n">
        <v>2</v>
      </c>
    </row>
    <row r="37">
      <c r="A37" s="1" t="n">
        <v>36</v>
      </c>
      <c r="B37" s="2" t="inlineStr">
        <is>
          <t>Norway</t>
        </is>
      </c>
      <c r="C37" s="2" t="inlineStr">
        <is>
          <t>Group I</t>
        </is>
      </c>
      <c r="D37" s="13" t="n">
        <v>1</v>
      </c>
      <c r="E37" s="13" t="n">
        <v>4</v>
      </c>
      <c r="F37" s="13" t="n">
        <v>4</v>
      </c>
      <c r="G37" s="13" t="n">
        <v>2</v>
      </c>
    </row>
    <row r="38">
      <c r="A38" s="1" t="n">
        <v>37</v>
      </c>
      <c r="B38" s="2" t="inlineStr">
        <is>
          <t>Argentina</t>
        </is>
      </c>
      <c r="C38" s="2" t="inlineStr">
        <is>
          <t>Group J</t>
        </is>
      </c>
      <c r="D38" s="13" t="n">
        <v>1</v>
      </c>
      <c r="E38" s="13" t="n">
        <v>4</v>
      </c>
      <c r="F38" s="13" t="n">
        <v>4</v>
      </c>
      <c r="G38" s="13" t="n">
        <v>2</v>
      </c>
    </row>
    <row r="39">
      <c r="A39" s="1" t="n">
        <v>38</v>
      </c>
      <c r="B39" s="2" t="inlineStr">
        <is>
          <t>Algeria</t>
        </is>
      </c>
      <c r="C39" s="2" t="inlineStr">
        <is>
          <t>Group J</t>
        </is>
      </c>
      <c r="D39" s="13" t="n">
        <v>1</v>
      </c>
      <c r="E39" s="13" t="n">
        <v>4</v>
      </c>
      <c r="F39" s="13" t="n">
        <v>3</v>
      </c>
      <c r="G39" s="13" t="n">
        <v>3</v>
      </c>
    </row>
    <row r="40">
      <c r="A40" s="1" t="n">
        <v>39</v>
      </c>
      <c r="B40" s="2" t="inlineStr">
        <is>
          <t>Austria</t>
        </is>
      </c>
      <c r="C40" s="2" t="inlineStr">
        <is>
          <t>Group J</t>
        </is>
      </c>
      <c r="D40" s="13" t="n">
        <v>1</v>
      </c>
      <c r="E40" s="13" t="n">
        <v>4</v>
      </c>
      <c r="F40" s="13" t="n">
        <v>5</v>
      </c>
      <c r="G40" s="13" t="n">
        <v>1</v>
      </c>
    </row>
    <row r="41">
      <c r="A41" s="1" t="n">
        <v>40</v>
      </c>
      <c r="B41" s="2" t="inlineStr">
        <is>
          <t>Jordan</t>
        </is>
      </c>
      <c r="C41" s="2" t="inlineStr">
        <is>
          <t>Group J</t>
        </is>
      </c>
      <c r="D41" s="13" t="n">
        <v>1</v>
      </c>
      <c r="E41" s="13" t="n">
        <v>3</v>
      </c>
      <c r="F41" s="13" t="n">
        <v>4</v>
      </c>
      <c r="G41" s="13" t="n">
        <v>3</v>
      </c>
    </row>
    <row r="42">
      <c r="A42" s="1" t="n">
        <v>41</v>
      </c>
      <c r="B42" s="2" t="inlineStr">
        <is>
          <t>Portugal</t>
        </is>
      </c>
      <c r="C42" s="2" t="inlineStr">
        <is>
          <t>Group K</t>
        </is>
      </c>
      <c r="D42" s="13" t="n">
        <v>1</v>
      </c>
      <c r="E42" s="13" t="n">
        <v>4</v>
      </c>
      <c r="F42" s="13" t="n">
        <v>3</v>
      </c>
      <c r="G42" s="13" t="n">
        <v>3</v>
      </c>
    </row>
    <row r="43">
      <c r="A43" s="1" t="n">
        <v>42</v>
      </c>
      <c r="B43" s="2" t="inlineStr">
        <is>
          <t>Congo DR</t>
        </is>
      </c>
      <c r="C43" s="2" t="inlineStr">
        <is>
          <t>Group K</t>
        </is>
      </c>
      <c r="D43" s="13" t="n">
        <v>1</v>
      </c>
      <c r="E43" s="13" t="n">
        <v>4</v>
      </c>
      <c r="F43" s="13" t="n">
        <v>5</v>
      </c>
      <c r="G43" s="13" t="n">
        <v>1</v>
      </c>
    </row>
    <row r="44">
      <c r="A44" s="1" t="n">
        <v>43</v>
      </c>
      <c r="B44" s="2" t="inlineStr">
        <is>
          <t>Uzbekistan</t>
        </is>
      </c>
      <c r="C44" s="2" t="inlineStr">
        <is>
          <t>Group K</t>
        </is>
      </c>
      <c r="D44" s="13" t="n">
        <v>1</v>
      </c>
      <c r="E44" s="13" t="n">
        <v>3</v>
      </c>
      <c r="F44" s="13" t="n">
        <v>4</v>
      </c>
      <c r="G44" s="13" t="n">
        <v>3</v>
      </c>
    </row>
    <row r="45">
      <c r="A45" s="1" t="n">
        <v>44</v>
      </c>
      <c r="B45" s="2" t="inlineStr">
        <is>
          <t>Colombia</t>
        </is>
      </c>
      <c r="C45" s="2" t="inlineStr">
        <is>
          <t>Group K</t>
        </is>
      </c>
      <c r="D45" s="13" t="n">
        <v>1</v>
      </c>
      <c r="E45" s="13" t="n">
        <v>4</v>
      </c>
      <c r="F45" s="13" t="n">
        <v>4</v>
      </c>
      <c r="G45" s="13" t="n">
        <v>2</v>
      </c>
    </row>
    <row r="46">
      <c r="A46" s="1" t="n">
        <v>45</v>
      </c>
      <c r="B46" s="2" t="inlineStr">
        <is>
          <t>England</t>
        </is>
      </c>
      <c r="C46" s="2" t="inlineStr">
        <is>
          <t>Group L</t>
        </is>
      </c>
      <c r="D46" s="13" t="n">
        <v>1</v>
      </c>
      <c r="E46" s="13" t="n">
        <v>4</v>
      </c>
      <c r="F46" s="13" t="n">
        <v>3</v>
      </c>
      <c r="G46" s="13" t="n">
        <v>3</v>
      </c>
    </row>
    <row r="47">
      <c r="A47" s="1" t="n">
        <v>46</v>
      </c>
      <c r="B47" s="2" t="inlineStr">
        <is>
          <t>Croatia</t>
        </is>
      </c>
      <c r="C47" s="2" t="inlineStr">
        <is>
          <t>Group L</t>
        </is>
      </c>
      <c r="D47" s="13" t="n">
        <v>1</v>
      </c>
      <c r="E47" s="13" t="n">
        <v>5</v>
      </c>
      <c r="F47" s="13" t="n">
        <v>3</v>
      </c>
      <c r="G47" s="13" t="n">
        <v>2</v>
      </c>
    </row>
    <row r="48">
      <c r="A48" s="1" t="n">
        <v>47</v>
      </c>
      <c r="B48" s="2" t="inlineStr">
        <is>
          <t>Ghana</t>
        </is>
      </c>
      <c r="C48" s="2" t="inlineStr">
        <is>
          <t>Group L</t>
        </is>
      </c>
      <c r="D48" s="13" t="n">
        <v>1</v>
      </c>
      <c r="E48" s="13" t="n">
        <v>4</v>
      </c>
      <c r="F48" s="13" t="n">
        <v>3</v>
      </c>
      <c r="G48" s="13" t="n">
        <v>3</v>
      </c>
    </row>
    <row r="49">
      <c r="A49" s="1" t="n">
        <v>48</v>
      </c>
      <c r="B49" s="2" t="inlineStr">
        <is>
          <t>Panama</t>
        </is>
      </c>
      <c r="C49" s="2" t="inlineStr">
        <is>
          <t>Group L</t>
        </is>
      </c>
      <c r="D49" s="13" t="n">
        <v>1</v>
      </c>
      <c r="E49" s="13" t="n">
        <v>4</v>
      </c>
      <c r="F49" s="13" t="n">
        <v>3</v>
      </c>
      <c r="G49" s="13" t="n">
        <v>3</v>
      </c>
    </row>
  </sheetData>
  <mergeCells count="1">
    <mergeCell ref="D1:G1"/>
  </mergeCells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4"/>
  <sheetViews>
    <sheetView workbookViewId="0">
      <pane ySplit="1" topLeftCell="A982" activePane="bottomLeft" state="frozen"/>
      <selection pane="bottomLeft" activeCell="D932" sqref="D932"/>
    </sheetView>
  </sheetViews>
  <sheetFormatPr baseColWidth="10" defaultColWidth="8.83203125" defaultRowHeight="15"/>
  <cols>
    <col width="9.6640625" bestFit="1" customWidth="1" style="25" min="1" max="1"/>
    <col width="6" customWidth="1" style="25" min="2" max="2"/>
    <col width="18" bestFit="1" customWidth="1" style="25" min="3" max="3"/>
    <col width="11.83203125" bestFit="1" customWidth="1" style="25" min="4" max="4"/>
    <col width="19" customWidth="1" style="25" min="5" max="5"/>
    <col width="27.1640625" bestFit="1" customWidth="1" style="25" min="6" max="6"/>
    <col width="18.1640625" bestFit="1" customWidth="1" style="25" min="7" max="7"/>
    <col width="17.83203125" bestFit="1" customWidth="1" style="25" min="8" max="8"/>
    <col width="11.83203125" bestFit="1" customWidth="1" style="25" min="9" max="9"/>
    <col width="20.1640625" bestFit="1" customWidth="1" style="25" min="11" max="11"/>
    <col width="14.1640625" bestFit="1" customWidth="1" style="25" min="12" max="12"/>
    <col width="10.83203125" bestFit="1" customWidth="1" style="25" min="13" max="13"/>
  </cols>
  <sheetData>
    <row r="1">
      <c r="A1" s="1" t="inlineStr">
        <is>
          <t>id_jogador</t>
        </is>
      </c>
      <c r="B1" s="1" t="inlineStr">
        <is>
          <t>pais</t>
        </is>
      </c>
      <c r="C1" s="1" t="inlineStr">
        <is>
          <t>jogador</t>
        </is>
      </c>
      <c r="D1" s="1" t="inlineStr">
        <is>
          <t>posicao</t>
        </is>
      </c>
      <c r="E1" s="1" t="inlineStr">
        <is>
          <t>clube</t>
        </is>
      </c>
      <c r="F1" t="inlineStr">
        <is>
          <t>liga</t>
        </is>
      </c>
      <c r="G1" t="inlineStr">
        <is>
          <t>pais_liga</t>
        </is>
      </c>
      <c r="H1" t="inlineStr">
        <is>
          <t>jogos_possiveis_clube</t>
        </is>
      </c>
      <c r="I1" t="inlineStr">
        <is>
          <t>jogos_jogador</t>
        </is>
      </c>
      <c r="J1" t="inlineStr">
        <is>
          <t>pct_jogos</t>
        </is>
      </c>
      <c r="K1" t="inlineStr">
        <is>
          <t>minutos_possiveis_clube</t>
        </is>
      </c>
      <c r="L1" t="inlineStr">
        <is>
          <t>minutos_jogador</t>
        </is>
      </c>
      <c r="M1" t="inlineStr">
        <is>
          <t>pct_minutos</t>
        </is>
      </c>
    </row>
    <row r="2">
      <c r="A2" s="1" t="n">
        <v>1</v>
      </c>
      <c r="B2" s="2" t="inlineStr">
        <is>
          <t>South Africa</t>
        </is>
      </c>
      <c r="C2" s="2" t="inlineStr">
        <is>
          <t>Ronwen Williams</t>
        </is>
      </c>
      <c r="D2" s="2" t="inlineStr">
        <is>
          <t>Guarda Redes</t>
        </is>
      </c>
      <c r="E2" s="2" t="inlineStr">
        <is>
          <t>Sundowns</t>
        </is>
      </c>
      <c r="F2">
        <f>VLOOKUP(E2,Clubes!B$2:D$438,2)</f>
        <v/>
      </c>
      <c r="G2">
        <f>VLOOKUP(E2,Clubes!B$2:D$438,3)</f>
        <v/>
      </c>
      <c r="H2" s="2" t="n">
        <v>30</v>
      </c>
      <c r="J2">
        <f>I2/H2</f>
        <v/>
      </c>
      <c r="K2">
        <f>H2*90</f>
        <v/>
      </c>
      <c r="M2">
        <f>L2/K2</f>
        <v/>
      </c>
    </row>
    <row r="3">
      <c r="A3" s="1" t="n">
        <v>2</v>
      </c>
      <c r="B3" s="2" t="inlineStr">
        <is>
          <t>South Africa</t>
        </is>
      </c>
      <c r="C3" s="2" t="inlineStr">
        <is>
          <t>Sipho Chaine</t>
        </is>
      </c>
      <c r="D3" s="2" t="inlineStr">
        <is>
          <t>Guarda Redes</t>
        </is>
      </c>
      <c r="E3" s="2" t="inlineStr">
        <is>
          <t>Orlando Pirates</t>
        </is>
      </c>
      <c r="F3">
        <f>VLOOKUP(E3,Clubes!B$2:D$438,2)</f>
        <v/>
      </c>
      <c r="G3">
        <f>VLOOKUP(E3,Clubes!B$2:D$438,3)</f>
        <v/>
      </c>
      <c r="H3" s="2" t="n">
        <v>30</v>
      </c>
      <c r="J3">
        <f>I3/H3</f>
        <v/>
      </c>
      <c r="K3">
        <f>H3*90</f>
        <v/>
      </c>
      <c r="M3">
        <f>L3/K3</f>
        <v/>
      </c>
    </row>
    <row r="4">
      <c r="A4" s="1" t="n">
        <v>3</v>
      </c>
      <c r="B4" s="2" t="inlineStr">
        <is>
          <t>South Africa</t>
        </is>
      </c>
      <c r="C4" s="2" t="inlineStr">
        <is>
          <t>Ricardo Goss</t>
        </is>
      </c>
      <c r="D4" s="2" t="inlineStr">
        <is>
          <t>Guarda Redes</t>
        </is>
      </c>
      <c r="E4" s="2" t="inlineStr">
        <is>
          <t>Siwelele</t>
        </is>
      </c>
      <c r="F4">
        <f>VLOOKUP(E4,Clubes!B$2:D$438,2)</f>
        <v/>
      </c>
      <c r="G4">
        <f>VLOOKUP(E4,Clubes!B$2:D$438,3)</f>
        <v/>
      </c>
      <c r="H4" s="2" t="n">
        <v>30</v>
      </c>
      <c r="J4">
        <f>I4/H4</f>
        <v/>
      </c>
      <c r="K4">
        <f>H4*90</f>
        <v/>
      </c>
      <c r="M4">
        <f>L4/K4</f>
        <v/>
      </c>
    </row>
    <row r="5">
      <c r="A5" s="1" t="n">
        <v>4</v>
      </c>
      <c r="B5" s="2" t="inlineStr">
        <is>
          <t>South Africa</t>
        </is>
      </c>
      <c r="C5" s="2" t="inlineStr">
        <is>
          <t>Tholo Matuludi</t>
        </is>
      </c>
      <c r="D5" s="2" t="inlineStr">
        <is>
          <t>Defesa</t>
        </is>
      </c>
      <c r="E5" s="2" t="inlineStr">
        <is>
          <t>Polokwane City</t>
        </is>
      </c>
      <c r="F5">
        <f>VLOOKUP(E5,Clubes!B$2:D$438,2)</f>
        <v/>
      </c>
      <c r="G5">
        <f>VLOOKUP(E5,Clubes!B$2:D$438,3)</f>
        <v/>
      </c>
      <c r="H5" s="2" t="n">
        <v>30</v>
      </c>
      <c r="J5">
        <f>I5/H5</f>
        <v/>
      </c>
      <c r="K5">
        <f>H5*90</f>
        <v/>
      </c>
      <c r="M5">
        <f>L5/K5</f>
        <v/>
      </c>
    </row>
    <row r="6">
      <c r="A6" s="1" t="n">
        <v>5</v>
      </c>
      <c r="B6" s="2" t="inlineStr">
        <is>
          <t>South Africa</t>
        </is>
      </c>
      <c r="C6" s="2" t="inlineStr">
        <is>
          <t>Khuliso Mudau</t>
        </is>
      </c>
      <c r="D6" s="2" t="inlineStr">
        <is>
          <t>Defesa</t>
        </is>
      </c>
      <c r="E6" s="2" t="inlineStr">
        <is>
          <t>Sundowns</t>
        </is>
      </c>
      <c r="F6">
        <f>VLOOKUP(E6,Clubes!B$2:D$438,2)</f>
        <v/>
      </c>
      <c r="G6">
        <f>VLOOKUP(E6,Clubes!B$2:D$438,3)</f>
        <v/>
      </c>
      <c r="H6" s="2" t="n">
        <v>30</v>
      </c>
      <c r="J6">
        <f>I6/H6</f>
        <v/>
      </c>
      <c r="K6">
        <f>H6*90</f>
        <v/>
      </c>
      <c r="M6">
        <f>L6/K6</f>
        <v/>
      </c>
    </row>
    <row r="7">
      <c r="A7" s="1" t="n">
        <v>6</v>
      </c>
      <c r="B7" s="2" t="inlineStr">
        <is>
          <t>South Africa</t>
        </is>
      </c>
      <c r="C7" s="2" t="inlineStr">
        <is>
          <t>Kulumani Ndamane</t>
        </is>
      </c>
      <c r="D7" s="2" t="inlineStr">
        <is>
          <t>Defesa</t>
        </is>
      </c>
      <c r="E7" s="2" t="inlineStr">
        <is>
          <t>Sundowns</t>
        </is>
      </c>
      <c r="F7">
        <f>VLOOKUP(E7,Clubes!B$2:D$438,2)</f>
        <v/>
      </c>
      <c r="G7">
        <f>VLOOKUP(E7,Clubes!B$2:D$438,3)</f>
        <v/>
      </c>
      <c r="H7" s="2" t="n">
        <v>30</v>
      </c>
      <c r="J7">
        <f>I7/H7</f>
        <v/>
      </c>
      <c r="K7">
        <f>H7*90</f>
        <v/>
      </c>
      <c r="M7">
        <f>L7/K7</f>
        <v/>
      </c>
    </row>
    <row r="8">
      <c r="A8" s="1" t="n">
        <v>7</v>
      </c>
      <c r="B8" s="2" t="inlineStr">
        <is>
          <t>South Africa</t>
        </is>
      </c>
      <c r="C8" s="2" t="inlineStr">
        <is>
          <t>Mbekezeli Mbokazi</t>
        </is>
      </c>
      <c r="D8" s="2" t="inlineStr">
        <is>
          <t>Defesa</t>
        </is>
      </c>
      <c r="E8" s="2" t="inlineStr">
        <is>
          <t>Chicago Fire</t>
        </is>
      </c>
      <c r="F8">
        <f>VLOOKUP(E8,Clubes!B$2:D$438,2)</f>
        <v/>
      </c>
      <c r="G8">
        <f>VLOOKUP(E8,Clubes!B$2:D$438,3)</f>
        <v/>
      </c>
      <c r="H8" s="2" t="n">
        <v>34</v>
      </c>
      <c r="J8">
        <f>I8/H8</f>
        <v/>
      </c>
      <c r="K8">
        <f>H8*90</f>
        <v/>
      </c>
      <c r="M8">
        <f>L8/K8</f>
        <v/>
      </c>
    </row>
    <row r="9">
      <c r="A9" s="1" t="n">
        <v>8</v>
      </c>
      <c r="B9" s="2" t="inlineStr">
        <is>
          <t>South Africa</t>
        </is>
      </c>
      <c r="C9" s="2" t="inlineStr">
        <is>
          <t>Samukele Kabini</t>
        </is>
      </c>
      <c r="D9" s="2" t="inlineStr">
        <is>
          <t>Defesa</t>
        </is>
      </c>
      <c r="E9" s="2" t="inlineStr">
        <is>
          <t>Molde</t>
        </is>
      </c>
      <c r="F9">
        <f>VLOOKUP(E9,Clubes!B$2:D$438,2)</f>
        <v/>
      </c>
      <c r="G9">
        <f>VLOOKUP(E9,Clubes!B$2:D$438,3)</f>
        <v/>
      </c>
      <c r="H9" s="2" t="n">
        <v>30</v>
      </c>
      <c r="J9">
        <f>I9/H9</f>
        <v/>
      </c>
      <c r="K9">
        <f>H9*90</f>
        <v/>
      </c>
      <c r="M9">
        <f>L9/K9</f>
        <v/>
      </c>
    </row>
    <row r="10">
      <c r="A10" s="1" t="n">
        <v>9</v>
      </c>
      <c r="B10" s="2" t="inlineStr">
        <is>
          <t>South Africa</t>
        </is>
      </c>
      <c r="C10" s="2" t="inlineStr">
        <is>
          <t>Nkosinathi Sibisi</t>
        </is>
      </c>
      <c r="D10" s="2" t="inlineStr">
        <is>
          <t>Defesa</t>
        </is>
      </c>
      <c r="E10" s="2" t="inlineStr">
        <is>
          <t>Orlando Pirates</t>
        </is>
      </c>
      <c r="F10">
        <f>VLOOKUP(E10,Clubes!B$2:D$438,2)</f>
        <v/>
      </c>
      <c r="G10">
        <f>VLOOKUP(E10,Clubes!B$2:D$438,3)</f>
        <v/>
      </c>
      <c r="H10" s="2" t="n">
        <v>30</v>
      </c>
      <c r="J10">
        <f>I10/H10</f>
        <v/>
      </c>
      <c r="K10">
        <f>H10*90</f>
        <v/>
      </c>
      <c r="M10">
        <f>L10/K10</f>
        <v/>
      </c>
    </row>
    <row r="11">
      <c r="A11" s="1" t="n">
        <v>10</v>
      </c>
      <c r="B11" s="2" t="inlineStr">
        <is>
          <t>South Africa</t>
        </is>
      </c>
      <c r="C11" s="2" t="inlineStr">
        <is>
          <t>Ime Okon</t>
        </is>
      </c>
      <c r="D11" s="2" t="inlineStr">
        <is>
          <t>Defesa</t>
        </is>
      </c>
      <c r="E11" s="2" t="inlineStr">
        <is>
          <t>Hannover 96</t>
        </is>
      </c>
      <c r="F11">
        <f>VLOOKUP(E11,Clubes!B$2:D$438,2)</f>
        <v/>
      </c>
      <c r="G11">
        <f>VLOOKUP(E11,Clubes!B$2:D$438,3)</f>
        <v/>
      </c>
      <c r="H11" s="2" t="n">
        <v>34</v>
      </c>
      <c r="J11">
        <f>I11/H11</f>
        <v/>
      </c>
      <c r="K11">
        <f>H11*90</f>
        <v/>
      </c>
      <c r="M11">
        <f>L11/K11</f>
        <v/>
      </c>
    </row>
    <row r="12">
      <c r="A12" s="1" t="n">
        <v>11</v>
      </c>
      <c r="B12" s="2" t="inlineStr">
        <is>
          <t>South Africa</t>
        </is>
      </c>
      <c r="C12" s="2" t="inlineStr">
        <is>
          <t>Olwethu Makhanya</t>
        </is>
      </c>
      <c r="D12" s="2" t="inlineStr">
        <is>
          <t>Defesa</t>
        </is>
      </c>
      <c r="E12" s="2" t="inlineStr">
        <is>
          <t>Philadelphia Union</t>
        </is>
      </c>
      <c r="F12">
        <f>VLOOKUP(E12,Clubes!B$2:D$438,2)</f>
        <v/>
      </c>
      <c r="G12">
        <f>VLOOKUP(E12,Clubes!B$2:D$438,3)</f>
        <v/>
      </c>
      <c r="H12" s="2" t="n">
        <v>34</v>
      </c>
      <c r="J12">
        <f>I12/H12</f>
        <v/>
      </c>
      <c r="K12">
        <f>H12*90</f>
        <v/>
      </c>
      <c r="M12">
        <f>L12/K12</f>
        <v/>
      </c>
    </row>
    <row r="13">
      <c r="A13" s="1" t="n">
        <v>12</v>
      </c>
      <c r="B13" s="2" t="inlineStr">
        <is>
          <t>South Africa</t>
        </is>
      </c>
      <c r="C13" s="2" t="inlineStr">
        <is>
          <t>Bradley Cross</t>
        </is>
      </c>
      <c r="D13" s="2" t="inlineStr">
        <is>
          <t>Defesa</t>
        </is>
      </c>
      <c r="E13" s="2" t="inlineStr">
        <is>
          <t>Kaizer Chiefs</t>
        </is>
      </c>
      <c r="F13">
        <f>VLOOKUP(E13,Clubes!B$2:D$438,2)</f>
        <v/>
      </c>
      <c r="G13">
        <f>VLOOKUP(E13,Clubes!B$2:D$438,3)</f>
        <v/>
      </c>
      <c r="H13" s="2" t="n">
        <v>30</v>
      </c>
      <c r="J13">
        <f>I13/H13</f>
        <v/>
      </c>
      <c r="K13">
        <f>H13*90</f>
        <v/>
      </c>
      <c r="M13">
        <f>L13/K13</f>
        <v/>
      </c>
    </row>
    <row r="14">
      <c r="A14" s="1" t="n">
        <v>13</v>
      </c>
      <c r="B14" s="2" t="inlineStr">
        <is>
          <t>South Africa</t>
        </is>
      </c>
      <c r="C14" s="2" t="inlineStr">
        <is>
          <t>Aubrey Modiba</t>
        </is>
      </c>
      <c r="D14" s="2" t="inlineStr">
        <is>
          <t>Defesa</t>
        </is>
      </c>
      <c r="E14" s="2" t="inlineStr">
        <is>
          <t>Sundowns</t>
        </is>
      </c>
      <c r="F14">
        <f>VLOOKUP(E14,Clubes!B$2:D$438,2)</f>
        <v/>
      </c>
      <c r="G14">
        <f>VLOOKUP(E14,Clubes!B$2:D$438,3)</f>
        <v/>
      </c>
      <c r="H14" s="2" t="n">
        <v>30</v>
      </c>
      <c r="J14">
        <f>I14/H14</f>
        <v/>
      </c>
      <c r="K14">
        <f>H14*90</f>
        <v/>
      </c>
      <c r="M14">
        <f>L14/K14</f>
        <v/>
      </c>
    </row>
    <row r="15">
      <c r="A15" s="1" t="n">
        <v>14</v>
      </c>
      <c r="B15" s="2" t="inlineStr">
        <is>
          <t>South Africa</t>
        </is>
      </c>
      <c r="C15" s="2" t="inlineStr">
        <is>
          <t>Yaya Sithole</t>
        </is>
      </c>
      <c r="D15" s="2" t="inlineStr">
        <is>
          <t>Médio</t>
        </is>
      </c>
      <c r="E15" s="2" t="inlineStr">
        <is>
          <t>CD Tondela</t>
        </is>
      </c>
      <c r="F15">
        <f>VLOOKUP(E15,Clubes!B$2:D$438,2)</f>
        <v/>
      </c>
      <c r="G15">
        <f>VLOOKUP(E15,Clubes!B$2:D$438,3)</f>
        <v/>
      </c>
      <c r="H15" s="2" t="n">
        <v>34</v>
      </c>
      <c r="J15">
        <f>I15/H15</f>
        <v/>
      </c>
      <c r="K15">
        <f>H15*90</f>
        <v/>
      </c>
      <c r="M15">
        <f>L15/K15</f>
        <v/>
      </c>
    </row>
    <row r="16">
      <c r="A16" s="1" t="n">
        <v>15</v>
      </c>
      <c r="B16" s="2" t="inlineStr">
        <is>
          <t>South Africa</t>
        </is>
      </c>
      <c r="C16" s="2" t="inlineStr">
        <is>
          <t>Teboho Mokoena</t>
        </is>
      </c>
      <c r="D16" s="2" t="inlineStr">
        <is>
          <t>Médio</t>
        </is>
      </c>
      <c r="E16" s="2" t="inlineStr">
        <is>
          <t>Sundowns</t>
        </is>
      </c>
      <c r="F16">
        <f>VLOOKUP(E16,Clubes!B$2:D$438,2)</f>
        <v/>
      </c>
      <c r="G16">
        <f>VLOOKUP(E16,Clubes!B$2:D$438,3)</f>
        <v/>
      </c>
      <c r="H16" s="2" t="n">
        <v>30</v>
      </c>
      <c r="J16">
        <f>I16/H16</f>
        <v/>
      </c>
      <c r="K16">
        <f>H16*90</f>
        <v/>
      </c>
      <c r="M16">
        <f>L16/K16</f>
        <v/>
      </c>
    </row>
    <row r="17">
      <c r="A17" s="1" t="n">
        <v>16</v>
      </c>
      <c r="B17" s="2" t="inlineStr">
        <is>
          <t>South Africa</t>
        </is>
      </c>
      <c r="C17" s="2" t="inlineStr">
        <is>
          <t>Thalente Mbatha</t>
        </is>
      </c>
      <c r="D17" s="2" t="inlineStr">
        <is>
          <t>Médio</t>
        </is>
      </c>
      <c r="E17" s="2" t="inlineStr">
        <is>
          <t>Orlando Pirates</t>
        </is>
      </c>
      <c r="F17">
        <f>VLOOKUP(E17,Clubes!B$2:D$438,2)</f>
        <v/>
      </c>
      <c r="G17">
        <f>VLOOKUP(E17,Clubes!B$2:D$438,3)</f>
        <v/>
      </c>
      <c r="H17" s="2" t="n">
        <v>30</v>
      </c>
      <c r="J17">
        <f>I17/H17</f>
        <v/>
      </c>
      <c r="K17">
        <f>H17*90</f>
        <v/>
      </c>
      <c r="M17">
        <f>L17/K17</f>
        <v/>
      </c>
    </row>
    <row r="18">
      <c r="A18" s="1" t="n">
        <v>17</v>
      </c>
      <c r="B18" s="2" t="inlineStr">
        <is>
          <t>South Africa</t>
        </is>
      </c>
      <c r="C18" s="2" t="inlineStr">
        <is>
          <t>Jayden Adams</t>
        </is>
      </c>
      <c r="D18" s="2" t="inlineStr">
        <is>
          <t>Médio</t>
        </is>
      </c>
      <c r="E18" s="2" t="inlineStr">
        <is>
          <t>Sundowns</t>
        </is>
      </c>
      <c r="F18">
        <f>VLOOKUP(E18,Clubes!B$2:D$438,2)</f>
        <v/>
      </c>
      <c r="G18">
        <f>VLOOKUP(E18,Clubes!B$2:D$438,3)</f>
        <v/>
      </c>
      <c r="H18" s="2" t="n">
        <v>30</v>
      </c>
      <c r="J18">
        <f>I18/H18</f>
        <v/>
      </c>
      <c r="K18">
        <f>H18*90</f>
        <v/>
      </c>
      <c r="M18">
        <f>L18/K18</f>
        <v/>
      </c>
    </row>
    <row r="19">
      <c r="A19" s="1" t="n">
        <v>18</v>
      </c>
      <c r="B19" s="2" t="inlineStr">
        <is>
          <t>South Africa</t>
        </is>
      </c>
      <c r="C19" s="2" t="inlineStr">
        <is>
          <t>Relebohile Mofokeng</t>
        </is>
      </c>
      <c r="D19" s="2" t="inlineStr">
        <is>
          <t>Médio</t>
        </is>
      </c>
      <c r="E19" s="2" t="inlineStr">
        <is>
          <t>Orlando Pirates</t>
        </is>
      </c>
      <c r="F19">
        <f>VLOOKUP(E19,Clubes!B$2:D$438,2)</f>
        <v/>
      </c>
      <c r="G19">
        <f>VLOOKUP(E19,Clubes!B$2:D$438,3)</f>
        <v/>
      </c>
      <c r="H19" s="2" t="n">
        <v>30</v>
      </c>
      <c r="J19">
        <f>I19/H19</f>
        <v/>
      </c>
      <c r="K19">
        <f>H19*90</f>
        <v/>
      </c>
      <c r="M19">
        <f>L19/K19</f>
        <v/>
      </c>
    </row>
    <row r="20">
      <c r="A20" s="1" t="n">
        <v>19</v>
      </c>
      <c r="B20" s="2" t="inlineStr">
        <is>
          <t>South Africa</t>
        </is>
      </c>
      <c r="C20" s="2" t="inlineStr">
        <is>
          <t>Themba Zwane</t>
        </is>
      </c>
      <c r="D20" s="2" t="inlineStr">
        <is>
          <t>Médio</t>
        </is>
      </c>
      <c r="E20" s="2" t="inlineStr">
        <is>
          <t>Sundowns</t>
        </is>
      </c>
      <c r="F20">
        <f>VLOOKUP(E20,Clubes!B$2:D$438,2)</f>
        <v/>
      </c>
      <c r="G20">
        <f>VLOOKUP(E20,Clubes!B$2:D$438,3)</f>
        <v/>
      </c>
      <c r="H20" s="2" t="n">
        <v>30</v>
      </c>
      <c r="J20">
        <f>I20/H20</f>
        <v/>
      </c>
      <c r="K20">
        <f>H20*90</f>
        <v/>
      </c>
      <c r="M20">
        <f>L20/K20</f>
        <v/>
      </c>
    </row>
    <row r="21">
      <c r="A21" s="1" t="n">
        <v>20</v>
      </c>
      <c r="B21" s="2" t="inlineStr">
        <is>
          <t>South Africa</t>
        </is>
      </c>
      <c r="C21" s="2" t="inlineStr">
        <is>
          <t>Thapelo Maseko</t>
        </is>
      </c>
      <c r="D21" s="2" t="inlineStr">
        <is>
          <t>Médio</t>
        </is>
      </c>
      <c r="E21" s="2" t="inlineStr">
        <is>
          <t>AEL Limassol</t>
        </is>
      </c>
      <c r="F21">
        <f>VLOOKUP(E21,Clubes!B$2:D$438,2)</f>
        <v/>
      </c>
      <c r="G21">
        <f>VLOOKUP(E21,Clubes!B$2:D$438,3)</f>
        <v/>
      </c>
      <c r="H21" s="2" t="n">
        <v>36</v>
      </c>
      <c r="J21">
        <f>I21/H21</f>
        <v/>
      </c>
      <c r="K21">
        <f>H21*90</f>
        <v/>
      </c>
      <c r="M21">
        <f>L21/K21</f>
        <v/>
      </c>
    </row>
    <row r="22">
      <c r="A22" s="1" t="n">
        <v>21</v>
      </c>
      <c r="B22" s="2" t="inlineStr">
        <is>
          <t>South Africa</t>
        </is>
      </c>
      <c r="C22" s="2" t="inlineStr">
        <is>
          <t>Oswin Appollis</t>
        </is>
      </c>
      <c r="D22" s="2" t="inlineStr">
        <is>
          <t>Avançado</t>
        </is>
      </c>
      <c r="E22" s="2" t="inlineStr">
        <is>
          <t>Orlando Pirates</t>
        </is>
      </c>
      <c r="F22">
        <f>VLOOKUP(E22,Clubes!B$2:D$438,2)</f>
        <v/>
      </c>
      <c r="G22">
        <f>VLOOKUP(E22,Clubes!B$2:D$438,3)</f>
        <v/>
      </c>
      <c r="H22" s="2" t="n">
        <v>30</v>
      </c>
      <c r="J22">
        <f>I22/H22</f>
        <v/>
      </c>
      <c r="K22">
        <f>H22*90</f>
        <v/>
      </c>
      <c r="M22">
        <f>L22/K22</f>
        <v/>
      </c>
    </row>
    <row r="23">
      <c r="A23" s="1" t="n">
        <v>22</v>
      </c>
      <c r="B23" s="2" t="inlineStr">
        <is>
          <t>South Africa</t>
        </is>
      </c>
      <c r="C23" s="2" t="inlineStr">
        <is>
          <t>Kamogelo Sebelebele</t>
        </is>
      </c>
      <c r="D23" s="2" t="inlineStr">
        <is>
          <t>Avançado</t>
        </is>
      </c>
      <c r="E23" s="2" t="inlineStr">
        <is>
          <t>Orlando Pirates</t>
        </is>
      </c>
      <c r="F23">
        <f>VLOOKUP(E23,Clubes!B$2:D$438,2)</f>
        <v/>
      </c>
      <c r="G23">
        <f>VLOOKUP(E23,Clubes!B$2:D$438,3)</f>
        <v/>
      </c>
      <c r="H23" s="2" t="n">
        <v>30</v>
      </c>
      <c r="J23">
        <f>I23/H23</f>
        <v/>
      </c>
      <c r="K23">
        <f>H23*90</f>
        <v/>
      </c>
      <c r="M23">
        <f>L23/K23</f>
        <v/>
      </c>
    </row>
    <row r="24">
      <c r="A24" s="1" t="n">
        <v>23</v>
      </c>
      <c r="B24" s="2" t="inlineStr">
        <is>
          <t>South Africa</t>
        </is>
      </c>
      <c r="C24" s="2" t="inlineStr">
        <is>
          <t>Lyle Foster</t>
        </is>
      </c>
      <c r="D24" s="2" t="inlineStr">
        <is>
          <t>Avançado</t>
        </is>
      </c>
      <c r="E24" s="2" t="inlineStr">
        <is>
          <t>Burnley</t>
        </is>
      </c>
      <c r="F24">
        <f>VLOOKUP(E24,Clubes!B$2:D$438,2)</f>
        <v/>
      </c>
      <c r="G24">
        <f>VLOOKUP(E24,Clubes!B$2:D$438,3)</f>
        <v/>
      </c>
      <c r="H24" s="2" t="n">
        <v>38</v>
      </c>
      <c r="J24">
        <f>I24/H24</f>
        <v/>
      </c>
      <c r="K24">
        <f>H24*90</f>
        <v/>
      </c>
      <c r="M24">
        <f>L24/K24</f>
        <v/>
      </c>
    </row>
    <row r="25">
      <c r="A25" s="1" t="n">
        <v>24</v>
      </c>
      <c r="B25" s="2" t="inlineStr">
        <is>
          <t>South Africa</t>
        </is>
      </c>
      <c r="C25" s="2" t="inlineStr">
        <is>
          <t>Iqraam Rayners</t>
        </is>
      </c>
      <c r="D25" s="2" t="inlineStr">
        <is>
          <t>Avançado</t>
        </is>
      </c>
      <c r="E25" s="2" t="inlineStr">
        <is>
          <t>Sundowns</t>
        </is>
      </c>
      <c r="F25">
        <f>VLOOKUP(E25,Clubes!B$2:D$438,2)</f>
        <v/>
      </c>
      <c r="G25">
        <f>VLOOKUP(E25,Clubes!B$2:D$438,3)</f>
        <v/>
      </c>
      <c r="H25" s="2" t="n">
        <v>30</v>
      </c>
      <c r="J25">
        <f>I25/H25</f>
        <v/>
      </c>
      <c r="K25">
        <f>H25*90</f>
        <v/>
      </c>
      <c r="M25">
        <f>L25/K25</f>
        <v/>
      </c>
    </row>
    <row r="26">
      <c r="A26" s="1" t="n">
        <v>25</v>
      </c>
      <c r="B26" s="2" t="inlineStr">
        <is>
          <t>South Africa</t>
        </is>
      </c>
      <c r="C26" s="2" t="inlineStr">
        <is>
          <t>Evidence Makgopa</t>
        </is>
      </c>
      <c r="D26" s="2" t="inlineStr">
        <is>
          <t>Avançado</t>
        </is>
      </c>
      <c r="E26" s="2" t="inlineStr">
        <is>
          <t>Orlando Pirates</t>
        </is>
      </c>
      <c r="F26">
        <f>VLOOKUP(E26,Clubes!B$2:D$438,2)</f>
        <v/>
      </c>
      <c r="G26">
        <f>VLOOKUP(E26,Clubes!B$2:D$438,3)</f>
        <v/>
      </c>
      <c r="H26" s="2" t="n">
        <v>30</v>
      </c>
      <c r="J26">
        <f>I26/H26</f>
        <v/>
      </c>
      <c r="K26">
        <f>H26*90</f>
        <v/>
      </c>
      <c r="M26">
        <f>L26/K26</f>
        <v/>
      </c>
    </row>
    <row r="27">
      <c r="A27" s="1" t="n">
        <v>26</v>
      </c>
      <c r="B27" s="2" t="inlineStr">
        <is>
          <t>South Africa</t>
        </is>
      </c>
      <c r="C27" s="2" t="inlineStr">
        <is>
          <t>Tshepang Moremi</t>
        </is>
      </c>
      <c r="D27" s="2" t="inlineStr">
        <is>
          <t>Avançado</t>
        </is>
      </c>
      <c r="E27" s="2" t="inlineStr">
        <is>
          <t>Orlando Pirates</t>
        </is>
      </c>
      <c r="F27">
        <f>VLOOKUP(E27,Clubes!B$2:D$438,2)</f>
        <v/>
      </c>
      <c r="G27">
        <f>VLOOKUP(E27,Clubes!B$2:D$438,3)</f>
        <v/>
      </c>
      <c r="H27" s="2" t="n">
        <v>30</v>
      </c>
      <c r="J27">
        <f>I27/H27</f>
        <v/>
      </c>
      <c r="K27">
        <f>H27*90</f>
        <v/>
      </c>
      <c r="M27">
        <f>L27/K27</f>
        <v/>
      </c>
    </row>
    <row r="28">
      <c r="A28" s="1" t="n">
        <v>27</v>
      </c>
      <c r="B28" s="2" t="inlineStr">
        <is>
          <t>Germany</t>
        </is>
      </c>
      <c r="C28" s="2" t="inlineStr">
        <is>
          <t>Manuel Neuer</t>
        </is>
      </c>
      <c r="D28" s="2" t="inlineStr">
        <is>
          <t>Guarda Redes</t>
        </is>
      </c>
      <c r="E28" s="2" t="inlineStr">
        <is>
          <t>Bayern München</t>
        </is>
      </c>
      <c r="F28">
        <f>VLOOKUP(E28,Clubes!B$2:D$438,2)</f>
        <v/>
      </c>
      <c r="G28">
        <f>VLOOKUP(E28,Clubes!B$2:D$438,3)</f>
        <v/>
      </c>
      <c r="H28" s="2" t="n">
        <v>34</v>
      </c>
      <c r="J28">
        <f>I28/H28</f>
        <v/>
      </c>
      <c r="K28">
        <f>H28*90</f>
        <v/>
      </c>
      <c r="M28">
        <f>L28/K28</f>
        <v/>
      </c>
    </row>
    <row r="29">
      <c r="A29" s="1" t="n">
        <v>28</v>
      </c>
      <c r="B29" s="2" t="inlineStr">
        <is>
          <t>Germany</t>
        </is>
      </c>
      <c r="C29" s="2" t="inlineStr">
        <is>
          <t>Oliver Baumann</t>
        </is>
      </c>
      <c r="D29" s="2" t="inlineStr">
        <is>
          <t>Guarda Redes</t>
        </is>
      </c>
      <c r="E29" s="2" t="inlineStr">
        <is>
          <t>TSG Hoffenheim</t>
        </is>
      </c>
      <c r="F29">
        <f>VLOOKUP(E29,Clubes!B$2:D$438,2)</f>
        <v/>
      </c>
      <c r="G29">
        <f>VLOOKUP(E29,Clubes!B$2:D$438,3)</f>
        <v/>
      </c>
      <c r="H29" s="2" t="n">
        <v>30</v>
      </c>
      <c r="J29">
        <f>I29/H29</f>
        <v/>
      </c>
      <c r="K29">
        <f>H29*90</f>
        <v/>
      </c>
      <c r="M29">
        <f>L29/K29</f>
        <v/>
      </c>
    </row>
    <row r="30">
      <c r="A30" s="1" t="n">
        <v>29</v>
      </c>
      <c r="B30" s="2" t="inlineStr">
        <is>
          <t>Germany</t>
        </is>
      </c>
      <c r="C30" s="2" t="inlineStr">
        <is>
          <t>Alexander Nübel</t>
        </is>
      </c>
      <c r="D30" s="2" t="inlineStr">
        <is>
          <t>Guarda Redes</t>
        </is>
      </c>
      <c r="E30" s="2" t="inlineStr">
        <is>
          <t>Stuttgart</t>
        </is>
      </c>
      <c r="F30">
        <f>VLOOKUP(E30,Clubes!B$2:D$438,2)</f>
        <v/>
      </c>
      <c r="G30">
        <f>VLOOKUP(E30,Clubes!B$2:D$438,3)</f>
        <v/>
      </c>
      <c r="H30" s="2" t="n">
        <v>34</v>
      </c>
      <c r="J30">
        <f>I30/H30</f>
        <v/>
      </c>
      <c r="K30">
        <f>H30*90</f>
        <v/>
      </c>
      <c r="M30">
        <f>L30/K30</f>
        <v/>
      </c>
    </row>
    <row r="31">
      <c r="A31" s="1" t="n">
        <v>30</v>
      </c>
      <c r="B31" s="2" t="inlineStr">
        <is>
          <t>Germany</t>
        </is>
      </c>
      <c r="C31" s="2" t="inlineStr">
        <is>
          <t>Antonio Rüdiger</t>
        </is>
      </c>
      <c r="D31" s="2" t="inlineStr">
        <is>
          <t>Defesa</t>
        </is>
      </c>
      <c r="E31" s="2" t="inlineStr">
        <is>
          <t>Real Madrid</t>
        </is>
      </c>
      <c r="F31">
        <f>VLOOKUP(E31,Clubes!B$2:D$438,2)</f>
        <v/>
      </c>
      <c r="G31">
        <f>VLOOKUP(E31,Clubes!B$2:D$438,3)</f>
        <v/>
      </c>
      <c r="H31" s="2" t="n">
        <v>38</v>
      </c>
      <c r="J31">
        <f>I31/H31</f>
        <v/>
      </c>
      <c r="K31">
        <f>H31*90</f>
        <v/>
      </c>
      <c r="M31">
        <f>L31/K31</f>
        <v/>
      </c>
    </row>
    <row r="32">
      <c r="A32" s="1" t="n">
        <v>31</v>
      </c>
      <c r="B32" s="2" t="inlineStr">
        <is>
          <t>Germany</t>
        </is>
      </c>
      <c r="C32" s="2" t="inlineStr">
        <is>
          <t>Waldemar Anton</t>
        </is>
      </c>
      <c r="D32" s="2" t="inlineStr">
        <is>
          <t>Defesa</t>
        </is>
      </c>
      <c r="E32" s="2" t="inlineStr">
        <is>
          <t>Borussia Dortmund</t>
        </is>
      </c>
      <c r="F32">
        <f>VLOOKUP(E32,Clubes!B$2:D$438,2)</f>
        <v/>
      </c>
      <c r="G32">
        <f>VLOOKUP(E32,Clubes!B$2:D$438,3)</f>
        <v/>
      </c>
      <c r="H32" s="2" t="n">
        <v>34</v>
      </c>
      <c r="J32">
        <f>I32/H32</f>
        <v/>
      </c>
      <c r="K32">
        <f>H32*90</f>
        <v/>
      </c>
      <c r="M32">
        <f>L32/K32</f>
        <v/>
      </c>
    </row>
    <row r="33">
      <c r="A33" s="1" t="n">
        <v>32</v>
      </c>
      <c r="B33" s="2" t="inlineStr">
        <is>
          <t>Germany</t>
        </is>
      </c>
      <c r="C33" s="2" t="inlineStr">
        <is>
          <t>Jonathan Tah</t>
        </is>
      </c>
      <c r="D33" s="2" t="inlineStr">
        <is>
          <t>Defesa</t>
        </is>
      </c>
      <c r="E33" s="2" t="inlineStr">
        <is>
          <t>Bayern München</t>
        </is>
      </c>
      <c r="F33">
        <f>VLOOKUP(E33,Clubes!B$2:D$438,2)</f>
        <v/>
      </c>
      <c r="G33">
        <f>VLOOKUP(E33,Clubes!B$2:D$438,3)</f>
        <v/>
      </c>
      <c r="H33" s="2" t="n">
        <v>34</v>
      </c>
      <c r="J33">
        <f>I33/H33</f>
        <v/>
      </c>
      <c r="K33">
        <f>H33*90</f>
        <v/>
      </c>
      <c r="M33">
        <f>L33/K33</f>
        <v/>
      </c>
    </row>
    <row r="34">
      <c r="A34" s="1" t="n">
        <v>33</v>
      </c>
      <c r="B34" s="2" t="inlineStr">
        <is>
          <t>Germany</t>
        </is>
      </c>
      <c r="C34" s="2" t="inlineStr">
        <is>
          <t>Nico Schlotterbeck</t>
        </is>
      </c>
      <c r="D34" s="2" t="inlineStr">
        <is>
          <t>Defesa</t>
        </is>
      </c>
      <c r="E34" s="2" t="inlineStr">
        <is>
          <t>Borussia Dortmund</t>
        </is>
      </c>
      <c r="F34">
        <f>VLOOKUP(E34,Clubes!B$2:D$438,2)</f>
        <v/>
      </c>
      <c r="G34">
        <f>VLOOKUP(E34,Clubes!B$2:D$438,3)</f>
        <v/>
      </c>
      <c r="H34" s="2" t="n">
        <v>34</v>
      </c>
      <c r="J34">
        <f>I34/H34</f>
        <v/>
      </c>
      <c r="K34">
        <f>H34*90</f>
        <v/>
      </c>
      <c r="M34">
        <f>L34/K34</f>
        <v/>
      </c>
    </row>
    <row r="35">
      <c r="A35" s="1" t="n">
        <v>34</v>
      </c>
      <c r="B35" s="2" t="inlineStr">
        <is>
          <t>Germany</t>
        </is>
      </c>
      <c r="C35" s="2" t="inlineStr">
        <is>
          <t>Nathaniel Brown</t>
        </is>
      </c>
      <c r="D35" s="2" t="inlineStr">
        <is>
          <t>Defesa</t>
        </is>
      </c>
      <c r="E35" s="2" t="inlineStr">
        <is>
          <t>Eintracht Frankfurt</t>
        </is>
      </c>
      <c r="F35">
        <f>VLOOKUP(E35,Clubes!B$2:D$438,2)</f>
        <v/>
      </c>
      <c r="G35">
        <f>VLOOKUP(E35,Clubes!B$2:D$438,3)</f>
        <v/>
      </c>
      <c r="H35" s="2" t="n">
        <v>34</v>
      </c>
      <c r="J35">
        <f>I35/H35</f>
        <v/>
      </c>
      <c r="K35">
        <f>H35*90</f>
        <v/>
      </c>
      <c r="M35">
        <f>L35/K35</f>
        <v/>
      </c>
    </row>
    <row r="36">
      <c r="A36" s="1" t="n">
        <v>35</v>
      </c>
      <c r="B36" s="2" t="inlineStr">
        <is>
          <t>Germany</t>
        </is>
      </c>
      <c r="C36" s="2" t="inlineStr">
        <is>
          <t>David Raum</t>
        </is>
      </c>
      <c r="D36" s="2" t="inlineStr">
        <is>
          <t>Defesa</t>
        </is>
      </c>
      <c r="E36" s="2" t="inlineStr">
        <is>
          <t>RB Leipzig</t>
        </is>
      </c>
      <c r="F36">
        <f>VLOOKUP(E36,Clubes!B$2:D$438,2)</f>
        <v/>
      </c>
      <c r="G36">
        <f>VLOOKUP(E36,Clubes!B$2:D$438,3)</f>
        <v/>
      </c>
      <c r="H36" s="2" t="n">
        <v>34</v>
      </c>
      <c r="J36">
        <f>I36/H36</f>
        <v/>
      </c>
      <c r="K36">
        <f>H36*90</f>
        <v/>
      </c>
      <c r="M36">
        <f>L36/K36</f>
        <v/>
      </c>
    </row>
    <row r="37">
      <c r="A37" s="1" t="n">
        <v>36</v>
      </c>
      <c r="B37" s="2" t="inlineStr">
        <is>
          <t>Germany</t>
        </is>
      </c>
      <c r="C37" s="2" t="inlineStr">
        <is>
          <t>Malick Thiaw</t>
        </is>
      </c>
      <c r="D37" s="2" t="inlineStr">
        <is>
          <t>Defesa</t>
        </is>
      </c>
      <c r="E37" s="2" t="inlineStr">
        <is>
          <t>Newcastle</t>
        </is>
      </c>
      <c r="F37">
        <f>VLOOKUP(E37,Clubes!B$2:D$438,2)</f>
        <v/>
      </c>
      <c r="G37">
        <f>VLOOKUP(E37,Clubes!B$2:D$438,3)</f>
        <v/>
      </c>
      <c r="H37" s="2" t="n">
        <v>38</v>
      </c>
      <c r="J37">
        <f>I37/H37</f>
        <v/>
      </c>
      <c r="K37">
        <f>H37*90</f>
        <v/>
      </c>
      <c r="M37">
        <f>L37/K37</f>
        <v/>
      </c>
    </row>
    <row r="38">
      <c r="A38" s="1" t="n">
        <v>37</v>
      </c>
      <c r="B38" s="2" t="inlineStr">
        <is>
          <t>Germany</t>
        </is>
      </c>
      <c r="C38" s="2" t="inlineStr">
        <is>
          <t>Aleksandar Pavlovic</t>
        </is>
      </c>
      <c r="D38" s="2" t="inlineStr">
        <is>
          <t>Médio</t>
        </is>
      </c>
      <c r="E38" s="2" t="inlineStr">
        <is>
          <t>Bayern München</t>
        </is>
      </c>
      <c r="F38">
        <f>VLOOKUP(E38,Clubes!B$2:D$438,2)</f>
        <v/>
      </c>
      <c r="G38">
        <f>VLOOKUP(E38,Clubes!B$2:D$438,3)</f>
        <v/>
      </c>
      <c r="H38" s="2" t="n">
        <v>34</v>
      </c>
      <c r="J38">
        <f>I38/H38</f>
        <v/>
      </c>
      <c r="K38">
        <f>H38*90</f>
        <v/>
      </c>
      <c r="M38">
        <f>L38/K38</f>
        <v/>
      </c>
    </row>
    <row r="39">
      <c r="A39" s="1" t="n">
        <v>38</v>
      </c>
      <c r="B39" s="2" t="inlineStr">
        <is>
          <t>Germany</t>
        </is>
      </c>
      <c r="C39" s="2" t="inlineStr">
        <is>
          <t>Joshua Kimmich</t>
        </is>
      </c>
      <c r="D39" s="2" t="inlineStr">
        <is>
          <t>Médio</t>
        </is>
      </c>
      <c r="E39" s="2" t="inlineStr">
        <is>
          <t>Bayern München</t>
        </is>
      </c>
      <c r="F39">
        <f>VLOOKUP(E39,Clubes!B$2:D$438,2)</f>
        <v/>
      </c>
      <c r="G39">
        <f>VLOOKUP(E39,Clubes!B$2:D$438,3)</f>
        <v/>
      </c>
      <c r="H39" s="2" t="n">
        <v>34</v>
      </c>
      <c r="J39">
        <f>I39/H39</f>
        <v/>
      </c>
      <c r="K39">
        <f>H39*90</f>
        <v/>
      </c>
      <c r="M39">
        <f>L39/K39</f>
        <v/>
      </c>
    </row>
    <row r="40">
      <c r="A40" s="1" t="n">
        <v>39</v>
      </c>
      <c r="B40" s="2" t="inlineStr">
        <is>
          <t>Germany</t>
        </is>
      </c>
      <c r="C40" s="2" t="inlineStr">
        <is>
          <t>Leon Goretzka</t>
        </is>
      </c>
      <c r="D40" s="2" t="inlineStr">
        <is>
          <t>Médio</t>
        </is>
      </c>
      <c r="E40" s="2" t="inlineStr">
        <is>
          <t>Bayern München</t>
        </is>
      </c>
      <c r="F40">
        <f>VLOOKUP(E40,Clubes!B$2:D$438,2)</f>
        <v/>
      </c>
      <c r="G40">
        <f>VLOOKUP(E40,Clubes!B$2:D$438,3)</f>
        <v/>
      </c>
      <c r="H40" s="2" t="n">
        <v>34</v>
      </c>
      <c r="J40">
        <f>I40/H40</f>
        <v/>
      </c>
      <c r="K40">
        <f>H40*90</f>
        <v/>
      </c>
      <c r="M40">
        <f>L40/K40</f>
        <v/>
      </c>
    </row>
    <row r="41">
      <c r="A41" s="1" t="n">
        <v>40</v>
      </c>
      <c r="B41" s="2" t="inlineStr">
        <is>
          <t>Germany</t>
        </is>
      </c>
      <c r="C41" s="2" t="inlineStr">
        <is>
          <t>Jamal Musiala</t>
        </is>
      </c>
      <c r="D41" s="2" t="inlineStr">
        <is>
          <t>Médio</t>
        </is>
      </c>
      <c r="E41" s="2" t="inlineStr">
        <is>
          <t>Bayern München</t>
        </is>
      </c>
      <c r="F41">
        <f>VLOOKUP(E41,Clubes!B$2:D$438,2)</f>
        <v/>
      </c>
      <c r="G41">
        <f>VLOOKUP(E41,Clubes!B$2:D$438,3)</f>
        <v/>
      </c>
      <c r="H41" s="2" t="n">
        <v>34</v>
      </c>
      <c r="J41">
        <f>I41/H41</f>
        <v/>
      </c>
      <c r="K41">
        <f>H41*90</f>
        <v/>
      </c>
      <c r="M41">
        <f>L41/K41</f>
        <v/>
      </c>
    </row>
    <row r="42">
      <c r="A42" s="1" t="n">
        <v>41</v>
      </c>
      <c r="B42" s="2" t="inlineStr">
        <is>
          <t>Germany</t>
        </is>
      </c>
      <c r="C42" s="2" t="inlineStr">
        <is>
          <t>Pascal Gross</t>
        </is>
      </c>
      <c r="D42" s="2" t="inlineStr">
        <is>
          <t>Médio</t>
        </is>
      </c>
      <c r="E42" s="2" t="inlineStr">
        <is>
          <t>Brighton &amp; Hove Albion</t>
        </is>
      </c>
      <c r="F42">
        <f>VLOOKUP(E42,Clubes!B$2:D$438,2)</f>
        <v/>
      </c>
      <c r="G42">
        <f>VLOOKUP(E42,Clubes!B$2:D$438,3)</f>
        <v/>
      </c>
      <c r="H42" s="2" t="n">
        <v>38</v>
      </c>
      <c r="J42">
        <f>I42/H42</f>
        <v/>
      </c>
      <c r="K42">
        <f>H42*90</f>
        <v/>
      </c>
      <c r="M42">
        <f>L42/K42</f>
        <v/>
      </c>
    </row>
    <row r="43">
      <c r="A43" s="1" t="n">
        <v>42</v>
      </c>
      <c r="B43" s="2" t="inlineStr">
        <is>
          <t>Germany</t>
        </is>
      </c>
      <c r="C43" s="2" t="inlineStr">
        <is>
          <t>Angelo Stiller</t>
        </is>
      </c>
      <c r="D43" s="2" t="inlineStr">
        <is>
          <t>Médio</t>
        </is>
      </c>
      <c r="E43" s="2" t="inlineStr">
        <is>
          <t>Stuttgart</t>
        </is>
      </c>
      <c r="F43">
        <f>VLOOKUP(E43,Clubes!B$2:D$438,2)</f>
        <v/>
      </c>
      <c r="G43">
        <f>VLOOKUP(E43,Clubes!B$2:D$438,3)</f>
        <v/>
      </c>
      <c r="H43" s="2" t="n">
        <v>34</v>
      </c>
      <c r="J43">
        <f>I43/H43</f>
        <v/>
      </c>
      <c r="K43">
        <f>H43*90</f>
        <v/>
      </c>
      <c r="M43">
        <f>L43/K43</f>
        <v/>
      </c>
    </row>
    <row r="44">
      <c r="A44" s="1" t="n">
        <v>43</v>
      </c>
      <c r="B44" s="2" t="inlineStr">
        <is>
          <t>Germany</t>
        </is>
      </c>
      <c r="C44" s="2" t="inlineStr">
        <is>
          <t>Florian Wirtz</t>
        </is>
      </c>
      <c r="D44" s="2" t="inlineStr">
        <is>
          <t>Médio</t>
        </is>
      </c>
      <c r="E44" s="2" t="inlineStr">
        <is>
          <t>Liverpool</t>
        </is>
      </c>
      <c r="F44">
        <f>VLOOKUP(E44,Clubes!B$2:D$438,2)</f>
        <v/>
      </c>
      <c r="G44">
        <f>VLOOKUP(E44,Clubes!B$2:D$438,3)</f>
        <v/>
      </c>
      <c r="H44" s="2" t="n">
        <v>38</v>
      </c>
      <c r="J44">
        <f>I44/H44</f>
        <v/>
      </c>
      <c r="K44">
        <f>H44*90</f>
        <v/>
      </c>
      <c r="M44">
        <f>L44/K44</f>
        <v/>
      </c>
    </row>
    <row r="45">
      <c r="A45" s="1" t="n">
        <v>44</v>
      </c>
      <c r="B45" s="2" t="inlineStr">
        <is>
          <t>Germany</t>
        </is>
      </c>
      <c r="C45" s="2" t="inlineStr">
        <is>
          <t>Nadiem Amiri</t>
        </is>
      </c>
      <c r="D45" s="2" t="inlineStr">
        <is>
          <t>Médio</t>
        </is>
      </c>
      <c r="E45" s="2" t="inlineStr">
        <is>
          <t>Mainz</t>
        </is>
      </c>
      <c r="F45">
        <f>VLOOKUP(E45,Clubes!B$2:D$438,2)</f>
        <v/>
      </c>
      <c r="G45">
        <f>VLOOKUP(E45,Clubes!B$2:D$438,3)</f>
        <v/>
      </c>
      <c r="H45" s="2" t="n">
        <v>34</v>
      </c>
      <c r="J45">
        <f>I45/H45</f>
        <v/>
      </c>
      <c r="K45">
        <f>H45*90</f>
        <v/>
      </c>
      <c r="M45">
        <f>L45/K45</f>
        <v/>
      </c>
    </row>
    <row r="46">
      <c r="A46" s="1" t="n">
        <v>45</v>
      </c>
      <c r="B46" s="2" t="inlineStr">
        <is>
          <t>Germany</t>
        </is>
      </c>
      <c r="C46" s="2" t="inlineStr">
        <is>
          <t>Felix Nmecha</t>
        </is>
      </c>
      <c r="D46" s="2" t="inlineStr">
        <is>
          <t>Médio</t>
        </is>
      </c>
      <c r="E46" s="2" t="inlineStr">
        <is>
          <t>Borussia Dortmund</t>
        </is>
      </c>
      <c r="F46">
        <f>VLOOKUP(E46,Clubes!B$2:D$438,2)</f>
        <v/>
      </c>
      <c r="G46">
        <f>VLOOKUP(E46,Clubes!B$2:D$438,3)</f>
        <v/>
      </c>
      <c r="H46" s="2" t="n">
        <v>34</v>
      </c>
      <c r="J46">
        <f>I46/H46</f>
        <v/>
      </c>
      <c r="K46">
        <f>H46*90</f>
        <v/>
      </c>
      <c r="M46">
        <f>L46/K46</f>
        <v/>
      </c>
    </row>
    <row r="47">
      <c r="A47" s="1" t="n">
        <v>46</v>
      </c>
      <c r="B47" s="2" t="inlineStr">
        <is>
          <t>Germany</t>
        </is>
      </c>
      <c r="C47" s="2" t="inlineStr">
        <is>
          <t>Lennart Karl</t>
        </is>
      </c>
      <c r="D47" s="2" t="inlineStr">
        <is>
          <t>Médio</t>
        </is>
      </c>
      <c r="E47" s="2" t="inlineStr">
        <is>
          <t>Bayern München</t>
        </is>
      </c>
      <c r="F47">
        <f>VLOOKUP(E47,Clubes!B$2:D$438,2)</f>
        <v/>
      </c>
      <c r="G47">
        <f>VLOOKUP(E47,Clubes!B$2:D$438,3)</f>
        <v/>
      </c>
      <c r="H47" s="2" t="n">
        <v>34</v>
      </c>
      <c r="J47">
        <f>I47/H47</f>
        <v/>
      </c>
      <c r="K47">
        <f>H47*90</f>
        <v/>
      </c>
      <c r="M47">
        <f>L47/K47</f>
        <v/>
      </c>
    </row>
    <row r="48">
      <c r="A48" s="1" t="n">
        <v>47</v>
      </c>
      <c r="B48" s="2" t="inlineStr">
        <is>
          <t>Germany</t>
        </is>
      </c>
      <c r="C48" s="2" t="inlineStr">
        <is>
          <t>Kai Havertz</t>
        </is>
      </c>
      <c r="D48" s="2" t="inlineStr">
        <is>
          <t>Avançado</t>
        </is>
      </c>
      <c r="E48" s="2" t="inlineStr">
        <is>
          <t>Arsenal</t>
        </is>
      </c>
      <c r="F48">
        <f>VLOOKUP(E48,Clubes!B$2:D$438,2)</f>
        <v/>
      </c>
      <c r="G48">
        <f>VLOOKUP(E48,Clubes!B$2:D$438,3)</f>
        <v/>
      </c>
      <c r="H48" s="2" t="n">
        <v>38</v>
      </c>
      <c r="J48">
        <f>I48/H48</f>
        <v/>
      </c>
      <c r="K48">
        <f>H48*90</f>
        <v/>
      </c>
      <c r="M48">
        <f>L48/K48</f>
        <v/>
      </c>
    </row>
    <row r="49">
      <c r="A49" s="1" t="n">
        <v>48</v>
      </c>
      <c r="B49" s="2" t="inlineStr">
        <is>
          <t>Germany</t>
        </is>
      </c>
      <c r="C49" s="2" t="inlineStr">
        <is>
          <t>Jamie Leweling</t>
        </is>
      </c>
      <c r="D49" s="2" t="inlineStr">
        <is>
          <t>Avançado</t>
        </is>
      </c>
      <c r="E49" s="2" t="inlineStr">
        <is>
          <t>Stuttgart</t>
        </is>
      </c>
      <c r="F49">
        <f>VLOOKUP(E49,Clubes!B$2:D$438,2)</f>
        <v/>
      </c>
      <c r="G49">
        <f>VLOOKUP(E49,Clubes!B$2:D$438,3)</f>
        <v/>
      </c>
      <c r="H49" s="2" t="n">
        <v>34</v>
      </c>
      <c r="J49">
        <f>I49/H49</f>
        <v/>
      </c>
      <c r="K49">
        <f>H49*90</f>
        <v/>
      </c>
      <c r="M49">
        <f>L49/K49</f>
        <v/>
      </c>
    </row>
    <row r="50">
      <c r="A50" s="1" t="n">
        <v>49</v>
      </c>
      <c r="B50" s="2" t="inlineStr">
        <is>
          <t>Germany</t>
        </is>
      </c>
      <c r="C50" s="2" t="inlineStr">
        <is>
          <t>Nick Woltemade</t>
        </is>
      </c>
      <c r="D50" s="2" t="inlineStr">
        <is>
          <t>Avançado</t>
        </is>
      </c>
      <c r="E50" s="2" t="inlineStr">
        <is>
          <t>Newcastle</t>
        </is>
      </c>
      <c r="F50">
        <f>VLOOKUP(E50,Clubes!B$2:D$438,2)</f>
        <v/>
      </c>
      <c r="G50">
        <f>VLOOKUP(E50,Clubes!B$2:D$438,3)</f>
        <v/>
      </c>
      <c r="H50" s="2" t="n">
        <v>38</v>
      </c>
      <c r="J50">
        <f>I50/H50</f>
        <v/>
      </c>
      <c r="K50">
        <f>H50*90</f>
        <v/>
      </c>
      <c r="M50">
        <f>L50/K50</f>
        <v/>
      </c>
    </row>
    <row r="51">
      <c r="A51" s="1" t="n">
        <v>50</v>
      </c>
      <c r="B51" s="2" t="inlineStr">
        <is>
          <t>Germany</t>
        </is>
      </c>
      <c r="C51" s="2" t="inlineStr">
        <is>
          <t>Maximilian Beier</t>
        </is>
      </c>
      <c r="D51" s="2" t="inlineStr">
        <is>
          <t>Avançado</t>
        </is>
      </c>
      <c r="E51" s="2" t="inlineStr">
        <is>
          <t>Borussia Dortmund</t>
        </is>
      </c>
      <c r="F51">
        <f>VLOOKUP(E51,Clubes!B$2:D$438,2)</f>
        <v/>
      </c>
      <c r="G51">
        <f>VLOOKUP(E51,Clubes!B$2:D$438,3)</f>
        <v/>
      </c>
      <c r="H51" s="2" t="n">
        <v>34</v>
      </c>
      <c r="J51">
        <f>I51/H51</f>
        <v/>
      </c>
      <c r="K51">
        <f>H51*90</f>
        <v/>
      </c>
      <c r="M51">
        <f>L51/K51</f>
        <v/>
      </c>
    </row>
    <row r="52">
      <c r="A52" s="1" t="n">
        <v>51</v>
      </c>
      <c r="B52" s="2" t="inlineStr">
        <is>
          <t>Germany</t>
        </is>
      </c>
      <c r="C52" s="2" t="inlineStr">
        <is>
          <t>Leroy Sané</t>
        </is>
      </c>
      <c r="D52" s="2" t="inlineStr">
        <is>
          <t>Avançado</t>
        </is>
      </c>
      <c r="E52" s="2" t="inlineStr">
        <is>
          <t>Galatasaray</t>
        </is>
      </c>
      <c r="F52">
        <f>VLOOKUP(E52,Clubes!B$2:D$438,2)</f>
        <v/>
      </c>
      <c r="G52">
        <f>VLOOKUP(E52,Clubes!B$2:D$438,3)</f>
        <v/>
      </c>
      <c r="H52" s="2" t="n">
        <v>38</v>
      </c>
      <c r="J52">
        <f>I52/H52</f>
        <v/>
      </c>
      <c r="K52">
        <f>H52*90</f>
        <v/>
      </c>
      <c r="M52">
        <f>L52/K52</f>
        <v/>
      </c>
    </row>
    <row r="53">
      <c r="A53" s="1" t="n">
        <v>52</v>
      </c>
      <c r="B53" s="2" t="inlineStr">
        <is>
          <t>Germany</t>
        </is>
      </c>
      <c r="C53" s="2" t="inlineStr">
        <is>
          <t>Deniz Undav</t>
        </is>
      </c>
      <c r="D53" s="2" t="inlineStr">
        <is>
          <t>Avançado</t>
        </is>
      </c>
      <c r="E53" s="2" t="inlineStr">
        <is>
          <t>Stuttgart</t>
        </is>
      </c>
      <c r="F53">
        <f>VLOOKUP(E53,Clubes!B$2:D$438,2)</f>
        <v/>
      </c>
      <c r="G53">
        <f>VLOOKUP(E53,Clubes!B$2:D$438,3)</f>
        <v/>
      </c>
      <c r="H53" s="2" t="n">
        <v>34</v>
      </c>
      <c r="J53">
        <f>I53/H53</f>
        <v/>
      </c>
      <c r="K53">
        <f>H53*90</f>
        <v/>
      </c>
      <c r="M53">
        <f>L53/K53</f>
        <v/>
      </c>
    </row>
    <row r="54">
      <c r="A54" s="1" t="n">
        <v>53</v>
      </c>
      <c r="B54" s="2" t="inlineStr">
        <is>
          <t>Saudi Arabia</t>
        </is>
      </c>
      <c r="C54" s="2" t="inlineStr">
        <is>
          <t>Nawaf Al-Aqidi</t>
        </is>
      </c>
      <c r="D54" s="2" t="inlineStr">
        <is>
          <t>Guarda Redes</t>
        </is>
      </c>
      <c r="E54" s="2" t="inlineStr">
        <is>
          <t>Al-Nassr</t>
        </is>
      </c>
      <c r="F54">
        <f>VLOOKUP(E54,Clubes!B$2:D$438,2)</f>
        <v/>
      </c>
      <c r="G54">
        <f>VLOOKUP(E54,Clubes!B$2:D$438,3)</f>
        <v/>
      </c>
      <c r="H54" s="2" t="n">
        <v>34</v>
      </c>
      <c r="J54">
        <f>I54/H54</f>
        <v/>
      </c>
      <c r="K54">
        <f>H54*90</f>
        <v/>
      </c>
      <c r="M54">
        <f>L54/K54</f>
        <v/>
      </c>
    </row>
    <row r="55">
      <c r="A55" s="1" t="n">
        <v>54</v>
      </c>
      <c r="B55" s="2" t="inlineStr">
        <is>
          <t>Saudi Arabia</t>
        </is>
      </c>
      <c r="C55" s="2" t="inlineStr">
        <is>
          <t>Moha Al-Yami</t>
        </is>
      </c>
      <c r="D55" s="2" t="inlineStr">
        <is>
          <t>Guarda Redes</t>
        </is>
      </c>
      <c r="E55" s="2" t="inlineStr">
        <is>
          <t>Al-Hilal</t>
        </is>
      </c>
      <c r="F55">
        <f>VLOOKUP(E55,Clubes!B$2:D$438,2)</f>
        <v/>
      </c>
      <c r="G55">
        <f>VLOOKUP(E55,Clubes!B$2:D$438,3)</f>
        <v/>
      </c>
      <c r="H55" s="2" t="n">
        <v>34</v>
      </c>
      <c r="J55">
        <f>I55/H55</f>
        <v/>
      </c>
      <c r="K55">
        <f>H55*90</f>
        <v/>
      </c>
      <c r="M55">
        <f>L55/K55</f>
        <v/>
      </c>
    </row>
    <row r="56">
      <c r="A56" s="1" t="n">
        <v>55</v>
      </c>
      <c r="B56" s="2" t="inlineStr">
        <is>
          <t>Saudi Arabia</t>
        </is>
      </c>
      <c r="C56" s="2" t="inlineStr">
        <is>
          <t>Moha Al-Owais</t>
        </is>
      </c>
      <c r="D56" s="2" t="inlineStr">
        <is>
          <t>Guarda Redes</t>
        </is>
      </c>
      <c r="E56" s="2" t="inlineStr">
        <is>
          <t>Al-Ula FC</t>
        </is>
      </c>
      <c r="F56">
        <f>VLOOKUP(E56,Clubes!B$2:D$438,2)</f>
        <v/>
      </c>
      <c r="G56">
        <f>VLOOKUP(E56,Clubes!B$2:D$438,3)</f>
        <v/>
      </c>
      <c r="H56" s="2" t="n">
        <v>34</v>
      </c>
      <c r="J56">
        <f>I56/H56</f>
        <v/>
      </c>
      <c r="K56">
        <f>H56*90</f>
        <v/>
      </c>
      <c r="M56">
        <f>L56/K56</f>
        <v/>
      </c>
    </row>
    <row r="57">
      <c r="A57" s="1" t="n">
        <v>56</v>
      </c>
      <c r="B57" s="2" t="inlineStr">
        <is>
          <t>Saudi Arabia</t>
        </is>
      </c>
      <c r="C57" s="2" t="inlineStr">
        <is>
          <t>Ahmed Al-Kassar</t>
        </is>
      </c>
      <c r="D57" s="2" t="inlineStr">
        <is>
          <t>Guarda Redes</t>
        </is>
      </c>
      <c r="E57" s="2" t="inlineStr">
        <is>
          <t>Al-Qadisiyah</t>
        </is>
      </c>
      <c r="F57">
        <f>VLOOKUP(E57,Clubes!B$2:D$438,2)</f>
        <v/>
      </c>
      <c r="G57">
        <f>VLOOKUP(E57,Clubes!B$2:D$438,3)</f>
        <v/>
      </c>
      <c r="H57" s="2" t="n">
        <v>34</v>
      </c>
      <c r="J57">
        <f>I57/H57</f>
        <v/>
      </c>
      <c r="K57">
        <f>H57*90</f>
        <v/>
      </c>
      <c r="M57">
        <f>L57/K57</f>
        <v/>
      </c>
    </row>
    <row r="58">
      <c r="A58" s="1" t="n">
        <v>57</v>
      </c>
      <c r="B58" s="2" t="inlineStr">
        <is>
          <t>Saudi Arabia</t>
        </is>
      </c>
      <c r="C58" s="2" t="inlineStr">
        <is>
          <t>Abdulquddus Atiah</t>
        </is>
      </c>
      <c r="D58" s="2" t="inlineStr">
        <is>
          <t>Guarda Redes</t>
        </is>
      </c>
      <c r="E58" s="2" t="inlineStr">
        <is>
          <t>Al-Taawoun</t>
        </is>
      </c>
      <c r="F58">
        <f>VLOOKUP(E58,Clubes!B$2:D$438,2)</f>
        <v/>
      </c>
      <c r="G58">
        <f>VLOOKUP(E58,Clubes!B$2:D$438,3)</f>
        <v/>
      </c>
      <c r="H58" s="2" t="n">
        <v>34</v>
      </c>
      <c r="J58">
        <f>I58/H58</f>
        <v/>
      </c>
      <c r="K58">
        <f>H58*90</f>
        <v/>
      </c>
      <c r="M58">
        <f>L58/K58</f>
        <v/>
      </c>
    </row>
    <row r="59">
      <c r="A59" s="1" t="n">
        <v>58</v>
      </c>
      <c r="B59" s="2" t="inlineStr">
        <is>
          <t>Saudi Arabia</t>
        </is>
      </c>
      <c r="C59" s="2" t="inlineStr">
        <is>
          <t>Abdulrahman Al-Sanbi</t>
        </is>
      </c>
      <c r="D59" s="2" t="inlineStr">
        <is>
          <t>Guarda Redes</t>
        </is>
      </c>
      <c r="E59" s="2" t="inlineStr">
        <is>
          <t>Al-Ahli Jeddah</t>
        </is>
      </c>
      <c r="F59">
        <f>VLOOKUP(E59,Clubes!B$2:D$438,2)</f>
        <v/>
      </c>
      <c r="G59">
        <f>VLOOKUP(E59,Clubes!B$2:D$438,3)</f>
        <v/>
      </c>
      <c r="H59" s="2" t="n">
        <v>34</v>
      </c>
      <c r="J59">
        <f>I59/H59</f>
        <v/>
      </c>
      <c r="K59">
        <f>H59*90</f>
        <v/>
      </c>
      <c r="M59">
        <f>L59/K59</f>
        <v/>
      </c>
    </row>
    <row r="60">
      <c r="A60" s="1" t="n">
        <v>59</v>
      </c>
      <c r="B60" s="2" t="inlineStr">
        <is>
          <t>Saudi Arabia</t>
        </is>
      </c>
      <c r="C60" s="2" t="inlineStr">
        <is>
          <t>Khalifah Al-Dawsari</t>
        </is>
      </c>
      <c r="D60" s="2" t="inlineStr">
        <is>
          <t>Defesa</t>
        </is>
      </c>
      <c r="E60" s="2" t="inlineStr">
        <is>
          <t>Neom SC</t>
        </is>
      </c>
      <c r="F60">
        <f>VLOOKUP(E60,Clubes!B$2:D$438,2)</f>
        <v/>
      </c>
      <c r="G60">
        <f>VLOOKUP(E60,Clubes!B$2:D$438,3)</f>
        <v/>
      </c>
      <c r="H60" s="2" t="n">
        <v>34</v>
      </c>
      <c r="J60">
        <f>I60/H60</f>
        <v/>
      </c>
      <c r="K60">
        <f>H60*90</f>
        <v/>
      </c>
      <c r="M60">
        <f>L60/K60</f>
        <v/>
      </c>
    </row>
    <row r="61">
      <c r="A61" s="1" t="n">
        <v>60</v>
      </c>
      <c r="B61" s="2" t="inlineStr">
        <is>
          <t>Saudi Arabia</t>
        </is>
      </c>
      <c r="C61" s="2" t="inlineStr">
        <is>
          <t>Ali Majrashi</t>
        </is>
      </c>
      <c r="D61" s="2" t="inlineStr">
        <is>
          <t>Defesa</t>
        </is>
      </c>
      <c r="E61" s="2" t="inlineStr">
        <is>
          <t>Al-Ahli Jeddah</t>
        </is>
      </c>
      <c r="F61">
        <f>VLOOKUP(E61,Clubes!B$2:D$438,2)</f>
        <v/>
      </c>
      <c r="G61">
        <f>VLOOKUP(E61,Clubes!B$2:D$438,3)</f>
        <v/>
      </c>
      <c r="H61" s="2" t="n">
        <v>34</v>
      </c>
      <c r="J61">
        <f>I61/H61</f>
        <v/>
      </c>
      <c r="K61">
        <f>H61*90</f>
        <v/>
      </c>
      <c r="M61">
        <f>L61/K61</f>
        <v/>
      </c>
    </row>
    <row r="62">
      <c r="A62" s="1" t="n">
        <v>61</v>
      </c>
      <c r="B62" s="2" t="inlineStr">
        <is>
          <t>Saudi Arabia</t>
        </is>
      </c>
      <c r="C62" s="2" t="inlineStr">
        <is>
          <t>Muteb Al-Mufarrij</t>
        </is>
      </c>
      <c r="D62" s="2" t="inlineStr">
        <is>
          <t>Defesa</t>
        </is>
      </c>
      <c r="E62" s="2" t="inlineStr">
        <is>
          <t>Al-Taawoun</t>
        </is>
      </c>
      <c r="F62">
        <f>VLOOKUP(E62,Clubes!B$2:D$438,2)</f>
        <v/>
      </c>
      <c r="G62">
        <f>VLOOKUP(E62,Clubes!B$2:D$438,3)</f>
        <v/>
      </c>
      <c r="H62" s="2" t="n">
        <v>34</v>
      </c>
      <c r="J62">
        <f>I62/H62</f>
        <v/>
      </c>
      <c r="K62">
        <f>H62*90</f>
        <v/>
      </c>
      <c r="M62">
        <f>L62/K62</f>
        <v/>
      </c>
    </row>
    <row r="63">
      <c r="A63" s="1" t="n">
        <v>62</v>
      </c>
      <c r="B63" s="2" t="inlineStr">
        <is>
          <t>Saudi Arabia</t>
        </is>
      </c>
      <c r="C63" s="2" t="inlineStr">
        <is>
          <t>Abdulelah Al-Amri</t>
        </is>
      </c>
      <c r="D63" s="2" t="inlineStr">
        <is>
          <t>Defesa</t>
        </is>
      </c>
      <c r="E63" s="2" t="inlineStr">
        <is>
          <t>Al-Nassr</t>
        </is>
      </c>
      <c r="F63">
        <f>VLOOKUP(E63,Clubes!B$2:D$438,2)</f>
        <v/>
      </c>
      <c r="G63">
        <f>VLOOKUP(E63,Clubes!B$2:D$438,3)</f>
        <v/>
      </c>
      <c r="H63" s="2" t="n">
        <v>34</v>
      </c>
      <c r="J63">
        <f>I63/H63</f>
        <v/>
      </c>
      <c r="K63">
        <f>H63*90</f>
        <v/>
      </c>
      <c r="M63">
        <f>L63/K63</f>
        <v/>
      </c>
    </row>
    <row r="64">
      <c r="A64" s="1" t="n">
        <v>63</v>
      </c>
      <c r="B64" s="2" t="inlineStr">
        <is>
          <t>Saudi Arabia</t>
        </is>
      </c>
      <c r="C64" s="2" t="inlineStr">
        <is>
          <t>Hassan Tambakti</t>
        </is>
      </c>
      <c r="D64" s="2" t="inlineStr">
        <is>
          <t>Defesa</t>
        </is>
      </c>
      <c r="E64" s="2" t="inlineStr">
        <is>
          <t>Al-Hilal</t>
        </is>
      </c>
      <c r="F64">
        <f>VLOOKUP(E64,Clubes!B$2:D$438,2)</f>
        <v/>
      </c>
      <c r="G64">
        <f>VLOOKUP(E64,Clubes!B$2:D$438,3)</f>
        <v/>
      </c>
      <c r="H64" s="2" t="n">
        <v>34</v>
      </c>
      <c r="J64">
        <f>I64/H64</f>
        <v/>
      </c>
      <c r="K64">
        <f>H64*90</f>
        <v/>
      </c>
      <c r="M64">
        <f>L64/K64</f>
        <v/>
      </c>
    </row>
    <row r="65">
      <c r="A65" s="1" t="n">
        <v>64</v>
      </c>
      <c r="B65" s="2" t="inlineStr">
        <is>
          <t>Saudi Arabia</t>
        </is>
      </c>
      <c r="C65" s="2" t="inlineStr">
        <is>
          <t>Ali Lajami</t>
        </is>
      </c>
      <c r="D65" s="2" t="inlineStr">
        <is>
          <t>Defesa</t>
        </is>
      </c>
      <c r="E65" s="2" t="inlineStr">
        <is>
          <t>Al-Hilal</t>
        </is>
      </c>
      <c r="F65">
        <f>VLOOKUP(E65,Clubes!B$2:D$438,2)</f>
        <v/>
      </c>
      <c r="G65">
        <f>VLOOKUP(E65,Clubes!B$2:D$438,3)</f>
        <v/>
      </c>
      <c r="H65" s="2" t="n">
        <v>34</v>
      </c>
      <c r="J65">
        <f>I65/H65</f>
        <v/>
      </c>
      <c r="K65">
        <f>H65*90</f>
        <v/>
      </c>
      <c r="M65">
        <f>L65/K65</f>
        <v/>
      </c>
    </row>
    <row r="66">
      <c r="A66" s="1" t="n">
        <v>65</v>
      </c>
      <c r="B66" s="2" t="inlineStr">
        <is>
          <t>Saudi Arabia</t>
        </is>
      </c>
      <c r="C66" s="2" t="inlineStr">
        <is>
          <t>Saud Abdulhamid</t>
        </is>
      </c>
      <c r="D66" s="2" t="inlineStr">
        <is>
          <t>Defesa</t>
        </is>
      </c>
      <c r="E66" s="2" t="inlineStr">
        <is>
          <t>Lens</t>
        </is>
      </c>
      <c r="F66">
        <f>VLOOKUP(E66,Clubes!B$2:D$438,2)</f>
        <v/>
      </c>
      <c r="G66">
        <f>VLOOKUP(E66,Clubes!B$2:D$438,3)</f>
        <v/>
      </c>
      <c r="H66" s="2" t="n">
        <v>34</v>
      </c>
      <c r="J66">
        <f>I66/H66</f>
        <v/>
      </c>
      <c r="K66">
        <f>H66*90</f>
        <v/>
      </c>
      <c r="M66">
        <f>L66/K66</f>
        <v/>
      </c>
    </row>
    <row r="67">
      <c r="A67" s="1" t="n">
        <v>66</v>
      </c>
      <c r="B67" s="2" t="inlineStr">
        <is>
          <t>Saudi Arabia</t>
        </is>
      </c>
      <c r="C67" s="2" t="inlineStr">
        <is>
          <t>Nawaf Boushal</t>
        </is>
      </c>
      <c r="D67" s="2" t="inlineStr">
        <is>
          <t>Defesa</t>
        </is>
      </c>
      <c r="E67" s="2" t="inlineStr">
        <is>
          <t>Al-Nassr</t>
        </is>
      </c>
      <c r="F67">
        <f>VLOOKUP(E67,Clubes!B$2:D$438,2)</f>
        <v/>
      </c>
      <c r="G67">
        <f>VLOOKUP(E67,Clubes!B$2:D$438,3)</f>
        <v/>
      </c>
      <c r="H67" s="2" t="n">
        <v>34</v>
      </c>
      <c r="J67">
        <f>I67/H67</f>
        <v/>
      </c>
      <c r="K67">
        <f>H67*90</f>
        <v/>
      </c>
      <c r="M67">
        <f>L67/K67</f>
        <v/>
      </c>
    </row>
    <row r="68">
      <c r="A68" s="1" t="n">
        <v>67</v>
      </c>
      <c r="B68" s="2" t="inlineStr">
        <is>
          <t>Saudi Arabia</t>
        </is>
      </c>
      <c r="C68" s="2" t="inlineStr">
        <is>
          <t>Hasan Kadesh</t>
        </is>
      </c>
      <c r="D68" s="2" t="inlineStr">
        <is>
          <t>Defesa</t>
        </is>
      </c>
      <c r="E68" s="2" t="inlineStr">
        <is>
          <t>Al-Ittihad Jeddah</t>
        </is>
      </c>
      <c r="F68">
        <f>VLOOKUP(E68,Clubes!B$2:D$438,2)</f>
        <v/>
      </c>
      <c r="G68">
        <f>VLOOKUP(E68,Clubes!B$2:D$438,3)</f>
        <v/>
      </c>
      <c r="H68" s="2" t="n">
        <v>34</v>
      </c>
      <c r="J68">
        <f>I68/H68</f>
        <v/>
      </c>
      <c r="K68">
        <f>H68*90</f>
        <v/>
      </c>
      <c r="M68">
        <f>L68/K68</f>
        <v/>
      </c>
    </row>
    <row r="69">
      <c r="A69" s="1" t="n">
        <v>68</v>
      </c>
      <c r="B69" s="2" t="inlineStr">
        <is>
          <t>Saudi Arabia</t>
        </is>
      </c>
      <c r="C69" s="2" t="inlineStr">
        <is>
          <t>Rayane Hamidou</t>
        </is>
      </c>
      <c r="D69" s="2" t="inlineStr">
        <is>
          <t>Defesa</t>
        </is>
      </c>
      <c r="E69" s="2" t="inlineStr">
        <is>
          <t>Al-Ahli Jeddah</t>
        </is>
      </c>
      <c r="F69">
        <f>VLOOKUP(E69,Clubes!B$2:D$438,2)</f>
        <v/>
      </c>
      <c r="G69">
        <f>VLOOKUP(E69,Clubes!B$2:D$438,3)</f>
        <v/>
      </c>
      <c r="H69" s="2" t="n">
        <v>34</v>
      </c>
      <c r="J69">
        <f>I69/H69</f>
        <v/>
      </c>
      <c r="K69">
        <f>H69*90</f>
        <v/>
      </c>
      <c r="M69">
        <f>L69/K69</f>
        <v/>
      </c>
    </row>
    <row r="70">
      <c r="A70" s="1" t="n">
        <v>69</v>
      </c>
      <c r="B70" s="2" t="inlineStr">
        <is>
          <t>Saudi Arabia</t>
        </is>
      </c>
      <c r="C70" s="2" t="inlineStr">
        <is>
          <t>Moteb Al-Harbi</t>
        </is>
      </c>
      <c r="D70" s="2" t="inlineStr">
        <is>
          <t>Defesa</t>
        </is>
      </c>
      <c r="E70" s="2" t="inlineStr">
        <is>
          <t>Al-Hilal</t>
        </is>
      </c>
      <c r="F70">
        <f>VLOOKUP(E70,Clubes!B$2:D$438,2)</f>
        <v/>
      </c>
      <c r="G70">
        <f>VLOOKUP(E70,Clubes!B$2:D$438,3)</f>
        <v/>
      </c>
      <c r="H70" s="2" t="n">
        <v>34</v>
      </c>
      <c r="J70">
        <f>I70/H70</f>
        <v/>
      </c>
      <c r="K70">
        <f>H70*90</f>
        <v/>
      </c>
      <c r="M70">
        <f>L70/K70</f>
        <v/>
      </c>
    </row>
    <row r="71">
      <c r="A71" s="1" t="n">
        <v>70</v>
      </c>
      <c r="B71" s="2" t="inlineStr">
        <is>
          <t>Saudi Arabia</t>
        </is>
      </c>
      <c r="C71" s="2" t="inlineStr">
        <is>
          <t>Abu Al-Shamat</t>
        </is>
      </c>
      <c r="D71" s="2" t="inlineStr">
        <is>
          <t>Defesa</t>
        </is>
      </c>
      <c r="E71" s="2" t="inlineStr">
        <is>
          <t>Al-Qadisiyah</t>
        </is>
      </c>
      <c r="F71">
        <f>VLOOKUP(E71,Clubes!B$2:D$438,2)</f>
        <v/>
      </c>
      <c r="G71">
        <f>VLOOKUP(E71,Clubes!B$2:D$438,3)</f>
        <v/>
      </c>
      <c r="H71" s="2" t="n">
        <v>34</v>
      </c>
      <c r="J71">
        <f>I71/H71</f>
        <v/>
      </c>
      <c r="K71">
        <f>H71*90</f>
        <v/>
      </c>
      <c r="M71">
        <f>L71/K71</f>
        <v/>
      </c>
    </row>
    <row r="72">
      <c r="A72" s="1" t="n">
        <v>71</v>
      </c>
      <c r="B72" s="2" t="inlineStr">
        <is>
          <t>Saudi Arabia</t>
        </is>
      </c>
      <c r="C72" s="2" t="inlineStr">
        <is>
          <t>Jehad Thakri</t>
        </is>
      </c>
      <c r="D72" s="2" t="inlineStr">
        <is>
          <t>Defesa</t>
        </is>
      </c>
      <c r="E72" s="2" t="inlineStr">
        <is>
          <t>Al-Qadisiyah</t>
        </is>
      </c>
      <c r="F72">
        <f>VLOOKUP(E72,Clubes!B$2:D$438,2)</f>
        <v/>
      </c>
      <c r="G72">
        <f>VLOOKUP(E72,Clubes!B$2:D$438,3)</f>
        <v/>
      </c>
      <c r="H72" s="2" t="n">
        <v>34</v>
      </c>
      <c r="J72">
        <f>I72/H72</f>
        <v/>
      </c>
      <c r="K72">
        <f>H72*90</f>
        <v/>
      </c>
      <c r="M72">
        <f>L72/K72</f>
        <v/>
      </c>
    </row>
    <row r="73">
      <c r="A73" s="1" t="n">
        <v>72</v>
      </c>
      <c r="B73" s="2" t="inlineStr">
        <is>
          <t>Saudi Arabia</t>
        </is>
      </c>
      <c r="C73" s="2" t="inlineStr">
        <is>
          <t>Mohammed Mahzari</t>
        </is>
      </c>
      <c r="D73" s="2" t="inlineStr">
        <is>
          <t>Médio</t>
        </is>
      </c>
      <c r="E73" s="2" t="inlineStr">
        <is>
          <t>Al-Taawoun</t>
        </is>
      </c>
      <c r="F73">
        <f>VLOOKUP(E73,Clubes!B$2:D$438,2)</f>
        <v/>
      </c>
      <c r="G73">
        <f>VLOOKUP(E73,Clubes!B$2:D$438,3)</f>
        <v/>
      </c>
      <c r="H73" s="2" t="n">
        <v>34</v>
      </c>
      <c r="J73">
        <f>I73/H73</f>
        <v/>
      </c>
      <c r="K73">
        <f>H73*90</f>
        <v/>
      </c>
      <c r="M73">
        <f>L73/K73</f>
        <v/>
      </c>
    </row>
    <row r="74">
      <c r="A74" s="1" t="n">
        <v>73</v>
      </c>
      <c r="B74" s="2" t="inlineStr">
        <is>
          <t>Saudi Arabia</t>
        </is>
      </c>
      <c r="C74" s="2" t="inlineStr">
        <is>
          <t>Moha Al-Majhad</t>
        </is>
      </c>
      <c r="D74" s="2" t="inlineStr">
        <is>
          <t>Médio</t>
        </is>
      </c>
      <c r="E74" s="2" t="inlineStr">
        <is>
          <t>Al-Ula FC</t>
        </is>
      </c>
      <c r="F74">
        <f>VLOOKUP(E74,Clubes!B$2:D$438,2)</f>
        <v/>
      </c>
      <c r="G74">
        <f>VLOOKUP(E74,Clubes!B$2:D$438,3)</f>
        <v/>
      </c>
      <c r="H74" s="2" t="n">
        <v>34</v>
      </c>
      <c r="J74">
        <f>I74/H74</f>
        <v/>
      </c>
      <c r="K74">
        <f>H74*90</f>
        <v/>
      </c>
      <c r="M74">
        <f>L74/K74</f>
        <v/>
      </c>
    </row>
    <row r="75">
      <c r="A75" s="1" t="n">
        <v>74</v>
      </c>
      <c r="B75" s="2" t="inlineStr">
        <is>
          <t>Saudi Arabia</t>
        </is>
      </c>
      <c r="C75" s="2" t="inlineStr">
        <is>
          <t>Nasser Al-Dawsari</t>
        </is>
      </c>
      <c r="D75" s="2" t="inlineStr">
        <is>
          <t>Médio</t>
        </is>
      </c>
      <c r="E75" s="2" t="inlineStr">
        <is>
          <t>Al-Hilal</t>
        </is>
      </c>
      <c r="F75">
        <f>VLOOKUP(E75,Clubes!B$2:D$438,2)</f>
        <v/>
      </c>
      <c r="G75">
        <f>VLOOKUP(E75,Clubes!B$2:D$438,3)</f>
        <v/>
      </c>
      <c r="H75" s="2" t="n">
        <v>34</v>
      </c>
      <c r="J75">
        <f>I75/H75</f>
        <v/>
      </c>
      <c r="K75">
        <f>H75*90</f>
        <v/>
      </c>
      <c r="M75">
        <f>L75/K75</f>
        <v/>
      </c>
    </row>
    <row r="76">
      <c r="A76" s="1" t="n">
        <v>75</v>
      </c>
      <c r="B76" s="2" t="inlineStr">
        <is>
          <t>Saudi Arabia</t>
        </is>
      </c>
      <c r="C76" s="2" t="inlineStr">
        <is>
          <t>Murad Al-Hawsawi</t>
        </is>
      </c>
      <c r="D76" s="2" t="inlineStr">
        <is>
          <t>Médio</t>
        </is>
      </c>
      <c r="E76" s="2" t="inlineStr">
        <is>
          <t>Al-Hilal</t>
        </is>
      </c>
      <c r="F76">
        <f>VLOOKUP(E76,Clubes!B$2:D$438,2)</f>
        <v/>
      </c>
      <c r="G76">
        <f>VLOOKUP(E76,Clubes!B$2:D$438,3)</f>
        <v/>
      </c>
      <c r="H76" s="2" t="n">
        <v>34</v>
      </c>
      <c r="J76">
        <f>I76/H76</f>
        <v/>
      </c>
      <c r="K76">
        <f>H76*90</f>
        <v/>
      </c>
      <c r="M76">
        <f>L76/K76</f>
        <v/>
      </c>
    </row>
    <row r="77">
      <c r="A77" s="1" t="n">
        <v>76</v>
      </c>
      <c r="B77" s="2" t="inlineStr">
        <is>
          <t>Saudi Arabia</t>
        </is>
      </c>
      <c r="C77" s="2" t="inlineStr">
        <is>
          <t>Salman Al-Faraj</t>
        </is>
      </c>
      <c r="D77" s="2" t="inlineStr">
        <is>
          <t>Médio</t>
        </is>
      </c>
      <c r="E77" s="2" t="inlineStr">
        <is>
          <t>Neom SC</t>
        </is>
      </c>
      <c r="F77">
        <f>VLOOKUP(E77,Clubes!B$2:D$438,2)</f>
        <v/>
      </c>
      <c r="G77">
        <f>VLOOKUP(E77,Clubes!B$2:D$438,3)</f>
        <v/>
      </c>
      <c r="H77" s="2" t="n">
        <v>34</v>
      </c>
      <c r="J77">
        <f>I77/H77</f>
        <v/>
      </c>
      <c r="K77">
        <f>H77*90</f>
        <v/>
      </c>
      <c r="M77">
        <f>L77/K77</f>
        <v/>
      </c>
    </row>
    <row r="78">
      <c r="A78" s="1" t="n">
        <v>77</v>
      </c>
      <c r="B78" s="2" t="inlineStr">
        <is>
          <t>Saudi Arabia</t>
        </is>
      </c>
      <c r="C78" s="2" t="inlineStr">
        <is>
          <t>Musab Al-Juwayr</t>
        </is>
      </c>
      <c r="D78" s="2" t="inlineStr">
        <is>
          <t>Médio</t>
        </is>
      </c>
      <c r="E78" s="2" t="inlineStr">
        <is>
          <t>Al-Qadisiyah</t>
        </is>
      </c>
      <c r="F78">
        <f>VLOOKUP(E78,Clubes!B$2:D$438,2)</f>
        <v/>
      </c>
      <c r="G78">
        <f>VLOOKUP(E78,Clubes!B$2:D$438,3)</f>
        <v/>
      </c>
      <c r="H78" s="2" t="n">
        <v>34</v>
      </c>
      <c r="J78">
        <f>I78/H78</f>
        <v/>
      </c>
      <c r="K78">
        <f>H78*90</f>
        <v/>
      </c>
      <c r="M78">
        <f>L78/K78</f>
        <v/>
      </c>
    </row>
    <row r="79">
      <c r="A79" s="1" t="n">
        <v>78</v>
      </c>
      <c r="B79" s="2" t="inlineStr">
        <is>
          <t>Saudi Arabia</t>
        </is>
      </c>
      <c r="C79" s="2" t="inlineStr">
        <is>
          <t>Abdul Al-Khaibari</t>
        </is>
      </c>
      <c r="D79" s="2" t="inlineStr">
        <is>
          <t>Médio</t>
        </is>
      </c>
      <c r="E79" s="2" t="inlineStr">
        <is>
          <t>Al-Nassr</t>
        </is>
      </c>
      <c r="F79">
        <f>VLOOKUP(E79,Clubes!B$2:D$438,2)</f>
        <v/>
      </c>
      <c r="G79">
        <f>VLOOKUP(E79,Clubes!B$2:D$438,3)</f>
        <v/>
      </c>
      <c r="H79" s="2" t="n">
        <v>34</v>
      </c>
      <c r="J79">
        <f>I79/H79</f>
        <v/>
      </c>
      <c r="K79">
        <f>H79*90</f>
        <v/>
      </c>
      <c r="M79">
        <f>L79/K79</f>
        <v/>
      </c>
    </row>
    <row r="80">
      <c r="A80" s="1" t="n">
        <v>79</v>
      </c>
      <c r="B80" s="2" t="inlineStr">
        <is>
          <t>Saudi Arabia</t>
        </is>
      </c>
      <c r="C80" s="2" t="inlineStr">
        <is>
          <t>Ziyad Al-Johani</t>
        </is>
      </c>
      <c r="D80" s="2" t="inlineStr">
        <is>
          <t>Médio</t>
        </is>
      </c>
      <c r="E80" s="2" t="inlineStr">
        <is>
          <t>Al-Ahli Jeddah</t>
        </is>
      </c>
      <c r="F80">
        <f>VLOOKUP(E80,Clubes!B$2:D$438,2)</f>
        <v/>
      </c>
      <c r="G80">
        <f>VLOOKUP(E80,Clubes!B$2:D$438,3)</f>
        <v/>
      </c>
      <c r="H80" s="2" t="n">
        <v>34</v>
      </c>
      <c r="J80">
        <f>I80/H80</f>
        <v/>
      </c>
      <c r="K80">
        <f>H80*90</f>
        <v/>
      </c>
      <c r="M80">
        <f>L80/K80</f>
        <v/>
      </c>
    </row>
    <row r="81">
      <c r="A81" s="1" t="n">
        <v>80</v>
      </c>
      <c r="B81" s="2" t="inlineStr">
        <is>
          <t>Saudi Arabia</t>
        </is>
      </c>
      <c r="C81" s="2" t="inlineStr">
        <is>
          <t>Sultan Mandash</t>
        </is>
      </c>
      <c r="D81" s="2" t="inlineStr">
        <is>
          <t>Médio</t>
        </is>
      </c>
      <c r="E81" s="2" t="inlineStr">
        <is>
          <t>Al-Hilal</t>
        </is>
      </c>
      <c r="F81">
        <f>VLOOKUP(E81,Clubes!B$2:D$438,2)</f>
        <v/>
      </c>
      <c r="G81">
        <f>VLOOKUP(E81,Clubes!B$2:D$438,3)</f>
        <v/>
      </c>
      <c r="H81" s="2" t="n">
        <v>34</v>
      </c>
      <c r="J81">
        <f>I81/H81</f>
        <v/>
      </c>
      <c r="K81">
        <f>H81*90</f>
        <v/>
      </c>
      <c r="M81">
        <f>L81/K81</f>
        <v/>
      </c>
    </row>
    <row r="82">
      <c r="A82" s="1" t="n">
        <v>81</v>
      </c>
      <c r="B82" s="2" t="inlineStr">
        <is>
          <t>Saudi Arabia</t>
        </is>
      </c>
      <c r="C82" s="2" t="inlineStr">
        <is>
          <t>Mohamed Kanno</t>
        </is>
      </c>
      <c r="D82" s="2" t="inlineStr">
        <is>
          <t>Médio</t>
        </is>
      </c>
      <c r="E82" s="2" t="inlineStr">
        <is>
          <t>Al-Hilal</t>
        </is>
      </c>
      <c r="F82">
        <f>VLOOKUP(E82,Clubes!B$2:D$438,2)</f>
        <v/>
      </c>
      <c r="G82">
        <f>VLOOKUP(E82,Clubes!B$2:D$438,3)</f>
        <v/>
      </c>
      <c r="H82" s="2" t="n">
        <v>34</v>
      </c>
      <c r="J82">
        <f>I82/H82</f>
        <v/>
      </c>
      <c r="K82">
        <f>H82*90</f>
        <v/>
      </c>
      <c r="M82">
        <f>L82/K82</f>
        <v/>
      </c>
    </row>
    <row r="83">
      <c r="A83" s="1" t="n">
        <v>82</v>
      </c>
      <c r="B83" s="2" t="inlineStr">
        <is>
          <t>Saudi Arabia</t>
        </is>
      </c>
      <c r="C83" s="2" t="inlineStr">
        <is>
          <t>Alaa Hejji</t>
        </is>
      </c>
      <c r="D83" s="2" t="inlineStr">
        <is>
          <t>Médio</t>
        </is>
      </c>
      <c r="E83" s="2" t="inlineStr">
        <is>
          <t>Neom SC</t>
        </is>
      </c>
      <c r="F83">
        <f>VLOOKUP(E83,Clubes!B$2:D$438,2)</f>
        <v/>
      </c>
      <c r="G83">
        <f>VLOOKUP(E83,Clubes!B$2:D$438,3)</f>
        <v/>
      </c>
      <c r="H83" s="2" t="n">
        <v>34</v>
      </c>
      <c r="J83">
        <f>I83/H83</f>
        <v/>
      </c>
      <c r="K83">
        <f>H83*90</f>
        <v/>
      </c>
      <c r="M83">
        <f>L83/K83</f>
        <v/>
      </c>
    </row>
    <row r="84">
      <c r="A84" s="1" t="n">
        <v>83</v>
      </c>
      <c r="B84" s="2" t="inlineStr">
        <is>
          <t>Saudi Arabia</t>
        </is>
      </c>
      <c r="C84" s="2" t="inlineStr">
        <is>
          <t>Abdulaziz Al Elewai</t>
        </is>
      </c>
      <c r="D84" s="2" t="inlineStr">
        <is>
          <t>Avançado</t>
        </is>
      </c>
      <c r="E84" s="2" t="inlineStr">
        <is>
          <t>Al-Kholood</t>
        </is>
      </c>
      <c r="F84">
        <f>VLOOKUP(E84,Clubes!B$2:D$438,2)</f>
        <v/>
      </c>
      <c r="G84">
        <f>VLOOKUP(E84,Clubes!B$2:D$438,3)</f>
        <v/>
      </c>
      <c r="H84" s="2" t="n">
        <v>34</v>
      </c>
      <c r="J84">
        <f>I84/H84</f>
        <v/>
      </c>
      <c r="K84">
        <f>H84*90</f>
        <v/>
      </c>
      <c r="M84">
        <f>L84/K84</f>
        <v/>
      </c>
    </row>
    <row r="85">
      <c r="A85" s="1" t="n">
        <v>84</v>
      </c>
      <c r="B85" s="2" t="inlineStr">
        <is>
          <t>Saudi Arabia</t>
        </is>
      </c>
      <c r="C85" s="2" t="inlineStr">
        <is>
          <t>Marwan Al Sahafi</t>
        </is>
      </c>
      <c r="D85" s="2" t="inlineStr">
        <is>
          <t>Avançado</t>
        </is>
      </c>
      <c r="E85" s="2" t="inlineStr">
        <is>
          <t>Royal Antwerp</t>
        </is>
      </c>
      <c r="F85">
        <f>VLOOKUP(E85,Clubes!B$2:D$438,2)</f>
        <v/>
      </c>
      <c r="G85">
        <f>VLOOKUP(E85,Clubes!B$2:D$438,3)</f>
        <v/>
      </c>
      <c r="H85" s="2" t="n">
        <v>40</v>
      </c>
      <c r="J85">
        <f>I85/H85</f>
        <v/>
      </c>
      <c r="K85">
        <f>H85*90</f>
        <v/>
      </c>
      <c r="M85">
        <f>L85/K85</f>
        <v/>
      </c>
    </row>
    <row r="86">
      <c r="A86" s="1" t="n">
        <v>85</v>
      </c>
      <c r="B86" s="2" t="inlineStr">
        <is>
          <t>Saudi Arabia</t>
        </is>
      </c>
      <c r="C86" s="2" t="inlineStr">
        <is>
          <t>Feras Al-Buraikan</t>
        </is>
      </c>
      <c r="D86" s="2" t="inlineStr">
        <is>
          <t>Avançado</t>
        </is>
      </c>
      <c r="E86" s="2" t="inlineStr">
        <is>
          <t>Al-Ahli Jeddah</t>
        </is>
      </c>
      <c r="F86">
        <f>VLOOKUP(E86,Clubes!B$2:D$438,2)</f>
        <v/>
      </c>
      <c r="G86">
        <f>VLOOKUP(E86,Clubes!B$2:D$438,3)</f>
        <v/>
      </c>
      <c r="H86" s="2" t="n">
        <v>34</v>
      </c>
      <c r="J86">
        <f>I86/H86</f>
        <v/>
      </c>
      <c r="K86">
        <f>H86*90</f>
        <v/>
      </c>
      <c r="M86">
        <f>L86/K86</f>
        <v/>
      </c>
    </row>
    <row r="87">
      <c r="A87" s="1" t="n">
        <v>86</v>
      </c>
      <c r="B87" s="2" t="inlineStr">
        <is>
          <t>Saudi Arabia</t>
        </is>
      </c>
      <c r="C87" s="2" t="inlineStr">
        <is>
          <t>Salem Al-Dawsari</t>
        </is>
      </c>
      <c r="D87" s="2" t="inlineStr">
        <is>
          <t>Avançado</t>
        </is>
      </c>
      <c r="E87" s="2" t="inlineStr">
        <is>
          <t>Al-Hilal</t>
        </is>
      </c>
      <c r="F87">
        <f>VLOOKUP(E87,Clubes!B$2:D$438,2)</f>
        <v/>
      </c>
      <c r="G87">
        <f>VLOOKUP(E87,Clubes!B$2:D$438,3)</f>
        <v/>
      </c>
      <c r="H87" s="2" t="n">
        <v>34</v>
      </c>
      <c r="J87">
        <f>I87/H87</f>
        <v/>
      </c>
      <c r="K87">
        <f>H87*90</f>
        <v/>
      </c>
      <c r="M87">
        <f>L87/K87</f>
        <v/>
      </c>
    </row>
    <row r="88">
      <c r="A88" s="1" t="n">
        <v>87</v>
      </c>
      <c r="B88" s="2" t="inlineStr">
        <is>
          <t>Saudi Arabia</t>
        </is>
      </c>
      <c r="C88" s="2" t="inlineStr">
        <is>
          <t>Saleh Al-Shehri</t>
        </is>
      </c>
      <c r="D88" s="2" t="inlineStr">
        <is>
          <t>Avançado</t>
        </is>
      </c>
      <c r="E88" s="2" t="inlineStr">
        <is>
          <t>Al-Ittihad Jeddah</t>
        </is>
      </c>
      <c r="F88">
        <f>VLOOKUP(E88,Clubes!B$2:D$438,2)</f>
        <v/>
      </c>
      <c r="G88">
        <f>VLOOKUP(E88,Clubes!B$2:D$438,3)</f>
        <v/>
      </c>
      <c r="H88" s="2" t="n">
        <v>34</v>
      </c>
      <c r="J88">
        <f>I88/H88</f>
        <v/>
      </c>
      <c r="K88">
        <f>H88*90</f>
        <v/>
      </c>
      <c r="M88">
        <f>L88/K88</f>
        <v/>
      </c>
    </row>
    <row r="89">
      <c r="A89" s="1" t="n">
        <v>88</v>
      </c>
      <c r="B89" s="2" t="inlineStr">
        <is>
          <t>Saudi Arabia</t>
        </is>
      </c>
      <c r="C89" s="2" t="inlineStr">
        <is>
          <t>Saleh Abu Al-Shamat</t>
        </is>
      </c>
      <c r="D89" s="2" t="inlineStr">
        <is>
          <t>Avançado</t>
        </is>
      </c>
      <c r="E89" s="2" t="inlineStr">
        <is>
          <t>Al-Ahli Jeddah</t>
        </is>
      </c>
      <c r="F89">
        <f>VLOOKUP(E89,Clubes!B$2:D$438,2)</f>
        <v/>
      </c>
      <c r="G89">
        <f>VLOOKUP(E89,Clubes!B$2:D$438,3)</f>
        <v/>
      </c>
      <c r="H89" s="2" t="n">
        <v>34</v>
      </c>
      <c r="J89">
        <f>I89/H89</f>
        <v/>
      </c>
      <c r="K89">
        <f>H89*90</f>
        <v/>
      </c>
      <c r="M89">
        <f>L89/K89</f>
        <v/>
      </c>
    </row>
    <row r="90">
      <c r="A90" s="1" t="n">
        <v>89</v>
      </c>
      <c r="B90" s="2" t="inlineStr">
        <is>
          <t>Saudi Arabia</t>
        </is>
      </c>
      <c r="C90" s="2" t="inlineStr">
        <is>
          <t>Ayman Yahya</t>
        </is>
      </c>
      <c r="D90" s="2" t="inlineStr">
        <is>
          <t>Avançado</t>
        </is>
      </c>
      <c r="E90" s="2" t="inlineStr">
        <is>
          <t>Al-Nassr</t>
        </is>
      </c>
      <c r="F90">
        <f>VLOOKUP(E90,Clubes!B$2:D$438,2)</f>
        <v/>
      </c>
      <c r="G90">
        <f>VLOOKUP(E90,Clubes!B$2:D$438,3)</f>
        <v/>
      </c>
      <c r="H90" s="2" t="n">
        <v>34</v>
      </c>
      <c r="J90">
        <f>I90/H90</f>
        <v/>
      </c>
      <c r="K90">
        <f>H90*90</f>
        <v/>
      </c>
      <c r="M90">
        <f>L90/K90</f>
        <v/>
      </c>
    </row>
    <row r="91">
      <c r="A91" s="1" t="n">
        <v>90</v>
      </c>
      <c r="B91" s="2" t="inlineStr">
        <is>
          <t>Saudi Arabia</t>
        </is>
      </c>
      <c r="C91" s="2" t="inlineStr">
        <is>
          <t>Abdullah Al-Hamdan</t>
        </is>
      </c>
      <c r="D91" s="2" t="inlineStr">
        <is>
          <t>Avançado</t>
        </is>
      </c>
      <c r="E91" s="2" t="inlineStr">
        <is>
          <t>Al-Nassr</t>
        </is>
      </c>
      <c r="F91">
        <f>VLOOKUP(E91,Clubes!B$2:D$438,2)</f>
        <v/>
      </c>
      <c r="G91">
        <f>VLOOKUP(E91,Clubes!B$2:D$438,3)</f>
        <v/>
      </c>
      <c r="H91" s="2" t="n">
        <v>34</v>
      </c>
      <c r="J91">
        <f>I91/H91</f>
        <v/>
      </c>
      <c r="K91">
        <f>H91*90</f>
        <v/>
      </c>
      <c r="M91">
        <f>L91/K91</f>
        <v/>
      </c>
    </row>
    <row r="92">
      <c r="A92" s="1" t="n">
        <v>91</v>
      </c>
      <c r="B92" s="2" t="inlineStr">
        <is>
          <t>Saudi Arabia</t>
        </is>
      </c>
      <c r="C92" s="2" t="inlineStr">
        <is>
          <t>Khalid Al-Ghannam</t>
        </is>
      </c>
      <c r="D92" s="2" t="inlineStr">
        <is>
          <t>Avançado</t>
        </is>
      </c>
      <c r="E92" s="2" t="inlineStr">
        <is>
          <t>Al-Ettifaq</t>
        </is>
      </c>
      <c r="F92">
        <f>VLOOKUP(E92,Clubes!B$2:D$438,2)</f>
        <v/>
      </c>
      <c r="G92">
        <f>VLOOKUP(E92,Clubes!B$2:D$438,3)</f>
        <v/>
      </c>
      <c r="H92" s="2" t="n">
        <v>34</v>
      </c>
      <c r="J92">
        <f>I92/H92</f>
        <v/>
      </c>
      <c r="K92">
        <f>H92*90</f>
        <v/>
      </c>
      <c r="M92">
        <f>L92/K92</f>
        <v/>
      </c>
    </row>
    <row r="93">
      <c r="A93" s="1" t="n">
        <v>92</v>
      </c>
      <c r="B93" s="2" t="inlineStr">
        <is>
          <t>Saudi Arabia</t>
        </is>
      </c>
      <c r="C93" s="2" t="inlineStr">
        <is>
          <t>Naif Masoud</t>
        </is>
      </c>
      <c r="D93" s="2" t="inlineStr">
        <is>
          <t>Avançado</t>
        </is>
      </c>
      <c r="E93" s="2" t="inlineStr">
        <is>
          <t>Al-Fateh</t>
        </is>
      </c>
      <c r="F93">
        <f>VLOOKUP(E93,Clubes!B$2:D$438,2)</f>
        <v/>
      </c>
      <c r="G93">
        <f>VLOOKUP(E93,Clubes!B$2:D$438,3)</f>
        <v/>
      </c>
      <c r="H93" s="2" t="n">
        <v>34</v>
      </c>
      <c r="J93">
        <f>I93/H93</f>
        <v/>
      </c>
      <c r="K93">
        <f>H93*90</f>
        <v/>
      </c>
      <c r="M93">
        <f>L93/K93</f>
        <v/>
      </c>
    </row>
    <row r="94">
      <c r="A94" s="1" t="n">
        <v>93</v>
      </c>
      <c r="B94" s="2" t="inlineStr">
        <is>
          <t>Saudi Arabia</t>
        </is>
      </c>
      <c r="C94" s="2" t="inlineStr">
        <is>
          <t>Turki Al-Ammar</t>
        </is>
      </c>
      <c r="D94" s="2" t="inlineStr">
        <is>
          <t>Avançado</t>
        </is>
      </c>
      <c r="E94" s="2" t="inlineStr">
        <is>
          <t>Al-Qadisiyah</t>
        </is>
      </c>
      <c r="F94">
        <f>VLOOKUP(E94,Clubes!B$2:D$438,2)</f>
        <v/>
      </c>
      <c r="G94">
        <f>VLOOKUP(E94,Clubes!B$2:D$438,3)</f>
        <v/>
      </c>
      <c r="H94" s="2" t="n">
        <v>34</v>
      </c>
      <c r="J94">
        <f>I94/H94</f>
        <v/>
      </c>
      <c r="K94">
        <f>H94*90</f>
        <v/>
      </c>
      <c r="M94">
        <f>L94/K94</f>
        <v/>
      </c>
    </row>
    <row r="95">
      <c r="A95" s="1" t="n">
        <v>94</v>
      </c>
      <c r="B95" s="2" t="inlineStr">
        <is>
          <t>Algeria</t>
        </is>
      </c>
      <c r="C95" s="2" t="inlineStr">
        <is>
          <t>Oussama Benbout</t>
        </is>
      </c>
      <c r="D95" s="2" t="inlineStr">
        <is>
          <t>Guarda Redes</t>
        </is>
      </c>
      <c r="E95" s="2" t="inlineStr">
        <is>
          <t>USM Alger</t>
        </is>
      </c>
      <c r="F95">
        <f>VLOOKUP(E95,Clubes!B$2:D$438,2)</f>
        <v/>
      </c>
      <c r="G95">
        <f>VLOOKUP(E95,Clubes!B$2:D$438,3)</f>
        <v/>
      </c>
      <c r="H95" s="2" t="n">
        <v>40</v>
      </c>
      <c r="J95">
        <f>I95/H95</f>
        <v/>
      </c>
      <c r="K95">
        <f>H95*90</f>
        <v/>
      </c>
      <c r="M95">
        <f>L95/K95</f>
        <v/>
      </c>
    </row>
    <row r="96">
      <c r="A96" s="1" t="n">
        <v>95</v>
      </c>
      <c r="B96" s="2" t="inlineStr">
        <is>
          <t>Algeria</t>
        </is>
      </c>
      <c r="C96" s="2" t="inlineStr">
        <is>
          <t>Anthony Mandréa</t>
        </is>
      </c>
      <c r="D96" s="2" t="inlineStr">
        <is>
          <t>Guarda Redes</t>
        </is>
      </c>
      <c r="E96" s="2" t="inlineStr">
        <is>
          <t>Caen</t>
        </is>
      </c>
      <c r="F96">
        <f>VLOOKUP(E96,Clubes!B$2:D$438,2)</f>
        <v/>
      </c>
      <c r="G96">
        <f>VLOOKUP(E96,Clubes!B$2:D$438,3)</f>
        <v/>
      </c>
      <c r="H96" s="2" t="n">
        <v>34</v>
      </c>
      <c r="J96">
        <f>I96/H96</f>
        <v/>
      </c>
      <c r="K96">
        <f>H96*90</f>
        <v/>
      </c>
      <c r="M96">
        <f>L96/K96</f>
        <v/>
      </c>
    </row>
    <row r="97">
      <c r="A97" s="1" t="n">
        <v>96</v>
      </c>
      <c r="B97" s="2" t="inlineStr">
        <is>
          <t>Algeria</t>
        </is>
      </c>
      <c r="C97" s="2" t="inlineStr">
        <is>
          <t>Kilian Belazzoug</t>
        </is>
      </c>
      <c r="D97" s="2" t="inlineStr">
        <is>
          <t>Guarda Redes</t>
        </is>
      </c>
      <c r="E97" s="2" t="inlineStr">
        <is>
          <t>Rennes</t>
        </is>
      </c>
      <c r="F97">
        <f>VLOOKUP(E97,Clubes!B$2:D$438,2)</f>
        <v/>
      </c>
      <c r="G97">
        <f>VLOOKUP(E97,Clubes!B$2:D$438,3)</f>
        <v/>
      </c>
      <c r="H97" s="2" t="n">
        <v>34</v>
      </c>
      <c r="J97">
        <f>I97/H97</f>
        <v/>
      </c>
      <c r="K97">
        <f>H97*90</f>
        <v/>
      </c>
      <c r="M97">
        <f>L97/K97</f>
        <v/>
      </c>
    </row>
    <row r="98">
      <c r="A98" s="1" t="n">
        <v>97</v>
      </c>
      <c r="B98" s="2" t="inlineStr">
        <is>
          <t>Algeria</t>
        </is>
      </c>
      <c r="C98" s="2" t="inlineStr">
        <is>
          <t>Melvin Mastil</t>
        </is>
      </c>
      <c r="D98" s="2" t="inlineStr">
        <is>
          <t>Guarda Redes</t>
        </is>
      </c>
      <c r="E98" s="2" t="inlineStr">
        <is>
          <t>Stade Nyonnais</t>
        </is>
      </c>
      <c r="F98">
        <f>VLOOKUP(E98,Clubes!B$2:D$438,2)</f>
        <v/>
      </c>
      <c r="G98">
        <f>VLOOKUP(E98,Clubes!B$2:D$438,3)</f>
        <v/>
      </c>
      <c r="H98" s="2" t="n">
        <v>36</v>
      </c>
      <c r="J98">
        <f>I98/H98</f>
        <v/>
      </c>
      <c r="K98">
        <f>H98*90</f>
        <v/>
      </c>
      <c r="M98">
        <f>L98/K98</f>
        <v/>
      </c>
    </row>
    <row r="99">
      <c r="A99" s="1" t="n">
        <v>98</v>
      </c>
      <c r="B99" s="2" t="inlineStr">
        <is>
          <t>Algeria</t>
        </is>
      </c>
      <c r="C99" s="2" t="inlineStr">
        <is>
          <t>Luca Zidane</t>
        </is>
      </c>
      <c r="D99" s="2" t="inlineStr">
        <is>
          <t>Guarda Redes</t>
        </is>
      </c>
      <c r="E99" s="2" t="inlineStr">
        <is>
          <t>Granada</t>
        </is>
      </c>
      <c r="F99">
        <f>VLOOKUP(E99,Clubes!B$2:D$438,2)</f>
        <v/>
      </c>
      <c r="G99">
        <f>VLOOKUP(E99,Clubes!B$2:D$438,3)</f>
        <v/>
      </c>
      <c r="H99" s="2" t="n">
        <v>42</v>
      </c>
      <c r="J99">
        <f>I99/H99</f>
        <v/>
      </c>
      <c r="K99">
        <f>H99*90</f>
        <v/>
      </c>
      <c r="M99">
        <f>L99/K99</f>
        <v/>
      </c>
    </row>
    <row r="100">
      <c r="A100" s="1" t="n">
        <v>99</v>
      </c>
      <c r="B100" s="2" t="inlineStr">
        <is>
          <t>Algeria</t>
        </is>
      </c>
      <c r="C100" s="2" t="inlineStr">
        <is>
          <t>Amine Tougai</t>
        </is>
      </c>
      <c r="D100" s="2" t="inlineStr">
        <is>
          <t>Defesa</t>
        </is>
      </c>
      <c r="E100" s="2" t="inlineStr">
        <is>
          <t>Espérance de Tunis</t>
        </is>
      </c>
      <c r="F100">
        <f>VLOOKUP(E100,Clubes!B$2:D$438,2)</f>
        <v/>
      </c>
      <c r="G100">
        <f>VLOOKUP(E100,Clubes!B$2:D$438,3)</f>
        <v/>
      </c>
      <c r="H100" s="2" t="n">
        <v>30</v>
      </c>
      <c r="J100">
        <f>I100/H100</f>
        <v/>
      </c>
      <c r="K100">
        <f>H100*90</f>
        <v/>
      </c>
      <c r="M100">
        <f>L100/K100</f>
        <v/>
      </c>
    </row>
    <row r="101">
      <c r="A101" s="1" t="n">
        <v>100</v>
      </c>
      <c r="B101" s="2" t="inlineStr">
        <is>
          <t>Algeria</t>
        </is>
      </c>
      <c r="C101" s="2" t="inlineStr">
        <is>
          <t>Jaouen Hadjam</t>
        </is>
      </c>
      <c r="D101" s="2" t="inlineStr">
        <is>
          <t>Defesa</t>
        </is>
      </c>
      <c r="E101" s="2" t="inlineStr">
        <is>
          <t>Young Boys</t>
        </is>
      </c>
      <c r="F101">
        <f>VLOOKUP(E101,Clubes!B$2:D$438,2)</f>
        <v/>
      </c>
      <c r="G101">
        <f>VLOOKUP(E101,Clubes!B$2:D$438,3)</f>
        <v/>
      </c>
      <c r="H101" s="2" t="n">
        <v>38</v>
      </c>
      <c r="J101">
        <f>I101/H101</f>
        <v/>
      </c>
      <c r="K101">
        <f>H101*90</f>
        <v/>
      </c>
      <c r="M101">
        <f>L101/K101</f>
        <v/>
      </c>
    </row>
    <row r="102">
      <c r="A102" s="1" t="n">
        <v>101</v>
      </c>
      <c r="B102" s="2" t="inlineStr">
        <is>
          <t>Algeria</t>
        </is>
      </c>
      <c r="C102" s="2" t="inlineStr">
        <is>
          <t>Samir Chergui</t>
        </is>
      </c>
      <c r="D102" s="2" t="inlineStr">
        <is>
          <t>Defesa</t>
        </is>
      </c>
      <c r="E102" s="2" t="inlineStr">
        <is>
          <t>Paris FC</t>
        </is>
      </c>
      <c r="F102">
        <f>VLOOKUP(E102,Clubes!B$2:D$438,2)</f>
        <v/>
      </c>
      <c r="G102">
        <f>VLOOKUP(E102,Clubes!B$2:D$438,3)</f>
        <v/>
      </c>
      <c r="H102" s="2" t="n">
        <v>34</v>
      </c>
      <c r="J102">
        <f>I102/H102</f>
        <v/>
      </c>
      <c r="K102">
        <f>H102*90</f>
        <v/>
      </c>
      <c r="M102">
        <f>L102/K102</f>
        <v/>
      </c>
    </row>
    <row r="103">
      <c r="A103" s="1" t="n">
        <v>102</v>
      </c>
      <c r="B103" s="2" t="inlineStr">
        <is>
          <t>Algeria</t>
        </is>
      </c>
      <c r="C103" s="2" t="inlineStr">
        <is>
          <t>Mehdi Dorval</t>
        </is>
      </c>
      <c r="D103" s="2" t="inlineStr">
        <is>
          <t>Defesa</t>
        </is>
      </c>
      <c r="E103" s="2" t="inlineStr">
        <is>
          <t>Bari</t>
        </is>
      </c>
      <c r="F103">
        <f>VLOOKUP(E103,Clubes!B$2:D$438,2)</f>
        <v/>
      </c>
      <c r="G103">
        <f>VLOOKUP(E103,Clubes!B$2:D$438,3)</f>
        <v/>
      </c>
      <c r="H103" s="2" t="n">
        <v>38</v>
      </c>
      <c r="J103">
        <f>I103/H103</f>
        <v/>
      </c>
      <c r="K103">
        <f>H103*90</f>
        <v/>
      </c>
      <c r="M103">
        <f>L103/K103</f>
        <v/>
      </c>
    </row>
    <row r="104">
      <c r="A104" s="1" t="n">
        <v>103</v>
      </c>
      <c r="B104" s="2" t="inlineStr">
        <is>
          <t>Algeria</t>
        </is>
      </c>
      <c r="C104" s="2" t="inlineStr">
        <is>
          <t>Sohaib Nair</t>
        </is>
      </c>
      <c r="D104" s="2" t="inlineStr">
        <is>
          <t>Defesa</t>
        </is>
      </c>
      <c r="E104" s="2" t="inlineStr">
        <is>
          <t>Guingamp</t>
        </is>
      </c>
      <c r="F104">
        <f>VLOOKUP(E104,Clubes!B$2:D$438,2)</f>
        <v/>
      </c>
      <c r="G104">
        <f>VLOOKUP(E104,Clubes!B$2:D$438,3)</f>
        <v/>
      </c>
      <c r="H104" s="2" t="n">
        <v>34</v>
      </c>
      <c r="J104">
        <f>I104/H104</f>
        <v/>
      </c>
      <c r="K104">
        <f>H104*90</f>
        <v/>
      </c>
      <c r="M104">
        <f>L104/K104</f>
        <v/>
      </c>
    </row>
    <row r="105">
      <c r="A105" s="1" t="n">
        <v>104</v>
      </c>
      <c r="B105" s="2" t="inlineStr">
        <is>
          <t>Algeria</t>
        </is>
      </c>
      <c r="C105" s="2" t="inlineStr">
        <is>
          <t>Aïssa Mandi</t>
        </is>
      </c>
      <c r="D105" s="2" t="inlineStr">
        <is>
          <t>Defesa</t>
        </is>
      </c>
      <c r="E105" s="2" t="inlineStr">
        <is>
          <t>Lille</t>
        </is>
      </c>
      <c r="F105">
        <f>VLOOKUP(E105,Clubes!B$2:D$438,2)</f>
        <v/>
      </c>
      <c r="G105">
        <f>VLOOKUP(E105,Clubes!B$2:D$438,3)</f>
        <v/>
      </c>
      <c r="H105" s="2" t="n">
        <v>34</v>
      </c>
      <c r="J105">
        <f>I105/H105</f>
        <v/>
      </c>
      <c r="K105">
        <f>H105*90</f>
        <v/>
      </c>
      <c r="M105">
        <f>L105/K105</f>
        <v/>
      </c>
    </row>
    <row r="106">
      <c r="A106" s="1" t="n">
        <v>105</v>
      </c>
      <c r="B106" s="2" t="inlineStr">
        <is>
          <t>Algeria</t>
        </is>
      </c>
      <c r="C106" s="2" t="inlineStr">
        <is>
          <t>Achref Abada</t>
        </is>
      </c>
      <c r="D106" s="2" t="inlineStr">
        <is>
          <t>Defesa</t>
        </is>
      </c>
      <c r="E106" s="2" t="inlineStr">
        <is>
          <t>USM Alger</t>
        </is>
      </c>
      <c r="F106">
        <f>VLOOKUP(E106,Clubes!B$2:D$438,2)</f>
        <v/>
      </c>
      <c r="G106">
        <f>VLOOKUP(E106,Clubes!B$2:D$438,3)</f>
        <v/>
      </c>
      <c r="H106" s="2" t="n">
        <v>40</v>
      </c>
      <c r="J106">
        <f>I106/H106</f>
        <v/>
      </c>
      <c r="K106">
        <f>H106*90</f>
        <v/>
      </c>
      <c r="M106">
        <f>L106/K106</f>
        <v/>
      </c>
    </row>
    <row r="107">
      <c r="A107" s="1" t="n">
        <v>106</v>
      </c>
      <c r="B107" s="2" t="inlineStr">
        <is>
          <t>Algeria</t>
        </is>
      </c>
      <c r="C107" s="2" t="inlineStr">
        <is>
          <t>Zineedine Belaid</t>
        </is>
      </c>
      <c r="D107" s="2" t="inlineStr">
        <is>
          <t>Defesa</t>
        </is>
      </c>
      <c r="E107" s="2" t="inlineStr">
        <is>
          <t>JS Kabylie</t>
        </is>
      </c>
      <c r="F107">
        <f>VLOOKUP(E107,Clubes!B$2:D$438,2)</f>
        <v/>
      </c>
      <c r="G107">
        <f>VLOOKUP(E107,Clubes!B$2:D$438,3)</f>
        <v/>
      </c>
      <c r="H107" s="2" t="n">
        <v>38</v>
      </c>
      <c r="J107">
        <f>I107/H107</f>
        <v/>
      </c>
      <c r="K107">
        <f>H107*90</f>
        <v/>
      </c>
      <c r="M107">
        <f>L107/K107</f>
        <v/>
      </c>
    </row>
    <row r="108">
      <c r="A108" s="1" t="n">
        <v>107</v>
      </c>
      <c r="B108" s="2" t="inlineStr">
        <is>
          <t>Algeria</t>
        </is>
      </c>
      <c r="C108" s="2" t="inlineStr">
        <is>
          <t>Rayan Aït-Nouri</t>
        </is>
      </c>
      <c r="D108" s="2" t="inlineStr">
        <is>
          <t>Defesa</t>
        </is>
      </c>
      <c r="E108" s="2" t="inlineStr">
        <is>
          <t>Manchester City</t>
        </is>
      </c>
      <c r="F108">
        <f>VLOOKUP(E108,Clubes!B$2:D$438,2)</f>
        <v/>
      </c>
      <c r="G108">
        <f>VLOOKUP(E108,Clubes!B$2:D$438,3)</f>
        <v/>
      </c>
      <c r="H108" s="2" t="n">
        <v>38</v>
      </c>
      <c r="J108">
        <f>I108/H108</f>
        <v/>
      </c>
      <c r="K108">
        <f>H108*90</f>
        <v/>
      </c>
      <c r="M108">
        <f>L108/K108</f>
        <v/>
      </c>
    </row>
    <row r="109">
      <c r="A109" s="1" t="n">
        <v>108</v>
      </c>
      <c r="B109" s="2" t="inlineStr">
        <is>
          <t>Algeria</t>
        </is>
      </c>
      <c r="C109" s="2" t="inlineStr">
        <is>
          <t>Rafik Belghali</t>
        </is>
      </c>
      <c r="D109" s="2" t="inlineStr">
        <is>
          <t>Defesa</t>
        </is>
      </c>
      <c r="E109" s="2" t="inlineStr">
        <is>
          <t>Hellas Verona</t>
        </is>
      </c>
      <c r="F109">
        <f>VLOOKUP(E109,Clubes!B$2:D$438,2)</f>
        <v/>
      </c>
      <c r="G109">
        <f>VLOOKUP(E109,Clubes!B$2:D$438,3)</f>
        <v/>
      </c>
      <c r="H109" s="2" t="n">
        <v>38</v>
      </c>
      <c r="J109">
        <f>I109/H109</f>
        <v/>
      </c>
      <c r="K109">
        <f>H109*90</f>
        <v/>
      </c>
      <c r="M109">
        <f>L109/K109</f>
        <v/>
      </c>
    </row>
    <row r="110">
      <c r="A110" s="1" t="n">
        <v>109</v>
      </c>
      <c r="B110" s="2" t="inlineStr">
        <is>
          <t>Algeria</t>
        </is>
      </c>
      <c r="C110" s="2" t="inlineStr">
        <is>
          <t>Ramy Bensebaini</t>
        </is>
      </c>
      <c r="D110" s="2" t="inlineStr">
        <is>
          <t>Defesa</t>
        </is>
      </c>
      <c r="E110" s="2" t="inlineStr">
        <is>
          <t>Borussia Dortmund</t>
        </is>
      </c>
      <c r="F110">
        <f>VLOOKUP(E110,Clubes!B$2:D$438,2)</f>
        <v/>
      </c>
      <c r="G110">
        <f>VLOOKUP(E110,Clubes!B$2:D$438,3)</f>
        <v/>
      </c>
      <c r="H110" s="2" t="n">
        <v>34</v>
      </c>
      <c r="J110">
        <f>I110/H110</f>
        <v/>
      </c>
      <c r="K110">
        <f>H110*90</f>
        <v/>
      </c>
      <c r="M110">
        <f>L110/K110</f>
        <v/>
      </c>
    </row>
    <row r="111">
      <c r="A111" s="1" t="n">
        <v>110</v>
      </c>
      <c r="B111" s="2" t="inlineStr">
        <is>
          <t>Algeria</t>
        </is>
      </c>
      <c r="C111" s="2" t="inlineStr">
        <is>
          <t>Nabil Bentaleb</t>
        </is>
      </c>
      <c r="D111" s="2" t="inlineStr">
        <is>
          <t>Médio</t>
        </is>
      </c>
      <c r="E111" s="2" t="inlineStr">
        <is>
          <t>Lille</t>
        </is>
      </c>
      <c r="F111">
        <f>VLOOKUP(E111,Clubes!B$2:D$438,2)</f>
        <v/>
      </c>
      <c r="G111">
        <f>VLOOKUP(E111,Clubes!B$2:D$438,3)</f>
        <v/>
      </c>
      <c r="H111" s="2" t="n">
        <v>34</v>
      </c>
      <c r="J111">
        <f>I111/H111</f>
        <v/>
      </c>
      <c r="K111">
        <f>H111*90</f>
        <v/>
      </c>
      <c r="M111">
        <f>L111/K111</f>
        <v/>
      </c>
    </row>
    <row r="112">
      <c r="A112" s="1" t="n">
        <v>111</v>
      </c>
      <c r="B112" s="2" t="inlineStr">
        <is>
          <t>Algeria</t>
        </is>
      </c>
      <c r="C112" s="2" t="inlineStr">
        <is>
          <t>Adil Aouchiche</t>
        </is>
      </c>
      <c r="D112" s="2" t="inlineStr">
        <is>
          <t>Médio</t>
        </is>
      </c>
      <c r="E112" s="2" t="inlineStr">
        <is>
          <t>Schalke 04</t>
        </is>
      </c>
      <c r="F112">
        <f>VLOOKUP(E112,Clubes!B$2:D$438,2)</f>
        <v/>
      </c>
      <c r="G112">
        <f>VLOOKUP(E112,Clubes!B$2:D$438,3)</f>
        <v/>
      </c>
      <c r="H112" s="2" t="n">
        <v>34</v>
      </c>
      <c r="J112">
        <f>I112/H112</f>
        <v/>
      </c>
      <c r="K112">
        <f>H112*90</f>
        <v/>
      </c>
      <c r="M112">
        <f>L112/K112</f>
        <v/>
      </c>
    </row>
    <row r="113">
      <c r="A113" s="1" t="n">
        <v>112</v>
      </c>
      <c r="B113" s="2" t="inlineStr">
        <is>
          <t>Algeria</t>
        </is>
      </c>
      <c r="C113" s="2" t="inlineStr">
        <is>
          <t>Hicham Boudaoui</t>
        </is>
      </c>
      <c r="D113" s="2" t="inlineStr">
        <is>
          <t>Médio</t>
        </is>
      </c>
      <c r="E113" s="2" t="inlineStr">
        <is>
          <t>Nice</t>
        </is>
      </c>
      <c r="F113">
        <f>VLOOKUP(E113,Clubes!B$2:D$438,2)</f>
        <v/>
      </c>
      <c r="G113">
        <f>VLOOKUP(E113,Clubes!B$2:D$438,3)</f>
        <v/>
      </c>
      <c r="H113" s="2" t="n">
        <v>34</v>
      </c>
      <c r="J113">
        <f>I113/H113</f>
        <v/>
      </c>
      <c r="K113">
        <f>H113*90</f>
        <v/>
      </c>
      <c r="M113">
        <f>L113/K113</f>
        <v/>
      </c>
    </row>
    <row r="114">
      <c r="A114" s="1" t="n">
        <v>113</v>
      </c>
      <c r="B114" s="2" t="inlineStr">
        <is>
          <t>Algeria</t>
        </is>
      </c>
      <c r="C114" s="2" t="inlineStr">
        <is>
          <t>Ramiz Zerrouki</t>
        </is>
      </c>
      <c r="D114" s="2" t="inlineStr">
        <is>
          <t>Médio</t>
        </is>
      </c>
      <c r="E114" s="2" t="inlineStr">
        <is>
          <t>FC Twente</t>
        </is>
      </c>
      <c r="F114">
        <f>VLOOKUP(E114,Clubes!B$2:D$438,2)</f>
        <v/>
      </c>
      <c r="G114">
        <f>VLOOKUP(E114,Clubes!B$2:D$438,3)</f>
        <v/>
      </c>
      <c r="H114" s="2" t="n">
        <v>34</v>
      </c>
      <c r="J114">
        <f>I114/H114</f>
        <v/>
      </c>
      <c r="K114">
        <f>H114*90</f>
        <v/>
      </c>
      <c r="M114">
        <f>L114/K114</f>
        <v/>
      </c>
    </row>
    <row r="115">
      <c r="A115" s="1" t="n">
        <v>114</v>
      </c>
      <c r="B115" s="2" t="inlineStr">
        <is>
          <t>Algeria</t>
        </is>
      </c>
      <c r="C115" s="2" t="inlineStr">
        <is>
          <t>Houssem Aouar</t>
        </is>
      </c>
      <c r="D115" s="2" t="inlineStr">
        <is>
          <t>Médio</t>
        </is>
      </c>
      <c r="E115" s="2" t="inlineStr">
        <is>
          <t>Al-Ittihad Jeddah</t>
        </is>
      </c>
      <c r="F115">
        <f>VLOOKUP(E115,Clubes!B$2:D$438,2)</f>
        <v/>
      </c>
      <c r="G115">
        <f>VLOOKUP(E115,Clubes!B$2:D$438,3)</f>
        <v/>
      </c>
      <c r="H115" s="2" t="n">
        <v>34</v>
      </c>
      <c r="J115">
        <f>I115/H115</f>
        <v/>
      </c>
      <c r="K115">
        <f>H115*90</f>
        <v/>
      </c>
      <c r="M115">
        <f>L115/K115</f>
        <v/>
      </c>
    </row>
    <row r="116">
      <c r="A116" s="1" t="n">
        <v>115</v>
      </c>
      <c r="B116" s="2" t="inlineStr">
        <is>
          <t>Algeria</t>
        </is>
      </c>
      <c r="C116" s="2" t="inlineStr">
        <is>
          <t>Farès Chaïbi</t>
        </is>
      </c>
      <c r="D116" s="2" t="inlineStr">
        <is>
          <t>Médio</t>
        </is>
      </c>
      <c r="E116" s="2" t="inlineStr">
        <is>
          <t>Eintracht Frankfurt</t>
        </is>
      </c>
      <c r="F116">
        <f>VLOOKUP(E116,Clubes!B$2:D$438,2)</f>
        <v/>
      </c>
      <c r="G116">
        <f>VLOOKUP(E116,Clubes!B$2:D$438,3)</f>
        <v/>
      </c>
      <c r="H116" s="2" t="n">
        <v>34</v>
      </c>
      <c r="J116">
        <f>I116/H116</f>
        <v/>
      </c>
      <c r="K116">
        <f>H116*90</f>
        <v/>
      </c>
      <c r="M116">
        <f>L116/K116</f>
        <v/>
      </c>
    </row>
    <row r="117">
      <c r="A117" s="1" t="n">
        <v>116</v>
      </c>
      <c r="B117" s="2" t="inlineStr">
        <is>
          <t>Algeria</t>
        </is>
      </c>
      <c r="C117" s="2" t="inlineStr">
        <is>
          <t>Ibrahim Maza</t>
        </is>
      </c>
      <c r="D117" s="2" t="inlineStr">
        <is>
          <t>Médio</t>
        </is>
      </c>
      <c r="E117" s="2" t="inlineStr">
        <is>
          <t>Bayer Leverkusen</t>
        </is>
      </c>
      <c r="F117">
        <f>VLOOKUP(E117,Clubes!B$2:D$438,2)</f>
        <v/>
      </c>
      <c r="G117">
        <f>VLOOKUP(E117,Clubes!B$2:D$438,3)</f>
        <v/>
      </c>
      <c r="H117" s="2" t="n">
        <v>34</v>
      </c>
      <c r="J117">
        <f>I117/H117</f>
        <v/>
      </c>
      <c r="K117">
        <f>H117*90</f>
        <v/>
      </c>
      <c r="M117">
        <f>L117/K117</f>
        <v/>
      </c>
    </row>
    <row r="118">
      <c r="A118" s="1" t="n">
        <v>117</v>
      </c>
      <c r="B118" s="2" t="inlineStr">
        <is>
          <t>Algeria</t>
        </is>
      </c>
      <c r="C118" s="2" t="inlineStr">
        <is>
          <t>Yacine Titraoui</t>
        </is>
      </c>
      <c r="D118" s="2" t="inlineStr">
        <is>
          <t>Médio</t>
        </is>
      </c>
      <c r="E118" s="2" t="inlineStr">
        <is>
          <t>Charleroi</t>
        </is>
      </c>
      <c r="F118">
        <f>VLOOKUP(E118,Clubes!B$2:D$438,2)</f>
        <v/>
      </c>
      <c r="G118">
        <f>VLOOKUP(E118,Clubes!B$2:D$438,3)</f>
        <v/>
      </c>
      <c r="H118" s="2" t="n">
        <v>40</v>
      </c>
      <c r="J118">
        <f>I118/H118</f>
        <v/>
      </c>
      <c r="K118">
        <f>H118*90</f>
        <v/>
      </c>
      <c r="M118">
        <f>L118/K118</f>
        <v/>
      </c>
    </row>
    <row r="119">
      <c r="A119" s="1" t="n">
        <v>118</v>
      </c>
      <c r="B119" s="2" t="inlineStr">
        <is>
          <t>Algeria</t>
        </is>
      </c>
      <c r="C119" s="2" t="inlineStr">
        <is>
          <t>Amin Chiakha</t>
        </is>
      </c>
      <c r="D119" s="2" t="inlineStr">
        <is>
          <t>Avançado</t>
        </is>
      </c>
      <c r="E119" s="2" t="inlineStr">
        <is>
          <t>Rosenborg</t>
        </is>
      </c>
      <c r="F119">
        <f>VLOOKUP(E119,Clubes!B$2:D$438,2)</f>
        <v/>
      </c>
      <c r="G119">
        <f>VLOOKUP(E119,Clubes!B$2:D$438,3)</f>
        <v/>
      </c>
      <c r="H119" s="2" t="n">
        <v>30</v>
      </c>
      <c r="J119">
        <f>I119/H119</f>
        <v/>
      </c>
      <c r="K119">
        <f>H119*90</f>
        <v/>
      </c>
      <c r="M119">
        <f>L119/K119</f>
        <v/>
      </c>
    </row>
    <row r="120">
      <c r="A120" s="1" t="n">
        <v>119</v>
      </c>
      <c r="B120" s="2" t="inlineStr">
        <is>
          <t>Algeria</t>
        </is>
      </c>
      <c r="C120" s="2" t="inlineStr">
        <is>
          <t>Riyad Mahrez</t>
        </is>
      </c>
      <c r="D120" s="2" t="inlineStr">
        <is>
          <t>Avançado</t>
        </is>
      </c>
      <c r="E120" s="2" t="inlineStr">
        <is>
          <t>Al-Ahli Jeddah</t>
        </is>
      </c>
      <c r="F120">
        <f>VLOOKUP(E120,Clubes!B$2:D$438,2)</f>
        <v/>
      </c>
      <c r="G120">
        <f>VLOOKUP(E120,Clubes!B$2:D$438,3)</f>
        <v/>
      </c>
      <c r="H120" s="2" t="n">
        <v>34</v>
      </c>
      <c r="J120">
        <f>I120/H120</f>
        <v/>
      </c>
      <c r="K120">
        <f>H120*90</f>
        <v/>
      </c>
      <c r="M120">
        <f>L120/K120</f>
        <v/>
      </c>
    </row>
    <row r="121">
      <c r="A121" s="1" t="n">
        <v>120</v>
      </c>
      <c r="B121" s="2" t="inlineStr">
        <is>
          <t>Algeria</t>
        </is>
      </c>
      <c r="C121" s="2" t="inlineStr">
        <is>
          <t>Amine Gouiri</t>
        </is>
      </c>
      <c r="D121" s="2" t="inlineStr">
        <is>
          <t>Avançado</t>
        </is>
      </c>
      <c r="E121" s="2" t="inlineStr">
        <is>
          <t>Marseille</t>
        </is>
      </c>
      <c r="F121">
        <f>VLOOKUP(E121,Clubes!B$2:D$438,2)</f>
        <v/>
      </c>
      <c r="G121">
        <f>VLOOKUP(E121,Clubes!B$2:D$438,3)</f>
        <v/>
      </c>
      <c r="H121" s="2" t="n">
        <v>34</v>
      </c>
      <c r="J121">
        <f>I121/H121</f>
        <v/>
      </c>
      <c r="K121">
        <f>H121*90</f>
        <v/>
      </c>
      <c r="M121">
        <f>L121/K121</f>
        <v/>
      </c>
    </row>
    <row r="122">
      <c r="A122" s="1" t="n">
        <v>121</v>
      </c>
      <c r="B122" s="2" t="inlineStr">
        <is>
          <t>Algeria</t>
        </is>
      </c>
      <c r="C122" s="2" t="inlineStr">
        <is>
          <t>Anis Hadj Moussa</t>
        </is>
      </c>
      <c r="D122" s="2" t="inlineStr">
        <is>
          <t>Avançado</t>
        </is>
      </c>
      <c r="E122" s="2" t="inlineStr">
        <is>
          <t>Feyenoord</t>
        </is>
      </c>
      <c r="F122">
        <f>VLOOKUP(E122,Clubes!B$2:D$438,2)</f>
        <v/>
      </c>
      <c r="G122">
        <f>VLOOKUP(E122,Clubes!B$2:D$438,3)</f>
        <v/>
      </c>
      <c r="H122" s="2" t="n">
        <v>40</v>
      </c>
      <c r="J122">
        <f>I122/H122</f>
        <v/>
      </c>
      <c r="K122">
        <f>H122*90</f>
        <v/>
      </c>
      <c r="M122">
        <f>L122/K122</f>
        <v/>
      </c>
    </row>
    <row r="123">
      <c r="A123" s="1" t="n">
        <v>122</v>
      </c>
      <c r="B123" s="2" t="inlineStr">
        <is>
          <t>Algeria</t>
        </is>
      </c>
      <c r="C123" s="2" t="inlineStr">
        <is>
          <t>Nadir Benbouali</t>
        </is>
      </c>
      <c r="D123" s="2" t="inlineStr">
        <is>
          <t>Avançado</t>
        </is>
      </c>
      <c r="E123" s="2" t="inlineStr">
        <is>
          <t>Gyori ETO</t>
        </is>
      </c>
      <c r="F123">
        <f>VLOOKUP(E123,Clubes!B$2:D$438,2)</f>
        <v/>
      </c>
      <c r="G123">
        <f>VLOOKUP(E123,Clubes!B$2:D$438,3)</f>
        <v/>
      </c>
      <c r="H123" s="2" t="n">
        <v>33</v>
      </c>
      <c r="J123">
        <f>I123/H123</f>
        <v/>
      </c>
      <c r="K123">
        <f>H123*90</f>
        <v/>
      </c>
      <c r="M123">
        <f>L123/K123</f>
        <v/>
      </c>
    </row>
    <row r="124">
      <c r="A124" s="1" t="n">
        <v>123</v>
      </c>
      <c r="B124" s="2" t="inlineStr">
        <is>
          <t>Algeria</t>
        </is>
      </c>
      <c r="C124" s="2" t="inlineStr">
        <is>
          <t>Mohamed Amoura</t>
        </is>
      </c>
      <c r="D124" s="2" t="inlineStr">
        <is>
          <t>Avançado</t>
        </is>
      </c>
      <c r="E124" s="2" t="inlineStr">
        <is>
          <t>Wolfsburg</t>
        </is>
      </c>
      <c r="F124">
        <f>VLOOKUP(E124,Clubes!B$2:D$438,2)</f>
        <v/>
      </c>
      <c r="G124">
        <f>VLOOKUP(E124,Clubes!B$2:D$438,3)</f>
        <v/>
      </c>
      <c r="H124" s="2" t="n">
        <v>34</v>
      </c>
      <c r="J124">
        <f>I124/H124</f>
        <v/>
      </c>
      <c r="K124">
        <f>H124*90</f>
        <v/>
      </c>
      <c r="M124">
        <f>L124/K124</f>
        <v/>
      </c>
    </row>
    <row r="125">
      <c r="A125" s="1" t="n">
        <v>124</v>
      </c>
      <c r="B125" s="2" t="inlineStr">
        <is>
          <t>Algeria</t>
        </is>
      </c>
      <c r="C125" s="2" t="inlineStr">
        <is>
          <t>Adil Boulbina</t>
        </is>
      </c>
      <c r="D125" s="2" t="inlineStr">
        <is>
          <t>Avançado</t>
        </is>
      </c>
      <c r="E125" s="2" t="inlineStr">
        <is>
          <t>Al-Duhail</t>
        </is>
      </c>
      <c r="F125">
        <f>VLOOKUP(E125,Clubes!B$2:D$438,2)</f>
        <v/>
      </c>
      <c r="G125">
        <f>VLOOKUP(E125,Clubes!B$2:D$438,3)</f>
        <v/>
      </c>
      <c r="H125" s="2" t="n">
        <v>22</v>
      </c>
      <c r="J125">
        <f>I125/H125</f>
        <v/>
      </c>
      <c r="K125">
        <f>H125*90</f>
        <v/>
      </c>
      <c r="M125">
        <f>L125/K125</f>
        <v/>
      </c>
    </row>
    <row r="126">
      <c r="A126" s="1" t="n">
        <v>125</v>
      </c>
      <c r="B126" s="2" t="inlineStr">
        <is>
          <t>Algeria</t>
        </is>
      </c>
      <c r="C126" s="2" t="inlineStr">
        <is>
          <t>Farès Ghedjemis</t>
        </is>
      </c>
      <c r="D126" s="2" t="inlineStr">
        <is>
          <t>Avançado</t>
        </is>
      </c>
      <c r="E126" s="2" t="inlineStr">
        <is>
          <t>Frosinone</t>
        </is>
      </c>
      <c r="F126">
        <f>VLOOKUP(E126,Clubes!B$2:D$438,2)</f>
        <v/>
      </c>
      <c r="G126">
        <f>VLOOKUP(E126,Clubes!B$2:D$438,3)</f>
        <v/>
      </c>
      <c r="H126" s="2" t="n">
        <v>38</v>
      </c>
      <c r="J126">
        <f>I126/H126</f>
        <v/>
      </c>
      <c r="K126">
        <f>H126*90</f>
        <v/>
      </c>
      <c r="M126">
        <f>L126/K126</f>
        <v/>
      </c>
    </row>
    <row r="127">
      <c r="A127" s="1" t="n">
        <v>126</v>
      </c>
      <c r="B127" s="2" t="inlineStr">
        <is>
          <t>Argentina</t>
        </is>
      </c>
      <c r="C127" s="2" t="inlineStr">
        <is>
          <t>Santiago Beltrán</t>
        </is>
      </c>
      <c r="D127" s="2" t="inlineStr">
        <is>
          <t>Guarda Redes</t>
        </is>
      </c>
      <c r="E127" s="2" t="inlineStr">
        <is>
          <t>River Plate</t>
        </is>
      </c>
      <c r="F127">
        <f>VLOOKUP(E127,Clubes!B$2:D$438,2)</f>
        <v/>
      </c>
      <c r="G127">
        <f>VLOOKUP(E127,Clubes!B$2:D$438,3)</f>
        <v/>
      </c>
      <c r="H127" s="2" t="n">
        <v>32</v>
      </c>
      <c r="J127">
        <f>I127/H127</f>
        <v/>
      </c>
      <c r="K127">
        <f>H127*90</f>
        <v/>
      </c>
      <c r="M127">
        <f>L127/K127</f>
        <v/>
      </c>
    </row>
    <row r="128">
      <c r="A128" s="1" t="n">
        <v>127</v>
      </c>
      <c r="B128" s="2" t="inlineStr">
        <is>
          <t>Argentina</t>
        </is>
      </c>
      <c r="C128" s="2" t="inlineStr">
        <is>
          <t>Juan Musso</t>
        </is>
      </c>
      <c r="D128" s="2" t="inlineStr">
        <is>
          <t>Guarda Redes</t>
        </is>
      </c>
      <c r="E128" s="2" t="inlineStr">
        <is>
          <t>Atlético de Madrid</t>
        </is>
      </c>
      <c r="F128">
        <f>VLOOKUP(E128,Clubes!B$2:D$438,2)</f>
        <v/>
      </c>
      <c r="G128">
        <f>VLOOKUP(E128,Clubes!B$2:D$438,3)</f>
        <v/>
      </c>
      <c r="H128" s="2" t="n">
        <v>34</v>
      </c>
      <c r="J128">
        <f>I128/H128</f>
        <v/>
      </c>
      <c r="K128">
        <f>H128*90</f>
        <v/>
      </c>
      <c r="M128">
        <f>L128/K128</f>
        <v/>
      </c>
    </row>
    <row r="129">
      <c r="A129" s="1" t="n">
        <v>128</v>
      </c>
      <c r="B129" s="2" t="inlineStr">
        <is>
          <t>Argentina</t>
        </is>
      </c>
      <c r="C129" s="2" t="inlineStr">
        <is>
          <t>Gerónimo Rulli</t>
        </is>
      </c>
      <c r="D129" s="2" t="inlineStr">
        <is>
          <t>Guarda Redes</t>
        </is>
      </c>
      <c r="E129" s="2" t="inlineStr">
        <is>
          <t>Marseille</t>
        </is>
      </c>
      <c r="F129">
        <f>VLOOKUP(E129,Clubes!B$2:D$438,2)</f>
        <v/>
      </c>
      <c r="G129">
        <f>VLOOKUP(E129,Clubes!B$2:D$438,3)</f>
        <v/>
      </c>
      <c r="H129" s="2" t="n">
        <v>34</v>
      </c>
      <c r="J129">
        <f>I129/H129</f>
        <v/>
      </c>
      <c r="K129">
        <f>H129*90</f>
        <v/>
      </c>
      <c r="M129">
        <f>L129/K129</f>
        <v/>
      </c>
    </row>
    <row r="130">
      <c r="A130" s="1" t="n">
        <v>129</v>
      </c>
      <c r="B130" s="2" t="inlineStr">
        <is>
          <t>Argentina</t>
        </is>
      </c>
      <c r="C130" s="2" t="inlineStr">
        <is>
          <t>Emiliano Martínez</t>
        </is>
      </c>
      <c r="D130" s="2" t="inlineStr">
        <is>
          <t>Guarda Redes</t>
        </is>
      </c>
      <c r="E130" s="2" t="inlineStr">
        <is>
          <t>Aston Villa</t>
        </is>
      </c>
      <c r="F130">
        <f>VLOOKUP(E130,Clubes!B$2:D$438,2)</f>
        <v/>
      </c>
      <c r="G130">
        <f>VLOOKUP(E130,Clubes!B$2:D$438,3)</f>
        <v/>
      </c>
      <c r="H130" s="2" t="n">
        <v>38</v>
      </c>
      <c r="J130">
        <f>I130/H130</f>
        <v/>
      </c>
      <c r="K130">
        <f>H130*90</f>
        <v/>
      </c>
      <c r="M130">
        <f>L130/K130</f>
        <v/>
      </c>
    </row>
    <row r="131">
      <c r="A131" s="1" t="n">
        <v>130</v>
      </c>
      <c r="B131" s="2" t="inlineStr">
        <is>
          <t>Argentina</t>
        </is>
      </c>
      <c r="C131" s="2" t="inlineStr">
        <is>
          <t>Lisandro Martínez</t>
        </is>
      </c>
      <c r="D131" s="2" t="inlineStr">
        <is>
          <t>Defesa</t>
        </is>
      </c>
      <c r="E131" s="2" t="inlineStr">
        <is>
          <t>Manchester United</t>
        </is>
      </c>
      <c r="F131">
        <f>VLOOKUP(E131,Clubes!B$2:D$438,2)</f>
        <v/>
      </c>
      <c r="G131">
        <f>VLOOKUP(E131,Clubes!B$2:D$438,3)</f>
        <v/>
      </c>
      <c r="H131" s="2" t="n">
        <v>38</v>
      </c>
      <c r="J131">
        <f>I131/H131</f>
        <v/>
      </c>
      <c r="K131">
        <f>H131*90</f>
        <v/>
      </c>
      <c r="M131">
        <f>L131/K131</f>
        <v/>
      </c>
    </row>
    <row r="132">
      <c r="A132" s="1" t="n">
        <v>131</v>
      </c>
      <c r="B132" s="2" t="inlineStr">
        <is>
          <t>Argentina</t>
        </is>
      </c>
      <c r="C132" s="2" t="inlineStr">
        <is>
          <t>Ignacio Ovando</t>
        </is>
      </c>
      <c r="D132" s="2" t="inlineStr">
        <is>
          <t>Defesa</t>
        </is>
      </c>
      <c r="E132" s="2" t="inlineStr">
        <is>
          <t>Rosario Central</t>
        </is>
      </c>
      <c r="F132">
        <f>VLOOKUP(E132,Clubes!B$2:D$438,2)</f>
        <v/>
      </c>
      <c r="G132">
        <f>VLOOKUP(E132,Clubes!B$2:D$438,3)</f>
        <v/>
      </c>
      <c r="H132" s="2" t="n">
        <v>32</v>
      </c>
      <c r="J132">
        <f>I132/H132</f>
        <v/>
      </c>
      <c r="K132">
        <f>H132*90</f>
        <v/>
      </c>
      <c r="M132">
        <f>L132/K132</f>
        <v/>
      </c>
    </row>
    <row r="133">
      <c r="A133" s="1" t="n">
        <v>132</v>
      </c>
      <c r="B133" s="2" t="inlineStr">
        <is>
          <t>Argentina</t>
        </is>
      </c>
      <c r="C133" s="2" t="inlineStr">
        <is>
          <t>Leonardo Balerdi</t>
        </is>
      </c>
      <c r="D133" s="2" t="inlineStr">
        <is>
          <t>Defesa</t>
        </is>
      </c>
      <c r="E133" s="2" t="inlineStr">
        <is>
          <t>Marseille</t>
        </is>
      </c>
      <c r="F133">
        <f>VLOOKUP(E133,Clubes!B$2:D$438,2)</f>
        <v/>
      </c>
      <c r="G133">
        <f>VLOOKUP(E133,Clubes!B$2:D$438,3)</f>
        <v/>
      </c>
      <c r="H133" s="2" t="n">
        <v>34</v>
      </c>
      <c r="J133">
        <f>I133/H133</f>
        <v/>
      </c>
      <c r="K133">
        <f>H133*90</f>
        <v/>
      </c>
      <c r="M133">
        <f>L133/K133</f>
        <v/>
      </c>
    </row>
    <row r="134">
      <c r="A134" s="1" t="n">
        <v>133</v>
      </c>
      <c r="B134" s="2" t="inlineStr">
        <is>
          <t>Argentina</t>
        </is>
      </c>
      <c r="C134" s="2" t="inlineStr">
        <is>
          <t>Tomás Palacios</t>
        </is>
      </c>
      <c r="D134" s="2" t="inlineStr">
        <is>
          <t>Defesa</t>
        </is>
      </c>
      <c r="E134" s="2" t="inlineStr">
        <is>
          <t>Estudiantes</t>
        </is>
      </c>
      <c r="F134">
        <f>VLOOKUP(E134,Clubes!B$2:D$438,2)</f>
        <v/>
      </c>
      <c r="G134">
        <f>VLOOKUP(E134,Clubes!B$2:D$438,3)</f>
        <v/>
      </c>
      <c r="H134" s="2" t="n">
        <v>32</v>
      </c>
      <c r="J134">
        <f>I134/H134</f>
        <v/>
      </c>
      <c r="K134">
        <f>H134*90</f>
        <v/>
      </c>
      <c r="M134">
        <f>L134/K134</f>
        <v/>
      </c>
    </row>
    <row r="135">
      <c r="A135" s="1" t="n">
        <v>134</v>
      </c>
      <c r="B135" s="2" t="inlineStr">
        <is>
          <t>Argentina</t>
        </is>
      </c>
      <c r="C135" s="2" t="inlineStr">
        <is>
          <t>Martínez Quarta</t>
        </is>
      </c>
      <c r="D135" s="2" t="inlineStr">
        <is>
          <t>Defesa</t>
        </is>
      </c>
      <c r="E135" s="2" t="inlineStr">
        <is>
          <t>River Plate</t>
        </is>
      </c>
      <c r="F135">
        <f>VLOOKUP(E135,Clubes!B$2:D$438,2)</f>
        <v/>
      </c>
      <c r="G135">
        <f>VLOOKUP(E135,Clubes!B$2:D$438,3)</f>
        <v/>
      </c>
      <c r="H135" s="2" t="n">
        <v>32</v>
      </c>
      <c r="J135">
        <f>I135/H135</f>
        <v/>
      </c>
      <c r="K135">
        <f>H135*90</f>
        <v/>
      </c>
      <c r="M135">
        <f>L135/K135</f>
        <v/>
      </c>
    </row>
    <row r="136">
      <c r="A136" s="1" t="n">
        <v>135</v>
      </c>
      <c r="B136" s="2" t="inlineStr">
        <is>
          <t>Argentina</t>
        </is>
      </c>
      <c r="C136" s="2" t="inlineStr">
        <is>
          <t>Nicolás Tagliafico</t>
        </is>
      </c>
      <c r="D136" s="2" t="inlineStr">
        <is>
          <t>Defesa</t>
        </is>
      </c>
      <c r="E136" s="2" t="inlineStr">
        <is>
          <t>Lyon</t>
        </is>
      </c>
      <c r="F136">
        <f>VLOOKUP(E136,Clubes!B$2:D$438,2)</f>
        <v/>
      </c>
      <c r="G136">
        <f>VLOOKUP(E136,Clubes!B$2:D$438,3)</f>
        <v/>
      </c>
      <c r="H136" s="2" t="n">
        <v>34</v>
      </c>
      <c r="J136">
        <f>I136/H136</f>
        <v/>
      </c>
      <c r="K136">
        <f>H136*90</f>
        <v/>
      </c>
      <c r="M136">
        <f>L136/K136</f>
        <v/>
      </c>
    </row>
    <row r="137">
      <c r="A137" s="1" t="n">
        <v>136</v>
      </c>
      <c r="B137" s="2" t="inlineStr">
        <is>
          <t>Argentina</t>
        </is>
      </c>
      <c r="C137" s="2" t="inlineStr">
        <is>
          <t>Gabriel Rojas</t>
        </is>
      </c>
      <c r="D137" s="2" t="inlineStr">
        <is>
          <t>Defesa</t>
        </is>
      </c>
      <c r="E137" s="2" t="inlineStr">
        <is>
          <t>Racing Club</t>
        </is>
      </c>
      <c r="F137">
        <f>VLOOKUP(E137,Clubes!B$2:D$438,2)</f>
        <v/>
      </c>
      <c r="G137">
        <f>VLOOKUP(E137,Clubes!B$2:D$438,3)</f>
        <v/>
      </c>
      <c r="H137" s="2" t="n">
        <v>34</v>
      </c>
      <c r="J137">
        <f>I137/H137</f>
        <v/>
      </c>
      <c r="K137">
        <f>H137*90</f>
        <v/>
      </c>
      <c r="M137">
        <f>L137/K137</f>
        <v/>
      </c>
    </row>
    <row r="138">
      <c r="A138" s="1" t="n">
        <v>137</v>
      </c>
      <c r="B138" s="2" t="inlineStr">
        <is>
          <t>Argentina</t>
        </is>
      </c>
      <c r="C138" s="2" t="inlineStr">
        <is>
          <t>Agustín Giay</t>
        </is>
      </c>
      <c r="D138" s="2" t="inlineStr">
        <is>
          <t>Defesa</t>
        </is>
      </c>
      <c r="E138" s="2" t="inlineStr">
        <is>
          <t>Palmeiras</t>
        </is>
      </c>
      <c r="F138">
        <f>VLOOKUP(E138,Clubes!B$2:D$438,2)</f>
        <v/>
      </c>
      <c r="G138">
        <f>VLOOKUP(E138,Clubes!B$2:D$438,3)</f>
        <v/>
      </c>
      <c r="H138" s="2" t="n">
        <v>38</v>
      </c>
      <c r="J138">
        <f>I138/H138</f>
        <v/>
      </c>
      <c r="K138">
        <f>H138*90</f>
        <v/>
      </c>
      <c r="M138">
        <f>L138/K138</f>
        <v/>
      </c>
    </row>
    <row r="139">
      <c r="A139" s="1" t="n">
        <v>138</v>
      </c>
      <c r="B139" s="2" t="inlineStr">
        <is>
          <t>Argentina</t>
        </is>
      </c>
      <c r="C139" s="2" t="inlineStr">
        <is>
          <t>Marcos Senesi</t>
        </is>
      </c>
      <c r="D139" s="2" t="inlineStr">
        <is>
          <t>Defesa</t>
        </is>
      </c>
      <c r="E139" s="2" t="inlineStr">
        <is>
          <t>Bournemouth</t>
        </is>
      </c>
      <c r="F139">
        <f>VLOOKUP(E139,Clubes!B$2:D$438,2)</f>
        <v/>
      </c>
      <c r="G139">
        <f>VLOOKUP(E139,Clubes!B$2:D$438,3)</f>
        <v/>
      </c>
      <c r="H139" s="2" t="n">
        <v>38</v>
      </c>
      <c r="J139">
        <f>I139/H139</f>
        <v/>
      </c>
      <c r="K139">
        <f>H139*90</f>
        <v/>
      </c>
      <c r="M139">
        <f>L139/K139</f>
        <v/>
      </c>
    </row>
    <row r="140">
      <c r="A140" s="1" t="n">
        <v>139</v>
      </c>
      <c r="B140" s="2" t="inlineStr">
        <is>
          <t>Argentina</t>
        </is>
      </c>
      <c r="C140" s="2" t="inlineStr">
        <is>
          <t>Marcos Acuña</t>
        </is>
      </c>
      <c r="D140" s="2" t="inlineStr">
        <is>
          <t>Defesa</t>
        </is>
      </c>
      <c r="E140" s="2" t="inlineStr">
        <is>
          <t>River Plate</t>
        </is>
      </c>
      <c r="F140">
        <f>VLOOKUP(E140,Clubes!B$2:D$438,2)</f>
        <v/>
      </c>
      <c r="G140">
        <f>VLOOKUP(E140,Clubes!B$2:D$438,3)</f>
        <v/>
      </c>
      <c r="H140" s="2" t="n">
        <v>32</v>
      </c>
      <c r="J140">
        <f>I140/H140</f>
        <v/>
      </c>
      <c r="K140">
        <f>H140*90</f>
        <v/>
      </c>
      <c r="M140">
        <f>L140/K140</f>
        <v/>
      </c>
    </row>
    <row r="141">
      <c r="A141" s="1" t="n">
        <v>140</v>
      </c>
      <c r="B141" s="2" t="inlineStr">
        <is>
          <t>Argentina</t>
        </is>
      </c>
      <c r="C141" s="2" t="inlineStr">
        <is>
          <t>Cristián Romero</t>
        </is>
      </c>
      <c r="D141" s="2" t="inlineStr">
        <is>
          <t>Defesa</t>
        </is>
      </c>
      <c r="E141" s="2" t="inlineStr">
        <is>
          <t>Tottenham</t>
        </is>
      </c>
      <c r="F141">
        <f>VLOOKUP(E141,Clubes!B$2:D$438,2)</f>
        <v/>
      </c>
      <c r="G141">
        <f>VLOOKUP(E141,Clubes!B$2:D$438,3)</f>
        <v/>
      </c>
      <c r="H141" s="2" t="n">
        <v>38</v>
      </c>
      <c r="J141">
        <f>I141/H141</f>
        <v/>
      </c>
      <c r="K141">
        <f>H141*90</f>
        <v/>
      </c>
      <c r="M141">
        <f>L141/K141</f>
        <v/>
      </c>
    </row>
    <row r="142">
      <c r="A142" s="1" t="n">
        <v>141</v>
      </c>
      <c r="B142" s="2" t="inlineStr">
        <is>
          <t>Argentina</t>
        </is>
      </c>
      <c r="C142" s="2" t="inlineStr">
        <is>
          <t>Nicolás Otamendi</t>
        </is>
      </c>
      <c r="D142" s="2" t="inlineStr">
        <is>
          <t>Defesa</t>
        </is>
      </c>
      <c r="E142" s="2" t="inlineStr">
        <is>
          <t>Benfica</t>
        </is>
      </c>
      <c r="F142">
        <f>VLOOKUP(E142,Clubes!B$2:D$438,2)</f>
        <v/>
      </c>
      <c r="G142">
        <f>VLOOKUP(E142,Clubes!B$2:D$438,3)</f>
        <v/>
      </c>
      <c r="H142" s="2" t="n">
        <v>34</v>
      </c>
      <c r="J142">
        <f>I142/H142</f>
        <v/>
      </c>
      <c r="K142">
        <f>H142*90</f>
        <v/>
      </c>
      <c r="M142">
        <f>L142/K142</f>
        <v/>
      </c>
    </row>
    <row r="143">
      <c r="A143" s="1" t="n">
        <v>142</v>
      </c>
      <c r="B143" s="2" t="inlineStr">
        <is>
          <t>Argentina</t>
        </is>
      </c>
      <c r="C143" s="2" t="inlineStr">
        <is>
          <t>Facundo Medina</t>
        </is>
      </c>
      <c r="D143" s="2" t="inlineStr">
        <is>
          <t>Defesa</t>
        </is>
      </c>
      <c r="E143" s="2" t="inlineStr">
        <is>
          <t>Marseille</t>
        </is>
      </c>
      <c r="F143">
        <f>VLOOKUP(E143,Clubes!B$2:D$438,2)</f>
        <v/>
      </c>
      <c r="G143">
        <f>VLOOKUP(E143,Clubes!B$2:D$438,3)</f>
        <v/>
      </c>
      <c r="H143" s="2" t="n">
        <v>34</v>
      </c>
      <c r="J143">
        <f>I143/H143</f>
        <v/>
      </c>
      <c r="K143">
        <f>H143*90</f>
        <v/>
      </c>
      <c r="M143">
        <f>L143/K143</f>
        <v/>
      </c>
    </row>
    <row r="144">
      <c r="A144" s="1" t="n">
        <v>143</v>
      </c>
      <c r="B144" s="2" t="inlineStr">
        <is>
          <t>Argentina</t>
        </is>
      </c>
      <c r="C144" s="2" t="inlineStr">
        <is>
          <t>Valentín Barco</t>
        </is>
      </c>
      <c r="D144" s="2" t="inlineStr">
        <is>
          <t>Defesa</t>
        </is>
      </c>
      <c r="E144" s="2" t="inlineStr">
        <is>
          <t>Strasbourg</t>
        </is>
      </c>
      <c r="F144">
        <f>VLOOKUP(E144,Clubes!B$2:D$438,2)</f>
        <v/>
      </c>
      <c r="G144">
        <f>VLOOKUP(E144,Clubes!B$2:D$438,3)</f>
        <v/>
      </c>
      <c r="H144" s="2" t="n">
        <v>34</v>
      </c>
      <c r="J144">
        <f>I144/H144</f>
        <v/>
      </c>
      <c r="K144">
        <f>H144*90</f>
        <v/>
      </c>
      <c r="M144">
        <f>L144/K144</f>
        <v/>
      </c>
    </row>
    <row r="145">
      <c r="A145" s="1" t="n">
        <v>144</v>
      </c>
      <c r="B145" s="2" t="inlineStr">
        <is>
          <t>Argentina</t>
        </is>
      </c>
      <c r="C145" s="2" t="inlineStr">
        <is>
          <t>Nahuel Molina</t>
        </is>
      </c>
      <c r="D145" s="2" t="inlineStr">
        <is>
          <t>Defesa</t>
        </is>
      </c>
      <c r="E145" s="2" t="inlineStr">
        <is>
          <t>Atlético de Madrid</t>
        </is>
      </c>
      <c r="F145">
        <f>VLOOKUP(E145,Clubes!B$2:D$438,2)</f>
        <v/>
      </c>
      <c r="G145">
        <f>VLOOKUP(E145,Clubes!B$2:D$438,3)</f>
        <v/>
      </c>
      <c r="H145" s="2" t="n">
        <v>34</v>
      </c>
      <c r="J145">
        <f>I145/H145</f>
        <v/>
      </c>
      <c r="K145">
        <f>H145*90</f>
        <v/>
      </c>
      <c r="M145">
        <f>L145/K145</f>
        <v/>
      </c>
    </row>
    <row r="146">
      <c r="A146" s="1" t="n">
        <v>145</v>
      </c>
      <c r="B146" s="2" t="inlineStr">
        <is>
          <t>Argentina</t>
        </is>
      </c>
      <c r="C146" s="2" t="inlineStr">
        <is>
          <t>Simón Escobar</t>
        </is>
      </c>
      <c r="D146" s="2" t="inlineStr">
        <is>
          <t>Defesa</t>
        </is>
      </c>
      <c r="E146" s="2" t="inlineStr">
        <is>
          <t>Vélez Sarsfield</t>
        </is>
      </c>
      <c r="F146">
        <f>VLOOKUP(E146,Clubes!B$2:D$438,2)</f>
        <v/>
      </c>
      <c r="G146">
        <f>VLOOKUP(E146,Clubes!B$2:D$438,3)</f>
        <v/>
      </c>
      <c r="H146" s="2" t="n">
        <v>38</v>
      </c>
      <c r="J146">
        <f>I146/H146</f>
        <v/>
      </c>
      <c r="K146">
        <f>H146*90</f>
        <v/>
      </c>
      <c r="M146">
        <f>L146/K146</f>
        <v/>
      </c>
    </row>
    <row r="147">
      <c r="A147" s="1" t="n">
        <v>146</v>
      </c>
      <c r="B147" s="2" t="inlineStr">
        <is>
          <t>Argentina</t>
        </is>
      </c>
      <c r="C147" s="2" t="inlineStr">
        <is>
          <t>Tomás Aranda</t>
        </is>
      </c>
      <c r="D147" s="2" t="inlineStr">
        <is>
          <t>Médio</t>
        </is>
      </c>
      <c r="E147" s="2" t="inlineStr">
        <is>
          <t>Boca Juniors</t>
        </is>
      </c>
      <c r="F147">
        <f>VLOOKUP(E147,Clubes!B$2:D$438,2)</f>
        <v/>
      </c>
      <c r="G147">
        <f>VLOOKUP(E147,Clubes!B$2:D$438,3)</f>
        <v/>
      </c>
      <c r="H147" s="2" t="n">
        <v>32</v>
      </c>
      <c r="J147">
        <f>I147/H147</f>
        <v/>
      </c>
      <c r="K147">
        <f>H147*90</f>
        <v/>
      </c>
      <c r="M147">
        <f>L147/K147</f>
        <v/>
      </c>
    </row>
    <row r="148">
      <c r="A148" s="1" t="n">
        <v>147</v>
      </c>
      <c r="B148" s="2" t="inlineStr">
        <is>
          <t>Argentina</t>
        </is>
      </c>
      <c r="C148" s="2" t="inlineStr">
        <is>
          <t>Leandro Paredes</t>
        </is>
      </c>
      <c r="D148" s="2" t="inlineStr">
        <is>
          <t>Médio</t>
        </is>
      </c>
      <c r="E148" s="2" t="inlineStr">
        <is>
          <t>Boca Juniors</t>
        </is>
      </c>
      <c r="F148">
        <f>VLOOKUP(E148,Clubes!B$2:D$438,2)</f>
        <v/>
      </c>
      <c r="G148">
        <f>VLOOKUP(E148,Clubes!B$2:D$438,3)</f>
        <v/>
      </c>
      <c r="H148" s="2" t="n">
        <v>32</v>
      </c>
      <c r="J148">
        <f>I148/H148</f>
        <v/>
      </c>
      <c r="K148">
        <f>H148*90</f>
        <v/>
      </c>
      <c r="M148">
        <f>L148/K148</f>
        <v/>
      </c>
    </row>
    <row r="149">
      <c r="A149" s="1" t="n">
        <v>148</v>
      </c>
      <c r="B149" s="2" t="inlineStr">
        <is>
          <t>Argentina</t>
        </is>
      </c>
      <c r="C149" s="2" t="inlineStr">
        <is>
          <t>Rodrigo De Paul</t>
        </is>
      </c>
      <c r="D149" s="2" t="inlineStr">
        <is>
          <t>Médio</t>
        </is>
      </c>
      <c r="E149" s="2" t="inlineStr">
        <is>
          <t>Inter Miami CF</t>
        </is>
      </c>
      <c r="F149">
        <f>VLOOKUP(E149,Clubes!B$2:D$438,2)</f>
        <v/>
      </c>
      <c r="G149">
        <f>VLOOKUP(E149,Clubes!B$2:D$438,3)</f>
        <v/>
      </c>
      <c r="H149" s="2" t="n">
        <v>34</v>
      </c>
      <c r="J149">
        <f>I149/H149</f>
        <v/>
      </c>
      <c r="K149">
        <f>H149*90</f>
        <v/>
      </c>
      <c r="M149">
        <f>L149/K149</f>
        <v/>
      </c>
    </row>
    <row r="150">
      <c r="A150" s="1" t="n">
        <v>149</v>
      </c>
      <c r="B150" s="2" t="inlineStr">
        <is>
          <t>Argentina</t>
        </is>
      </c>
      <c r="C150" s="2" t="inlineStr">
        <is>
          <t>Giovani Lo Celso</t>
        </is>
      </c>
      <c r="D150" s="2" t="inlineStr">
        <is>
          <t>Médio</t>
        </is>
      </c>
      <c r="E150" s="2" t="inlineStr">
        <is>
          <t>Real Betis</t>
        </is>
      </c>
      <c r="F150">
        <f>VLOOKUP(E150,Clubes!B$2:D$438,2)</f>
        <v/>
      </c>
      <c r="G150">
        <f>VLOOKUP(E150,Clubes!B$2:D$438,3)</f>
        <v/>
      </c>
      <c r="H150" s="2" t="n">
        <v>34</v>
      </c>
      <c r="J150">
        <f>I150/H150</f>
        <v/>
      </c>
      <c r="K150">
        <f>H150*90</f>
        <v/>
      </c>
      <c r="M150">
        <f>L150/K150</f>
        <v/>
      </c>
    </row>
    <row r="151">
      <c r="A151" s="1" t="n">
        <v>150</v>
      </c>
      <c r="B151" s="2" t="inlineStr">
        <is>
          <t>Argentina</t>
        </is>
      </c>
      <c r="C151" s="2" t="inlineStr">
        <is>
          <t>Thiago Almada</t>
        </is>
      </c>
      <c r="D151" s="2" t="inlineStr">
        <is>
          <t>Médio</t>
        </is>
      </c>
      <c r="E151" s="2" t="inlineStr">
        <is>
          <t>Atlético de Madrid</t>
        </is>
      </c>
      <c r="F151">
        <f>VLOOKUP(E151,Clubes!B$2:D$438,2)</f>
        <v/>
      </c>
      <c r="G151">
        <f>VLOOKUP(E151,Clubes!B$2:D$438,3)</f>
        <v/>
      </c>
      <c r="H151" s="2" t="n">
        <v>34</v>
      </c>
      <c r="J151">
        <f>I151/H151</f>
        <v/>
      </c>
      <c r="K151">
        <f>H151*90</f>
        <v/>
      </c>
      <c r="M151">
        <f>L151/K151</f>
        <v/>
      </c>
    </row>
    <row r="152">
      <c r="A152" s="1" t="n">
        <v>151</v>
      </c>
      <c r="B152" s="2" t="inlineStr">
        <is>
          <t>Argentina</t>
        </is>
      </c>
      <c r="C152" s="2" t="inlineStr">
        <is>
          <t>Exequiel Palacios</t>
        </is>
      </c>
      <c r="D152" s="2" t="inlineStr">
        <is>
          <t>Médio</t>
        </is>
      </c>
      <c r="E152" s="2" t="inlineStr">
        <is>
          <t>Bayer Leverkusen</t>
        </is>
      </c>
      <c r="F152">
        <f>VLOOKUP(E152,Clubes!B$2:D$438,2)</f>
        <v/>
      </c>
      <c r="G152">
        <f>VLOOKUP(E152,Clubes!B$2:D$438,3)</f>
        <v/>
      </c>
      <c r="H152" s="2" t="n">
        <v>34</v>
      </c>
      <c r="J152">
        <f>I152/H152</f>
        <v/>
      </c>
      <c r="K152">
        <f>H152*90</f>
        <v/>
      </c>
      <c r="M152">
        <f>L152/K152</f>
        <v/>
      </c>
    </row>
    <row r="153">
      <c r="A153" s="1" t="n">
        <v>152</v>
      </c>
      <c r="B153" s="2" t="inlineStr">
        <is>
          <t>Argentina</t>
        </is>
      </c>
      <c r="C153" s="2" t="inlineStr">
        <is>
          <t>Máximo Perrone</t>
        </is>
      </c>
      <c r="D153" s="2" t="inlineStr">
        <is>
          <t>Médio</t>
        </is>
      </c>
      <c r="E153" s="2" t="inlineStr">
        <is>
          <t>Como 1907</t>
        </is>
      </c>
      <c r="F153">
        <f>VLOOKUP(E153,Clubes!B$2:D$438,2)</f>
        <v/>
      </c>
      <c r="G153">
        <f>VLOOKUP(E153,Clubes!B$2:D$438,3)</f>
        <v/>
      </c>
      <c r="H153" s="2" t="n">
        <v>38</v>
      </c>
      <c r="J153">
        <f>I153/H153</f>
        <v/>
      </c>
      <c r="K153">
        <f>H153*90</f>
        <v/>
      </c>
      <c r="M153">
        <f>L153/K153</f>
        <v/>
      </c>
    </row>
    <row r="154">
      <c r="A154" s="1" t="n">
        <v>153</v>
      </c>
      <c r="B154" s="2" t="inlineStr">
        <is>
          <t>Argentina</t>
        </is>
      </c>
      <c r="C154" s="2" t="inlineStr">
        <is>
          <t>Nico Paz</t>
        </is>
      </c>
      <c r="D154" s="2" t="inlineStr">
        <is>
          <t>Médio</t>
        </is>
      </c>
      <c r="E154" s="2" t="inlineStr">
        <is>
          <t>Como 1907</t>
        </is>
      </c>
      <c r="F154">
        <f>VLOOKUP(E154,Clubes!B$2:D$438,2)</f>
        <v/>
      </c>
      <c r="G154">
        <f>VLOOKUP(E154,Clubes!B$2:D$438,3)</f>
        <v/>
      </c>
      <c r="H154" s="2" t="n">
        <v>38</v>
      </c>
      <c r="J154">
        <f>I154/H154</f>
        <v/>
      </c>
      <c r="K154">
        <f>H154*90</f>
        <v/>
      </c>
      <c r="M154">
        <f>L154/K154</f>
        <v/>
      </c>
    </row>
    <row r="155">
      <c r="A155" s="1" t="n">
        <v>154</v>
      </c>
      <c r="B155" s="2" t="inlineStr">
        <is>
          <t>Argentina</t>
        </is>
      </c>
      <c r="C155" s="2" t="inlineStr">
        <is>
          <t>Alexis Mac Allister</t>
        </is>
      </c>
      <c r="D155" s="2" t="inlineStr">
        <is>
          <t>Médio</t>
        </is>
      </c>
      <c r="E155" s="2" t="inlineStr">
        <is>
          <t>Liverpool</t>
        </is>
      </c>
      <c r="F155">
        <f>VLOOKUP(E155,Clubes!B$2:D$438,2)</f>
        <v/>
      </c>
      <c r="G155">
        <f>VLOOKUP(E155,Clubes!B$2:D$438,3)</f>
        <v/>
      </c>
      <c r="H155" s="2" t="n">
        <v>38</v>
      </c>
      <c r="J155">
        <f>I155/H155</f>
        <v/>
      </c>
      <c r="K155">
        <f>H155*90</f>
        <v/>
      </c>
      <c r="M155">
        <f>L155/K155</f>
        <v/>
      </c>
    </row>
    <row r="156">
      <c r="A156" s="1" t="n">
        <v>155</v>
      </c>
      <c r="B156" s="2" t="inlineStr">
        <is>
          <t>Argentina</t>
        </is>
      </c>
      <c r="C156" s="2" t="inlineStr">
        <is>
          <t>Enzo Fernández</t>
        </is>
      </c>
      <c r="D156" s="2" t="inlineStr">
        <is>
          <t>Médio</t>
        </is>
      </c>
      <c r="E156" s="2" t="inlineStr">
        <is>
          <t>Chelsea</t>
        </is>
      </c>
      <c r="F156">
        <f>VLOOKUP(E156,Clubes!B$2:D$438,2)</f>
        <v/>
      </c>
      <c r="G156">
        <f>VLOOKUP(E156,Clubes!B$2:D$438,3)</f>
        <v/>
      </c>
      <c r="H156" s="2" t="n">
        <v>38</v>
      </c>
      <c r="J156">
        <f>I156/H156</f>
        <v/>
      </c>
      <c r="K156">
        <f>H156*90</f>
        <v/>
      </c>
      <c r="M156">
        <f>L156/K156</f>
        <v/>
      </c>
    </row>
    <row r="157">
      <c r="A157" s="1" t="n">
        <v>156</v>
      </c>
      <c r="B157" s="2" t="inlineStr">
        <is>
          <t>Argentina</t>
        </is>
      </c>
      <c r="C157" s="2" t="inlineStr">
        <is>
          <t>Nicolás Capaldo</t>
        </is>
      </c>
      <c r="D157" s="2" t="inlineStr">
        <is>
          <t>Médio</t>
        </is>
      </c>
      <c r="E157" s="2" t="inlineStr">
        <is>
          <t>Hamburger SV</t>
        </is>
      </c>
      <c r="F157">
        <f>VLOOKUP(E157,Clubes!B$2:D$438,2)</f>
        <v/>
      </c>
      <c r="G157">
        <f>VLOOKUP(E157,Clubes!B$2:D$438,3)</f>
        <v/>
      </c>
      <c r="H157" s="2" t="n">
        <v>34</v>
      </c>
      <c r="J157">
        <f>I157/H157</f>
        <v/>
      </c>
      <c r="K157">
        <f>H157*90</f>
        <v/>
      </c>
      <c r="M157">
        <f>L157/K157</f>
        <v/>
      </c>
    </row>
    <row r="158">
      <c r="A158" s="1" t="n">
        <v>157</v>
      </c>
      <c r="B158" s="2" t="inlineStr">
        <is>
          <t>Argentina</t>
        </is>
      </c>
      <c r="C158" s="2" t="inlineStr">
        <is>
          <t>Lautaro Martínez</t>
        </is>
      </c>
      <c r="D158" s="2" t="inlineStr">
        <is>
          <t>Avançado</t>
        </is>
      </c>
      <c r="E158" s="2" t="inlineStr">
        <is>
          <t>Internazionale</t>
        </is>
      </c>
      <c r="F158">
        <f>VLOOKUP(E158,Clubes!B$2:D$438,2)</f>
        <v/>
      </c>
      <c r="G158">
        <f>VLOOKUP(E158,Clubes!B$2:D$438,3)</f>
        <v/>
      </c>
      <c r="H158" s="2" t="n">
        <v>38</v>
      </c>
      <c r="J158">
        <f>I158/H158</f>
        <v/>
      </c>
      <c r="K158">
        <f>H158*90</f>
        <v/>
      </c>
      <c r="M158">
        <f>L158/K158</f>
        <v/>
      </c>
    </row>
    <row r="159">
      <c r="A159" s="1" t="n">
        <v>158</v>
      </c>
      <c r="B159" s="2" t="inlineStr">
        <is>
          <t>Argentina</t>
        </is>
      </c>
      <c r="C159" s="2" t="inlineStr">
        <is>
          <t>Joaquín Panichelli</t>
        </is>
      </c>
      <c r="D159" s="2" t="inlineStr">
        <is>
          <t>Avançado</t>
        </is>
      </c>
      <c r="E159" s="2" t="inlineStr">
        <is>
          <t>Strasbourg</t>
        </is>
      </c>
      <c r="F159">
        <f>VLOOKUP(E159,Clubes!B$2:D$438,2)</f>
        <v/>
      </c>
      <c r="G159">
        <f>VLOOKUP(E159,Clubes!B$2:D$438,3)</f>
        <v/>
      </c>
      <c r="H159" s="2" t="n">
        <v>34</v>
      </c>
      <c r="J159">
        <f>I159/H159</f>
        <v/>
      </c>
      <c r="K159">
        <f>H159*90</f>
        <v/>
      </c>
      <c r="M159">
        <f>L159/K159</f>
        <v/>
      </c>
    </row>
    <row r="160">
      <c r="A160" s="1" t="n">
        <v>159</v>
      </c>
      <c r="B160" s="2" t="inlineStr">
        <is>
          <t>Argentina</t>
        </is>
      </c>
      <c r="C160" s="2" t="inlineStr">
        <is>
          <t>Julián Alvarez</t>
        </is>
      </c>
      <c r="D160" s="2" t="inlineStr">
        <is>
          <t>Avançado</t>
        </is>
      </c>
      <c r="E160" s="2" t="inlineStr">
        <is>
          <t>Atlético de Madrid</t>
        </is>
      </c>
      <c r="F160">
        <f>VLOOKUP(E160,Clubes!B$2:D$438,2)</f>
        <v/>
      </c>
      <c r="G160">
        <f>VLOOKUP(E160,Clubes!B$2:D$438,3)</f>
        <v/>
      </c>
      <c r="H160" s="2" t="n">
        <v>34</v>
      </c>
      <c r="J160">
        <f>I160/H160</f>
        <v/>
      </c>
      <c r="K160">
        <f>H160*90</f>
        <v/>
      </c>
      <c r="M160">
        <f>L160/K160</f>
        <v/>
      </c>
    </row>
    <row r="161">
      <c r="A161" s="1" t="n">
        <v>160</v>
      </c>
      <c r="B161" s="2" t="inlineStr">
        <is>
          <t>Argentina</t>
        </is>
      </c>
      <c r="C161" s="2" t="inlineStr">
        <is>
          <t>Lionel Messi</t>
        </is>
      </c>
      <c r="D161" s="2" t="inlineStr">
        <is>
          <t>Avançado</t>
        </is>
      </c>
      <c r="E161" s="2" t="inlineStr">
        <is>
          <t>Inter Miami CF</t>
        </is>
      </c>
      <c r="F161">
        <f>VLOOKUP(E161,Clubes!B$2:D$438,2)</f>
        <v/>
      </c>
      <c r="G161">
        <f>VLOOKUP(E161,Clubes!B$2:D$438,3)</f>
        <v/>
      </c>
      <c r="H161" s="2" t="n">
        <v>34</v>
      </c>
      <c r="J161">
        <f>I161/H161</f>
        <v/>
      </c>
      <c r="K161">
        <f>H161*90</f>
        <v/>
      </c>
      <c r="M161">
        <f>L161/K161</f>
        <v/>
      </c>
    </row>
    <row r="162">
      <c r="A162" s="1" t="n">
        <v>161</v>
      </c>
      <c r="B162" s="2" t="inlineStr">
        <is>
          <t>Argentina</t>
        </is>
      </c>
      <c r="C162" s="2" t="inlineStr">
        <is>
          <t>Nicolás González</t>
        </is>
      </c>
      <c r="D162" s="2" t="inlineStr">
        <is>
          <t>Avançado</t>
        </is>
      </c>
      <c r="E162" s="2" t="inlineStr">
        <is>
          <t>Atlético de Madrid</t>
        </is>
      </c>
      <c r="F162">
        <f>VLOOKUP(E162,Clubes!B$2:D$438,2)</f>
        <v/>
      </c>
      <c r="G162">
        <f>VLOOKUP(E162,Clubes!B$2:D$438,3)</f>
        <v/>
      </c>
      <c r="H162" s="2" t="n">
        <v>34</v>
      </c>
      <c r="J162">
        <f>I162/H162</f>
        <v/>
      </c>
      <c r="K162">
        <f>H162*90</f>
        <v/>
      </c>
      <c r="M162">
        <f>L162/K162</f>
        <v/>
      </c>
    </row>
    <row r="163">
      <c r="A163" s="1" t="n">
        <v>162</v>
      </c>
      <c r="B163" s="2" t="inlineStr">
        <is>
          <t>Argentina</t>
        </is>
      </c>
      <c r="C163" s="2" t="inlineStr">
        <is>
          <t>Giuliano Simeone</t>
        </is>
      </c>
      <c r="D163" s="2" t="inlineStr">
        <is>
          <t>Avançado</t>
        </is>
      </c>
      <c r="E163" s="2" t="inlineStr">
        <is>
          <t>Atlético de Madrid</t>
        </is>
      </c>
      <c r="F163">
        <f>VLOOKUP(E163,Clubes!B$2:D$438,2)</f>
        <v/>
      </c>
      <c r="G163">
        <f>VLOOKUP(E163,Clubes!B$2:D$438,3)</f>
        <v/>
      </c>
      <c r="H163" s="2" t="n">
        <v>34</v>
      </c>
      <c r="J163">
        <f>I163/H163</f>
        <v/>
      </c>
      <c r="K163">
        <f>H163*90</f>
        <v/>
      </c>
      <c r="M163">
        <f>L163/K163</f>
        <v/>
      </c>
    </row>
    <row r="164">
      <c r="A164" s="1" t="n">
        <v>163</v>
      </c>
      <c r="B164" s="2" t="inlineStr">
        <is>
          <t>Argentina</t>
        </is>
      </c>
      <c r="C164" s="2" t="inlineStr">
        <is>
          <t>Flaco López</t>
        </is>
      </c>
      <c r="D164" s="2" t="inlineStr">
        <is>
          <t>Avançado</t>
        </is>
      </c>
      <c r="E164" s="2" t="inlineStr">
        <is>
          <t>Palmeiras</t>
        </is>
      </c>
      <c r="F164">
        <f>VLOOKUP(E164,Clubes!B$2:D$438,2)</f>
        <v/>
      </c>
      <c r="G164">
        <f>VLOOKUP(E164,Clubes!B$2:D$438,3)</f>
        <v/>
      </c>
      <c r="H164" s="2" t="n">
        <v>38</v>
      </c>
      <c r="J164">
        <f>I164/H164</f>
        <v/>
      </c>
      <c r="K164">
        <f>H164*90</f>
        <v/>
      </c>
      <c r="M164">
        <f>L164/K164</f>
        <v/>
      </c>
    </row>
    <row r="165">
      <c r="A165" s="1" t="n">
        <v>164</v>
      </c>
      <c r="B165" s="2" t="inlineStr">
        <is>
          <t>Argentina</t>
        </is>
      </c>
      <c r="C165" s="2" t="inlineStr">
        <is>
          <t>Franco Mastantuono</t>
        </is>
      </c>
      <c r="D165" s="2" t="inlineStr">
        <is>
          <t>Avançado</t>
        </is>
      </c>
      <c r="E165" s="2" t="inlineStr">
        <is>
          <t>Real Madrid</t>
        </is>
      </c>
      <c r="F165">
        <f>VLOOKUP(E165,Clubes!B$2:D$438,2)</f>
        <v/>
      </c>
      <c r="G165">
        <f>VLOOKUP(E165,Clubes!B$2:D$438,3)</f>
        <v/>
      </c>
      <c r="H165" s="2" t="n">
        <v>38</v>
      </c>
      <c r="J165">
        <f>I165/H165</f>
        <v/>
      </c>
      <c r="K165">
        <f>H165*90</f>
        <v/>
      </c>
      <c r="M165">
        <f>L165/K165</f>
        <v/>
      </c>
    </row>
    <row r="166">
      <c r="A166" s="1" t="n">
        <v>165</v>
      </c>
      <c r="B166" s="2" t="inlineStr">
        <is>
          <t>Argentina</t>
        </is>
      </c>
      <c r="C166" s="2" t="inlineStr">
        <is>
          <t>Gianluca Prestianni</t>
        </is>
      </c>
      <c r="D166" s="2" t="inlineStr">
        <is>
          <t>Avançado</t>
        </is>
      </c>
      <c r="E166" s="2" t="inlineStr">
        <is>
          <t>Benfica</t>
        </is>
      </c>
      <c r="F166">
        <f>VLOOKUP(E166,Clubes!B$2:D$438,2)</f>
        <v/>
      </c>
      <c r="G166">
        <f>VLOOKUP(E166,Clubes!B$2:D$438,3)</f>
        <v/>
      </c>
      <c r="H166" s="2" t="n">
        <v>34</v>
      </c>
      <c r="J166">
        <f>I166/H166</f>
        <v/>
      </c>
      <c r="K166">
        <f>H166*90</f>
        <v/>
      </c>
      <c r="M166">
        <f>L166/K166</f>
        <v/>
      </c>
    </row>
    <row r="167">
      <c r="A167" s="1" t="n">
        <v>166</v>
      </c>
      <c r="B167" s="2" t="inlineStr">
        <is>
          <t>Argentina</t>
        </is>
      </c>
      <c r="C167" s="2" t="inlineStr">
        <is>
          <t>Joaquin Freitas</t>
        </is>
      </c>
      <c r="D167" s="2" t="inlineStr">
        <is>
          <t>Avançado</t>
        </is>
      </c>
      <c r="E167" s="2" t="inlineStr">
        <is>
          <t>River Plate</t>
        </is>
      </c>
      <c r="F167">
        <f>VLOOKUP(E167,Clubes!B$2:D$438,2)</f>
        <v/>
      </c>
      <c r="G167">
        <f>VLOOKUP(E167,Clubes!B$2:D$438,3)</f>
        <v/>
      </c>
      <c r="H167" s="2" t="n">
        <v>32</v>
      </c>
      <c r="J167">
        <f>I167/H167</f>
        <v/>
      </c>
      <c r="K167">
        <f>H167*90</f>
        <v/>
      </c>
      <c r="M167">
        <f>L167/K167</f>
        <v/>
      </c>
    </row>
    <row r="168">
      <c r="A168" s="1" t="n">
        <v>167</v>
      </c>
      <c r="B168" s="2" t="inlineStr">
        <is>
          <t>Australia</t>
        </is>
      </c>
      <c r="C168" s="2" t="inlineStr">
        <is>
          <t>Mathew Ryan</t>
        </is>
      </c>
      <c r="D168" s="2" t="inlineStr">
        <is>
          <t>Guarda Redes</t>
        </is>
      </c>
      <c r="E168" s="2" t="inlineStr">
        <is>
          <t>Levante</t>
        </is>
      </c>
      <c r="F168">
        <f>VLOOKUP(E168,Clubes!B$2:D$438,2)</f>
        <v/>
      </c>
      <c r="G168">
        <f>VLOOKUP(E168,Clubes!B$2:D$438,3)</f>
        <v/>
      </c>
      <c r="H168" s="2" t="n">
        <v>38</v>
      </c>
      <c r="J168">
        <f>I168/H168</f>
        <v/>
      </c>
      <c r="K168">
        <f>H168*90</f>
        <v/>
      </c>
      <c r="M168">
        <f>L168/K168</f>
        <v/>
      </c>
    </row>
    <row r="169">
      <c r="A169" s="1" t="n">
        <v>168</v>
      </c>
      <c r="B169" s="2" t="inlineStr">
        <is>
          <t>Australia</t>
        </is>
      </c>
      <c r="C169" s="2" t="inlineStr">
        <is>
          <t>Paul Izzo</t>
        </is>
      </c>
      <c r="D169" s="2" t="inlineStr">
        <is>
          <t>Guarda Redes</t>
        </is>
      </c>
      <c r="E169" s="2" t="inlineStr">
        <is>
          <t>Randers</t>
        </is>
      </c>
      <c r="F169">
        <f>VLOOKUP(E169,Clubes!B$2:D$438,2)</f>
        <v/>
      </c>
      <c r="G169">
        <f>VLOOKUP(E169,Clubes!B$2:D$438,3)</f>
        <v/>
      </c>
      <c r="H169" s="2" t="n">
        <v>34</v>
      </c>
      <c r="J169">
        <f>I169/H169</f>
        <v/>
      </c>
      <c r="K169">
        <f>H169*90</f>
        <v/>
      </c>
      <c r="M169">
        <f>L169/K169</f>
        <v/>
      </c>
    </row>
    <row r="170">
      <c r="A170" s="1" t="n">
        <v>169</v>
      </c>
      <c r="B170" s="2" t="inlineStr">
        <is>
          <t>Australia</t>
        </is>
      </c>
      <c r="C170" s="2" t="inlineStr">
        <is>
          <t>Patrick Beach</t>
        </is>
      </c>
      <c r="D170" s="2" t="inlineStr">
        <is>
          <t>Guarda Redes</t>
        </is>
      </c>
      <c r="E170" s="2" t="inlineStr">
        <is>
          <t>Melbourne City</t>
        </is>
      </c>
      <c r="F170">
        <f>VLOOKUP(E170,Clubes!B$2:D$438,2)</f>
        <v/>
      </c>
      <c r="G170">
        <f>VLOOKUP(E170,Clubes!B$2:D$438,3)</f>
        <v/>
      </c>
      <c r="H170" s="2" t="n">
        <v>26</v>
      </c>
      <c r="J170">
        <f>I170/H170</f>
        <v/>
      </c>
      <c r="K170">
        <f>H170*90</f>
        <v/>
      </c>
      <c r="M170">
        <f>L170/K170</f>
        <v/>
      </c>
    </row>
    <row r="171">
      <c r="A171" s="1" t="n">
        <v>170</v>
      </c>
      <c r="B171" s="2" t="inlineStr">
        <is>
          <t>Australia</t>
        </is>
      </c>
      <c r="C171" s="2" t="inlineStr">
        <is>
          <t>Jason Geria</t>
        </is>
      </c>
      <c r="D171" s="2" t="inlineStr">
        <is>
          <t>Defesa</t>
        </is>
      </c>
      <c r="E171" s="2" t="inlineStr">
        <is>
          <t>Albirex Niigata</t>
        </is>
      </c>
      <c r="F171">
        <f>VLOOKUP(E171,Clubes!B$2:D$438,2)</f>
        <v/>
      </c>
      <c r="G171">
        <f>VLOOKUP(E171,Clubes!B$2:D$438,3)</f>
        <v/>
      </c>
      <c r="H171" s="2" t="n">
        <v>38</v>
      </c>
      <c r="J171">
        <f>I171/H171</f>
        <v/>
      </c>
      <c r="K171">
        <f>H171*90</f>
        <v/>
      </c>
      <c r="M171">
        <f>L171/K171</f>
        <v/>
      </c>
    </row>
    <row r="172">
      <c r="A172" s="1" t="n">
        <v>171</v>
      </c>
      <c r="B172" s="2" t="inlineStr">
        <is>
          <t>Australia</t>
        </is>
      </c>
      <c r="C172" s="2" t="inlineStr">
        <is>
          <t>Milos Degenek</t>
        </is>
      </c>
      <c r="D172" s="2" t="inlineStr">
        <is>
          <t>Defesa</t>
        </is>
      </c>
      <c r="E172" s="2" t="inlineStr">
        <is>
          <t>APOEL</t>
        </is>
      </c>
      <c r="F172">
        <f>VLOOKUP(E172,Clubes!B$2:D$438,2)</f>
        <v/>
      </c>
      <c r="G172">
        <f>VLOOKUP(E172,Clubes!B$2:D$438,3)</f>
        <v/>
      </c>
      <c r="H172" s="2" t="n">
        <v>34</v>
      </c>
      <c r="J172">
        <f>I172/H172</f>
        <v/>
      </c>
      <c r="K172">
        <f>H172*90</f>
        <v/>
      </c>
      <c r="M172">
        <f>L172/K172</f>
        <v/>
      </c>
    </row>
    <row r="173">
      <c r="A173" s="1" t="n">
        <v>172</v>
      </c>
      <c r="B173" s="2" t="inlineStr">
        <is>
          <t>Australia</t>
        </is>
      </c>
      <c r="C173" s="2" t="inlineStr">
        <is>
          <t>Alessandro Circati</t>
        </is>
      </c>
      <c r="D173" s="2" t="inlineStr">
        <is>
          <t>Defesa</t>
        </is>
      </c>
      <c r="E173" s="2" t="inlineStr">
        <is>
          <t>Parma</t>
        </is>
      </c>
      <c r="F173">
        <f>VLOOKUP(E173,Clubes!B$2:D$438,2)</f>
        <v/>
      </c>
      <c r="G173">
        <f>VLOOKUP(E173,Clubes!B$2:D$438,3)</f>
        <v/>
      </c>
      <c r="H173" s="2" t="n">
        <v>38</v>
      </c>
      <c r="J173">
        <f>I173/H173</f>
        <v/>
      </c>
      <c r="K173">
        <f>H173*90</f>
        <v/>
      </c>
      <c r="M173">
        <f>L173/K173</f>
        <v/>
      </c>
    </row>
    <row r="174">
      <c r="A174" s="1" t="n">
        <v>173</v>
      </c>
      <c r="B174" s="2" t="inlineStr">
        <is>
          <t>Australia</t>
        </is>
      </c>
      <c r="C174" s="2" t="inlineStr">
        <is>
          <t>Kai Trewin</t>
        </is>
      </c>
      <c r="D174" s="2" t="inlineStr">
        <is>
          <t>Defesa</t>
        </is>
      </c>
      <c r="E174" s="2" t="inlineStr">
        <is>
          <t>New York City FC</t>
        </is>
      </c>
      <c r="F174">
        <f>VLOOKUP(E174,Clubes!B$2:D$438,2)</f>
        <v/>
      </c>
      <c r="G174">
        <f>VLOOKUP(E174,Clubes!B$2:D$438,3)</f>
        <v/>
      </c>
      <c r="H174" s="2" t="n">
        <v>34</v>
      </c>
      <c r="J174">
        <f>I174/H174</f>
        <v/>
      </c>
      <c r="K174">
        <f>H174*90</f>
        <v/>
      </c>
      <c r="M174">
        <f>L174/K174</f>
        <v/>
      </c>
    </row>
    <row r="175">
      <c r="A175" s="1" t="n">
        <v>174</v>
      </c>
      <c r="B175" s="2" t="inlineStr">
        <is>
          <t>Australia</t>
        </is>
      </c>
      <c r="C175" s="2" t="inlineStr">
        <is>
          <t>Harry Souttar</t>
        </is>
      </c>
      <c r="D175" s="2" t="inlineStr">
        <is>
          <t>Defesa</t>
        </is>
      </c>
      <c r="E175" s="2" t="inlineStr">
        <is>
          <t>Leicester City</t>
        </is>
      </c>
      <c r="F175">
        <f>VLOOKUP(E175,Clubes!B$2:D$438,2)</f>
        <v/>
      </c>
      <c r="G175">
        <f>VLOOKUP(E175,Clubes!B$2:D$438,3)</f>
        <v/>
      </c>
      <c r="H175" s="2" t="n">
        <v>46</v>
      </c>
      <c r="J175">
        <f>I175/H175</f>
        <v/>
      </c>
      <c r="K175">
        <f>H175*90</f>
        <v/>
      </c>
      <c r="M175">
        <f>L175/K175</f>
        <v/>
      </c>
    </row>
    <row r="176">
      <c r="A176" s="1" t="n">
        <v>175</v>
      </c>
      <c r="B176" s="2" t="inlineStr">
        <is>
          <t>Australia</t>
        </is>
      </c>
      <c r="C176" s="2" t="inlineStr">
        <is>
          <t>Cameron Burgess</t>
        </is>
      </c>
      <c r="D176" s="2" t="inlineStr">
        <is>
          <t>Defesa</t>
        </is>
      </c>
      <c r="E176" s="2" t="inlineStr">
        <is>
          <t>Swansea City</t>
        </is>
      </c>
      <c r="F176">
        <f>VLOOKUP(E176,Clubes!B$2:D$438,2)</f>
        <v/>
      </c>
      <c r="G176">
        <f>VLOOKUP(E176,Clubes!B$2:D$438,3)</f>
        <v/>
      </c>
      <c r="H176" s="2" t="n">
        <v>46</v>
      </c>
      <c r="J176">
        <f>I176/H176</f>
        <v/>
      </c>
      <c r="K176">
        <f>H176*90</f>
        <v/>
      </c>
      <c r="M176">
        <f>L176/K176</f>
        <v/>
      </c>
    </row>
    <row r="177">
      <c r="A177" s="1" t="n">
        <v>176</v>
      </c>
      <c r="B177" s="2" t="inlineStr">
        <is>
          <t>Australia</t>
        </is>
      </c>
      <c r="C177" s="2" t="inlineStr">
        <is>
          <t>Lucas Herrington</t>
        </is>
      </c>
      <c r="D177" s="2" t="inlineStr">
        <is>
          <t>Defesa</t>
        </is>
      </c>
      <c r="E177" s="2" t="inlineStr">
        <is>
          <t>Colorado Rapids</t>
        </is>
      </c>
      <c r="F177">
        <f>VLOOKUP(E177,Clubes!B$2:D$438,2)</f>
        <v/>
      </c>
      <c r="G177">
        <f>VLOOKUP(E177,Clubes!B$2:D$438,3)</f>
        <v/>
      </c>
      <c r="H177" s="2" t="n">
        <v>34</v>
      </c>
      <c r="J177">
        <f>I177/H177</f>
        <v/>
      </c>
      <c r="K177">
        <f>H177*90</f>
        <v/>
      </c>
      <c r="M177">
        <f>L177/K177</f>
        <v/>
      </c>
    </row>
    <row r="178">
      <c r="A178" s="1" t="n">
        <v>177</v>
      </c>
      <c r="B178" s="2" t="inlineStr">
        <is>
          <t>Australia</t>
        </is>
      </c>
      <c r="C178" s="2" t="inlineStr">
        <is>
          <t>Jacob Italiano</t>
        </is>
      </c>
      <c r="D178" s="2" t="inlineStr">
        <is>
          <t>Defesa</t>
        </is>
      </c>
      <c r="E178" s="2" t="inlineStr">
        <is>
          <t>Grazer AK</t>
        </is>
      </c>
      <c r="F178">
        <f>VLOOKUP(E178,Clubes!B$2:D$438,2)</f>
        <v/>
      </c>
      <c r="G178">
        <f>VLOOKUP(E178,Clubes!B$2:D$438,3)</f>
        <v/>
      </c>
      <c r="H178" s="2" t="n">
        <v>32</v>
      </c>
      <c r="J178">
        <f>I178/H178</f>
        <v/>
      </c>
      <c r="K178">
        <f>H178*90</f>
        <v/>
      </c>
      <c r="M178">
        <f>L178/K178</f>
        <v/>
      </c>
    </row>
    <row r="179">
      <c r="A179" s="1" t="n">
        <v>178</v>
      </c>
      <c r="B179" s="2" t="inlineStr">
        <is>
          <t>Australia</t>
        </is>
      </c>
      <c r="C179" s="2" t="inlineStr">
        <is>
          <t>Jordan Bos</t>
        </is>
      </c>
      <c r="D179" s="2" t="inlineStr">
        <is>
          <t>Defesa</t>
        </is>
      </c>
      <c r="E179" s="2" t="inlineStr">
        <is>
          <t>Feyenoord</t>
        </is>
      </c>
      <c r="F179">
        <f>VLOOKUP(E179,Clubes!B$2:D$438,2)</f>
        <v/>
      </c>
      <c r="G179">
        <f>VLOOKUP(E179,Clubes!B$2:D$438,3)</f>
        <v/>
      </c>
      <c r="H179" s="2" t="n">
        <v>40</v>
      </c>
      <c r="J179">
        <f>I179/H179</f>
        <v/>
      </c>
      <c r="K179">
        <f>H179*90</f>
        <v/>
      </c>
      <c r="M179">
        <f>L179/K179</f>
        <v/>
      </c>
    </row>
    <row r="180">
      <c r="A180" s="1" t="n">
        <v>179</v>
      </c>
      <c r="B180" s="2" t="inlineStr">
        <is>
          <t>Australia</t>
        </is>
      </c>
      <c r="C180" s="2" t="inlineStr">
        <is>
          <t>Aziz Behich</t>
        </is>
      </c>
      <c r="D180" s="2" t="inlineStr">
        <is>
          <t>Defesa</t>
        </is>
      </c>
      <c r="E180" s="2" t="inlineStr">
        <is>
          <t>Melbourne City</t>
        </is>
      </c>
      <c r="F180">
        <f>VLOOKUP(E180,Clubes!B$2:D$438,2)</f>
        <v/>
      </c>
      <c r="G180">
        <f>VLOOKUP(E180,Clubes!B$2:D$438,3)</f>
        <v/>
      </c>
      <c r="H180" s="2" t="n">
        <v>26</v>
      </c>
      <c r="J180">
        <f>I180/H180</f>
        <v/>
      </c>
      <c r="K180">
        <f>H180*90</f>
        <v/>
      </c>
      <c r="M180">
        <f>L180/K180</f>
        <v/>
      </c>
    </row>
    <row r="181">
      <c r="A181" s="1" t="n">
        <v>180</v>
      </c>
      <c r="B181" s="2" t="inlineStr">
        <is>
          <t>Australia</t>
        </is>
      </c>
      <c r="C181" s="2" t="inlineStr">
        <is>
          <t>Aiden O’Neill</t>
        </is>
      </c>
      <c r="D181" s="2" t="inlineStr">
        <is>
          <t>Médio</t>
        </is>
      </c>
      <c r="E181" s="2" t="inlineStr">
        <is>
          <t>New York City FC</t>
        </is>
      </c>
      <c r="F181">
        <f>VLOOKUP(E181,Clubes!B$2:D$438,2)</f>
        <v/>
      </c>
      <c r="G181">
        <f>VLOOKUP(E181,Clubes!B$2:D$438,3)</f>
        <v/>
      </c>
      <c r="H181" s="2" t="n">
        <v>34</v>
      </c>
      <c r="J181">
        <f>I181/H181</f>
        <v/>
      </c>
      <c r="K181">
        <f>H181*90</f>
        <v/>
      </c>
      <c r="M181">
        <f>L181/K181</f>
        <v/>
      </c>
    </row>
    <row r="182">
      <c r="A182" s="1" t="n">
        <v>181</v>
      </c>
      <c r="B182" s="2" t="inlineStr">
        <is>
          <t>Australia</t>
        </is>
      </c>
      <c r="C182" s="2" t="inlineStr">
        <is>
          <t>Cameron Devlin</t>
        </is>
      </c>
      <c r="D182" s="2" t="inlineStr">
        <is>
          <t>Médio</t>
        </is>
      </c>
      <c r="E182" s="2" t="inlineStr">
        <is>
          <t>Hearts</t>
        </is>
      </c>
      <c r="F182">
        <f>VLOOKUP(E182,Clubes!B$2:D$438,2)</f>
        <v/>
      </c>
      <c r="G182">
        <f>VLOOKUP(E182,Clubes!B$2:D$438,3)</f>
        <v/>
      </c>
      <c r="H182" s="2" t="n">
        <v>38</v>
      </c>
      <c r="J182">
        <f>I182/H182</f>
        <v/>
      </c>
      <c r="K182">
        <f>H182*90</f>
        <v/>
      </c>
      <c r="M182">
        <f>L182/K182</f>
        <v/>
      </c>
    </row>
    <row r="183">
      <c r="A183" s="1" t="n">
        <v>182</v>
      </c>
      <c r="B183" s="2" t="inlineStr">
        <is>
          <t>Australia</t>
        </is>
      </c>
      <c r="C183" s="2" t="inlineStr">
        <is>
          <t>Paul Okon</t>
        </is>
      </c>
      <c r="D183" s="2" t="inlineStr">
        <is>
          <t>Médio</t>
        </is>
      </c>
      <c r="E183" s="2" t="inlineStr">
        <is>
          <t>Sydney FC</t>
        </is>
      </c>
      <c r="F183">
        <f>VLOOKUP(E183,Clubes!B$2:D$438,2)</f>
        <v/>
      </c>
      <c r="G183">
        <f>VLOOKUP(E183,Clubes!B$2:D$438,3)</f>
        <v/>
      </c>
      <c r="H183" s="2" t="n">
        <v>26</v>
      </c>
      <c r="J183">
        <f>I183/H183</f>
        <v/>
      </c>
      <c r="K183">
        <f>H183*90</f>
        <v/>
      </c>
      <c r="M183">
        <f>L183/K183</f>
        <v/>
      </c>
    </row>
    <row r="184">
      <c r="A184" s="1" t="n">
        <v>183</v>
      </c>
      <c r="B184" s="2" t="inlineStr">
        <is>
          <t>Australia</t>
        </is>
      </c>
      <c r="C184" s="2" t="inlineStr">
        <is>
          <t>Connor Metcalfe</t>
        </is>
      </c>
      <c r="D184" s="2" t="inlineStr">
        <is>
          <t>Médio</t>
        </is>
      </c>
      <c r="E184" s="2" t="inlineStr">
        <is>
          <t>FC St. Pauli</t>
        </is>
      </c>
      <c r="F184">
        <f>VLOOKUP(E184,Clubes!B$2:D$438,2)</f>
        <v/>
      </c>
      <c r="G184">
        <f>VLOOKUP(E184,Clubes!B$2:D$438,3)</f>
        <v/>
      </c>
      <c r="H184" s="2" t="n">
        <v>34</v>
      </c>
      <c r="J184">
        <f>I184/H184</f>
        <v/>
      </c>
      <c r="K184">
        <f>H184*90</f>
        <v/>
      </c>
      <c r="M184">
        <f>L184/K184</f>
        <v/>
      </c>
    </row>
    <row r="185">
      <c r="A185" s="1" t="n">
        <v>184</v>
      </c>
      <c r="B185" s="2" t="inlineStr">
        <is>
          <t>Australia</t>
        </is>
      </c>
      <c r="C185" s="2" t="inlineStr">
        <is>
          <t>Jackson Irvine</t>
        </is>
      </c>
      <c r="D185" s="2" t="inlineStr">
        <is>
          <t>Médio</t>
        </is>
      </c>
      <c r="E185" s="2" t="inlineStr">
        <is>
          <t>FC St. Pauli</t>
        </is>
      </c>
      <c r="F185">
        <f>VLOOKUP(E185,Clubes!B$2:D$438,2)</f>
        <v/>
      </c>
      <c r="G185">
        <f>VLOOKUP(E185,Clubes!B$2:D$438,3)</f>
        <v/>
      </c>
      <c r="H185" s="2" t="n">
        <v>34</v>
      </c>
      <c r="J185">
        <f>I185/H185</f>
        <v/>
      </c>
      <c r="K185">
        <f>H185*90</f>
        <v/>
      </c>
      <c r="M185">
        <f>L185/K185</f>
        <v/>
      </c>
    </row>
    <row r="186">
      <c r="A186" s="1" t="n">
        <v>185</v>
      </c>
      <c r="B186" s="2" t="inlineStr">
        <is>
          <t>Australia</t>
        </is>
      </c>
      <c r="C186" s="2" t="inlineStr">
        <is>
          <t>Ajdin Hrustic</t>
        </is>
      </c>
      <c r="D186" s="2" t="inlineStr">
        <is>
          <t>Médio</t>
        </is>
      </c>
      <c r="E186" s="2" t="inlineStr">
        <is>
          <t>Heracles Almelo</t>
        </is>
      </c>
      <c r="F186">
        <f>VLOOKUP(E186,Clubes!B$2:D$438,2)</f>
        <v/>
      </c>
      <c r="G186">
        <f>VLOOKUP(E186,Clubes!B$2:D$438,3)</f>
        <v/>
      </c>
      <c r="H186" s="2" t="n">
        <v>34</v>
      </c>
      <c r="J186">
        <f>I186/H186</f>
        <v/>
      </c>
      <c r="K186">
        <f>H186*90</f>
        <v/>
      </c>
      <c r="M186">
        <f>L186/K186</f>
        <v/>
      </c>
    </row>
    <row r="187">
      <c r="A187" s="1" t="n">
        <v>186</v>
      </c>
      <c r="B187" s="2" t="inlineStr">
        <is>
          <t>Australia</t>
        </is>
      </c>
      <c r="C187" s="2" t="inlineStr">
        <is>
          <t>Mathew Leckie</t>
        </is>
      </c>
      <c r="D187" s="2" t="inlineStr">
        <is>
          <t>Avançado</t>
        </is>
      </c>
      <c r="E187" s="2" t="inlineStr">
        <is>
          <t>Melbourne City</t>
        </is>
      </c>
      <c r="F187">
        <f>VLOOKUP(E187,Clubes!B$2:D$438,2)</f>
        <v/>
      </c>
      <c r="G187">
        <f>VLOOKUP(E187,Clubes!B$2:D$438,3)</f>
        <v/>
      </c>
      <c r="H187" s="2" t="n">
        <v>26</v>
      </c>
      <c r="J187">
        <f>I187/H187</f>
        <v/>
      </c>
      <c r="K187">
        <f>H187*90</f>
        <v/>
      </c>
      <c r="M187">
        <f>L187/K187</f>
        <v/>
      </c>
    </row>
    <row r="188">
      <c r="A188" s="1" t="n">
        <v>187</v>
      </c>
      <c r="B188" s="2" t="inlineStr">
        <is>
          <t>Australia</t>
        </is>
      </c>
      <c r="C188" s="2" t="inlineStr">
        <is>
          <t>Awer Mabil</t>
        </is>
      </c>
      <c r="D188" s="2" t="inlineStr">
        <is>
          <t>Avançado</t>
        </is>
      </c>
      <c r="E188" s="2" t="inlineStr">
        <is>
          <t>Castellón</t>
        </is>
      </c>
      <c r="F188">
        <f>VLOOKUP(E188,Clubes!B$2:D$438,2)</f>
        <v/>
      </c>
      <c r="G188">
        <f>VLOOKUP(E188,Clubes!B$2:D$438,3)</f>
        <v/>
      </c>
      <c r="H188" s="2" t="n">
        <v>42</v>
      </c>
      <c r="J188">
        <f>I188/H188</f>
        <v/>
      </c>
      <c r="K188">
        <f>H188*90</f>
        <v/>
      </c>
      <c r="M188">
        <f>L188/K188</f>
        <v/>
      </c>
    </row>
    <row r="189">
      <c r="A189" s="1" t="n">
        <v>188</v>
      </c>
      <c r="B189" s="2" t="inlineStr">
        <is>
          <t>Australia</t>
        </is>
      </c>
      <c r="C189" s="2" t="inlineStr">
        <is>
          <t>Cristian Volpato</t>
        </is>
      </c>
      <c r="D189" s="2" t="inlineStr">
        <is>
          <t>Avançado</t>
        </is>
      </c>
      <c r="E189" s="2" t="inlineStr">
        <is>
          <t>Sassuolo</t>
        </is>
      </c>
      <c r="F189">
        <f>VLOOKUP(E189,Clubes!B$2:D$438,2)</f>
        <v/>
      </c>
      <c r="G189">
        <f>VLOOKUP(E189,Clubes!B$2:D$438,3)</f>
        <v/>
      </c>
      <c r="H189" s="2" t="n">
        <v>40</v>
      </c>
      <c r="J189">
        <f>I189/H189</f>
        <v/>
      </c>
      <c r="K189">
        <f>H189*90</f>
        <v/>
      </c>
      <c r="M189">
        <f>L189/K189</f>
        <v/>
      </c>
    </row>
    <row r="190">
      <c r="A190" s="1" t="n">
        <v>189</v>
      </c>
      <c r="B190" s="2" t="inlineStr">
        <is>
          <t>Australia</t>
        </is>
      </c>
      <c r="C190" s="2" t="inlineStr">
        <is>
          <t>Mohamed Touré</t>
        </is>
      </c>
      <c r="D190" s="2" t="inlineStr">
        <is>
          <t>Avançado</t>
        </is>
      </c>
      <c r="E190" s="2" t="inlineStr">
        <is>
          <t>Norwich City</t>
        </is>
      </c>
      <c r="F190">
        <f>VLOOKUP(E190,Clubes!B$2:D$438,2)</f>
        <v/>
      </c>
      <c r="G190">
        <f>VLOOKUP(E190,Clubes!B$2:D$438,3)</f>
        <v/>
      </c>
      <c r="H190" s="2" t="n">
        <v>46</v>
      </c>
      <c r="J190">
        <f>I190/H190</f>
        <v/>
      </c>
      <c r="K190">
        <f>H190*90</f>
        <v/>
      </c>
      <c r="M190">
        <f>L190/K190</f>
        <v/>
      </c>
    </row>
    <row r="191">
      <c r="A191" s="1" t="n">
        <v>190</v>
      </c>
      <c r="B191" s="2" t="inlineStr">
        <is>
          <t>Australia</t>
        </is>
      </c>
      <c r="C191" s="2" t="inlineStr">
        <is>
          <t>Tete Yengi</t>
        </is>
      </c>
      <c r="D191" s="2" t="inlineStr">
        <is>
          <t>Avançado</t>
        </is>
      </c>
      <c r="E191" s="2" t="inlineStr">
        <is>
          <t>Machida Zelvia</t>
        </is>
      </c>
      <c r="F191">
        <f>VLOOKUP(E191,Clubes!B$2:D$438,2)</f>
        <v/>
      </c>
      <c r="G191">
        <f>VLOOKUP(E191,Clubes!B$2:D$438,3)</f>
        <v/>
      </c>
      <c r="H191" s="2" t="n">
        <v>38</v>
      </c>
      <c r="J191">
        <f>I191/H191</f>
        <v/>
      </c>
      <c r="K191">
        <f>H191*90</f>
        <v/>
      </c>
      <c r="M191">
        <f>L191/K191</f>
        <v/>
      </c>
    </row>
    <row r="192">
      <c r="A192" s="1" t="n">
        <v>191</v>
      </c>
      <c r="B192" s="2" t="inlineStr">
        <is>
          <t>Australia</t>
        </is>
      </c>
      <c r="C192" s="2" t="inlineStr">
        <is>
          <t>Nestory Irankunda</t>
        </is>
      </c>
      <c r="D192" s="2" t="inlineStr">
        <is>
          <t>Avançado</t>
        </is>
      </c>
      <c r="E192" s="2" t="inlineStr">
        <is>
          <t>Watford</t>
        </is>
      </c>
      <c r="F192">
        <f>VLOOKUP(E192,Clubes!B$2:D$438,2)</f>
        <v/>
      </c>
      <c r="G192">
        <f>VLOOKUP(E192,Clubes!B$2:D$438,3)</f>
        <v/>
      </c>
      <c r="H192" s="2" t="n">
        <v>32</v>
      </c>
      <c r="J192">
        <f>I192/H192</f>
        <v/>
      </c>
      <c r="K192">
        <f>H192*90</f>
        <v/>
      </c>
      <c r="M192">
        <f>L192/K192</f>
        <v/>
      </c>
    </row>
    <row r="193">
      <c r="A193" s="1" t="n">
        <v>192</v>
      </c>
      <c r="B193" s="2" t="inlineStr">
        <is>
          <t>Australia</t>
        </is>
      </c>
      <c r="C193" s="2" t="inlineStr">
        <is>
          <t>Nishan Velupillay</t>
        </is>
      </c>
      <c r="D193" s="2" t="inlineStr">
        <is>
          <t>Avançado</t>
        </is>
      </c>
      <c r="E193" s="2" t="inlineStr">
        <is>
          <t>Melbourne Victory</t>
        </is>
      </c>
      <c r="F193">
        <f>VLOOKUP(E193,Clubes!B$2:D$438,2)</f>
        <v/>
      </c>
      <c r="G193">
        <f>VLOOKUP(E193,Clubes!B$2:D$438,3)</f>
        <v/>
      </c>
      <c r="H193" s="2" t="n">
        <v>26</v>
      </c>
      <c r="J193">
        <f>I193/H193</f>
        <v/>
      </c>
      <c r="K193">
        <f>H193*90</f>
        <v/>
      </c>
      <c r="M193">
        <f>L193/K193</f>
        <v/>
      </c>
    </row>
    <row r="194">
      <c r="A194" s="1" t="n">
        <v>193</v>
      </c>
      <c r="B194" s="2" t="inlineStr">
        <is>
          <t>Austria</t>
        </is>
      </c>
      <c r="C194" s="2" t="inlineStr">
        <is>
          <t>Alexander Schlager</t>
        </is>
      </c>
      <c r="D194" s="2" t="inlineStr">
        <is>
          <t>Guarda Redes</t>
        </is>
      </c>
      <c r="E194" s="2" t="inlineStr">
        <is>
          <t>Red Bull Salzburg</t>
        </is>
      </c>
      <c r="F194">
        <f>VLOOKUP(E194,Clubes!B$2:D$438,2)</f>
        <v/>
      </c>
      <c r="G194">
        <f>VLOOKUP(E194,Clubes!B$2:D$438,3)</f>
        <v/>
      </c>
      <c r="H194" s="2" t="n">
        <v>32</v>
      </c>
      <c r="J194">
        <f>I194/H194</f>
        <v/>
      </c>
      <c r="K194">
        <f>H194*90</f>
        <v/>
      </c>
      <c r="M194">
        <f>L194/K194</f>
        <v/>
      </c>
    </row>
    <row r="195">
      <c r="A195" s="1" t="n">
        <v>194</v>
      </c>
      <c r="B195" s="2" t="inlineStr">
        <is>
          <t>Austria</t>
        </is>
      </c>
      <c r="C195" s="2" t="inlineStr">
        <is>
          <t>Florian Wiegele</t>
        </is>
      </c>
      <c r="D195" s="2" t="inlineStr">
        <is>
          <t>Guarda Redes</t>
        </is>
      </c>
      <c r="E195" s="2" t="inlineStr">
        <is>
          <t>Viktoria Plzeň</t>
        </is>
      </c>
      <c r="F195">
        <f>VLOOKUP(E195,Clubes!B$2:D$438,2)</f>
        <v/>
      </c>
      <c r="G195">
        <f>VLOOKUP(E195,Clubes!B$2:D$438,3)</f>
        <v/>
      </c>
      <c r="H195" s="2" t="n">
        <v>35</v>
      </c>
      <c r="J195">
        <f>I195/H195</f>
        <v/>
      </c>
      <c r="K195">
        <f>H195*90</f>
        <v/>
      </c>
      <c r="M195">
        <f>L195/K195</f>
        <v/>
      </c>
    </row>
    <row r="196">
      <c r="A196" s="1" t="n">
        <v>195</v>
      </c>
      <c r="B196" s="2" t="inlineStr">
        <is>
          <t>Austria</t>
        </is>
      </c>
      <c r="C196" s="2" t="inlineStr">
        <is>
          <t>Patrick Pentz</t>
        </is>
      </c>
      <c r="D196" s="2" t="inlineStr">
        <is>
          <t>Guarda Redes</t>
        </is>
      </c>
      <c r="E196" s="2" t="inlineStr">
        <is>
          <t>Brondby IF</t>
        </is>
      </c>
      <c r="F196">
        <f>VLOOKUP(E196,Clubes!B$2:D$438,2)</f>
        <v/>
      </c>
      <c r="G196">
        <f>VLOOKUP(E196,Clubes!B$2:D$438,3)</f>
        <v/>
      </c>
      <c r="H196" s="2" t="n">
        <v>32</v>
      </c>
      <c r="J196">
        <f>I196/H196</f>
        <v/>
      </c>
      <c r="K196">
        <f>H196*90</f>
        <v/>
      </c>
      <c r="M196">
        <f>L196/K196</f>
        <v/>
      </c>
    </row>
    <row r="197">
      <c r="A197" s="1" t="n">
        <v>196</v>
      </c>
      <c r="B197" s="2" t="inlineStr">
        <is>
          <t>Austria</t>
        </is>
      </c>
      <c r="C197" s="2" t="inlineStr">
        <is>
          <t>Stefan Posch</t>
        </is>
      </c>
      <c r="D197" s="2" t="inlineStr">
        <is>
          <t>Defesa</t>
        </is>
      </c>
      <c r="E197" s="2" t="inlineStr">
        <is>
          <t>Mainz</t>
        </is>
      </c>
      <c r="F197">
        <f>VLOOKUP(E197,Clubes!B$2:D$438,2)</f>
        <v/>
      </c>
      <c r="G197">
        <f>VLOOKUP(E197,Clubes!B$2:D$438,3)</f>
        <v/>
      </c>
      <c r="H197" s="2" t="n">
        <v>34</v>
      </c>
      <c r="J197">
        <f>I197/H197</f>
        <v/>
      </c>
      <c r="K197">
        <f>H197*90</f>
        <v/>
      </c>
      <c r="M197">
        <f>L197/K197</f>
        <v/>
      </c>
    </row>
    <row r="198">
      <c r="A198" s="1" t="n">
        <v>197</v>
      </c>
      <c r="B198" s="2" t="inlineStr">
        <is>
          <t>Austria</t>
        </is>
      </c>
      <c r="C198" s="2" t="inlineStr">
        <is>
          <t>David Affengruber</t>
        </is>
      </c>
      <c r="D198" s="2" t="inlineStr">
        <is>
          <t>Defesa</t>
        </is>
      </c>
      <c r="E198" s="2" t="inlineStr">
        <is>
          <t>Elche</t>
        </is>
      </c>
      <c r="F198">
        <f>VLOOKUP(E198,Clubes!B$2:D$438,2)</f>
        <v/>
      </c>
      <c r="G198">
        <f>VLOOKUP(E198,Clubes!B$2:D$438,3)</f>
        <v/>
      </c>
      <c r="H198" s="2" t="n">
        <v>38</v>
      </c>
      <c r="J198">
        <f>I198/H198</f>
        <v/>
      </c>
      <c r="K198">
        <f>H198*90</f>
        <v/>
      </c>
      <c r="M198">
        <f>L198/K198</f>
        <v/>
      </c>
    </row>
    <row r="199">
      <c r="A199" s="1" t="n">
        <v>198</v>
      </c>
      <c r="B199" s="2" t="inlineStr">
        <is>
          <t>Austria</t>
        </is>
      </c>
      <c r="C199" s="2" t="inlineStr">
        <is>
          <t>Kevin Danso</t>
        </is>
      </c>
      <c r="D199" s="2" t="inlineStr">
        <is>
          <t>Defesa</t>
        </is>
      </c>
      <c r="E199" s="2" t="inlineStr">
        <is>
          <t>Tottenham</t>
        </is>
      </c>
      <c r="F199">
        <f>VLOOKUP(E199,Clubes!B$2:D$438,2)</f>
        <v/>
      </c>
      <c r="G199">
        <f>VLOOKUP(E199,Clubes!B$2:D$438,3)</f>
        <v/>
      </c>
      <c r="H199" s="2" t="n">
        <v>38</v>
      </c>
      <c r="J199">
        <f>I199/H199</f>
        <v/>
      </c>
      <c r="K199">
        <f>H199*90</f>
        <v/>
      </c>
      <c r="M199">
        <f>L199/K199</f>
        <v/>
      </c>
    </row>
    <row r="200">
      <c r="A200" s="1" t="n">
        <v>199</v>
      </c>
      <c r="B200" s="2" t="inlineStr">
        <is>
          <t>Austria</t>
        </is>
      </c>
      <c r="C200" s="2" t="inlineStr">
        <is>
          <t>Philipp Lienhart</t>
        </is>
      </c>
      <c r="D200" s="2" t="inlineStr">
        <is>
          <t>Defesa</t>
        </is>
      </c>
      <c r="E200" s="2" t="inlineStr">
        <is>
          <t>SC Freiburg</t>
        </is>
      </c>
      <c r="F200">
        <f>VLOOKUP(E200,Clubes!B$2:D$438,2)</f>
        <v/>
      </c>
      <c r="G200">
        <f>VLOOKUP(E200,Clubes!B$2:D$438,3)</f>
        <v/>
      </c>
      <c r="H200" s="2" t="n">
        <v>38</v>
      </c>
      <c r="J200">
        <f>I200/H200</f>
        <v/>
      </c>
      <c r="K200">
        <f>H200*90</f>
        <v/>
      </c>
      <c r="M200">
        <f>L200/K200</f>
        <v/>
      </c>
    </row>
    <row r="201">
      <c r="A201" s="1" t="n">
        <v>200</v>
      </c>
      <c r="B201" s="2" t="inlineStr">
        <is>
          <t>Austria</t>
        </is>
      </c>
      <c r="C201" s="2" t="inlineStr">
        <is>
          <t>Marco Friedl</t>
        </is>
      </c>
      <c r="D201" s="2" t="inlineStr">
        <is>
          <t>Defesa</t>
        </is>
      </c>
      <c r="E201" s="2" t="inlineStr">
        <is>
          <t>Werder Bremen</t>
        </is>
      </c>
      <c r="F201">
        <f>VLOOKUP(E201,Clubes!B$2:D$438,2)</f>
        <v/>
      </c>
      <c r="G201">
        <f>VLOOKUP(E201,Clubes!B$2:D$438,3)</f>
        <v/>
      </c>
      <c r="H201" s="2" t="n">
        <v>32</v>
      </c>
      <c r="J201">
        <f>I201/H201</f>
        <v/>
      </c>
      <c r="K201">
        <f>H201*90</f>
        <v/>
      </c>
      <c r="M201">
        <f>L201/K201</f>
        <v/>
      </c>
    </row>
    <row r="202">
      <c r="A202" s="1" t="n">
        <v>201</v>
      </c>
      <c r="B202" s="2" t="inlineStr">
        <is>
          <t>Austria</t>
        </is>
      </c>
      <c r="C202" s="2" t="inlineStr">
        <is>
          <t>Michael Svoboda</t>
        </is>
      </c>
      <c r="D202" s="2" t="inlineStr">
        <is>
          <t>Defesa</t>
        </is>
      </c>
      <c r="E202" s="2" t="inlineStr">
        <is>
          <t>Venezia</t>
        </is>
      </c>
      <c r="F202">
        <f>VLOOKUP(E202,Clubes!B$2:D$438,2)</f>
        <v/>
      </c>
      <c r="G202">
        <f>VLOOKUP(E202,Clubes!B$2:D$438,3)</f>
        <v/>
      </c>
      <c r="H202" s="2" t="n">
        <v>38</v>
      </c>
      <c r="J202">
        <f>I202/H202</f>
        <v/>
      </c>
      <c r="K202">
        <f>H202*90</f>
        <v/>
      </c>
      <c r="M202">
        <f>L202/K202</f>
        <v/>
      </c>
    </row>
    <row r="203">
      <c r="A203" s="1" t="n">
        <v>202</v>
      </c>
      <c r="B203" s="2" t="inlineStr">
        <is>
          <t>Austria</t>
        </is>
      </c>
      <c r="C203" s="2" t="inlineStr">
        <is>
          <t>David Alaba</t>
        </is>
      </c>
      <c r="D203" s="2" t="inlineStr">
        <is>
          <t>Defesa</t>
        </is>
      </c>
      <c r="E203" s="2" t="inlineStr">
        <is>
          <t>Real Madrid</t>
        </is>
      </c>
      <c r="F203">
        <f>VLOOKUP(E203,Clubes!B$2:D$438,2)</f>
        <v/>
      </c>
      <c r="G203">
        <f>VLOOKUP(E203,Clubes!B$2:D$438,3)</f>
        <v/>
      </c>
      <c r="H203" s="2" t="n">
        <v>38</v>
      </c>
      <c r="J203">
        <f>I203/H203</f>
        <v/>
      </c>
      <c r="K203">
        <f>H203*90</f>
        <v/>
      </c>
      <c r="M203">
        <f>L203/K203</f>
        <v/>
      </c>
    </row>
    <row r="204">
      <c r="A204" s="1" t="n">
        <v>203</v>
      </c>
      <c r="B204" s="2" t="inlineStr">
        <is>
          <t>Austria</t>
        </is>
      </c>
      <c r="C204" s="2" t="inlineStr">
        <is>
          <t>Phillipp Mwene</t>
        </is>
      </c>
      <c r="D204" s="2" t="inlineStr">
        <is>
          <t>Defesa</t>
        </is>
      </c>
      <c r="E204" s="2" t="inlineStr">
        <is>
          <t>Mainz</t>
        </is>
      </c>
      <c r="F204">
        <f>VLOOKUP(E204,Clubes!B$2:D$438,2)</f>
        <v/>
      </c>
      <c r="G204">
        <f>VLOOKUP(E204,Clubes!B$2:D$438,3)</f>
        <v/>
      </c>
      <c r="H204" s="2" t="n">
        <v>34</v>
      </c>
      <c r="J204">
        <f>I204/H204</f>
        <v/>
      </c>
      <c r="K204">
        <f>H204*90</f>
        <v/>
      </c>
      <c r="M204">
        <f>L204/K204</f>
        <v/>
      </c>
    </row>
    <row r="205">
      <c r="A205" s="1" t="n">
        <v>204</v>
      </c>
      <c r="B205" s="2" t="inlineStr">
        <is>
          <t>Austria</t>
        </is>
      </c>
      <c r="C205" s="2" t="inlineStr">
        <is>
          <t>Xaver Schlager</t>
        </is>
      </c>
      <c r="D205" s="2" t="inlineStr">
        <is>
          <t>Médio</t>
        </is>
      </c>
      <c r="E205" s="2" t="inlineStr">
        <is>
          <t>RB Leipzig</t>
        </is>
      </c>
      <c r="F205">
        <f>VLOOKUP(E205,Clubes!B$2:D$438,2)</f>
        <v/>
      </c>
      <c r="G205">
        <f>VLOOKUP(E205,Clubes!B$2:D$438,3)</f>
        <v/>
      </c>
      <c r="H205" s="2" t="n">
        <v>34</v>
      </c>
      <c r="J205">
        <f>I205/H205</f>
        <v/>
      </c>
      <c r="K205">
        <f>H205*90</f>
        <v/>
      </c>
      <c r="M205">
        <f>L205/K205</f>
        <v/>
      </c>
    </row>
    <row r="206">
      <c r="A206" s="1" t="n">
        <v>205</v>
      </c>
      <c r="B206" s="2" t="inlineStr">
        <is>
          <t>Austria</t>
        </is>
      </c>
      <c r="C206" s="2" t="inlineStr">
        <is>
          <t>Nicolas Seiwald</t>
        </is>
      </c>
      <c r="D206" s="2" t="inlineStr">
        <is>
          <t>Médio</t>
        </is>
      </c>
      <c r="E206" s="2" t="inlineStr">
        <is>
          <t>RB Leipzig</t>
        </is>
      </c>
      <c r="F206">
        <f>VLOOKUP(E206,Clubes!B$2:D$438,2)</f>
        <v/>
      </c>
      <c r="G206">
        <f>VLOOKUP(E206,Clubes!B$2:D$438,3)</f>
        <v/>
      </c>
      <c r="H206" s="2" t="n">
        <v>34</v>
      </c>
      <c r="J206">
        <f>I206/H206</f>
        <v/>
      </c>
      <c r="K206">
        <f>H206*90</f>
        <v/>
      </c>
      <c r="M206">
        <f>L206/K206</f>
        <v/>
      </c>
    </row>
    <row r="207">
      <c r="A207" s="1" t="n">
        <v>206</v>
      </c>
      <c r="B207" s="2" t="inlineStr">
        <is>
          <t>Austria</t>
        </is>
      </c>
      <c r="C207" s="2" t="inlineStr">
        <is>
          <t>Marcel Sabitzer</t>
        </is>
      </c>
      <c r="D207" s="2" t="inlineStr">
        <is>
          <t>Médio</t>
        </is>
      </c>
      <c r="E207" s="2" t="inlineStr">
        <is>
          <t>Borussia Dortmund</t>
        </is>
      </c>
      <c r="F207">
        <f>VLOOKUP(E207,Clubes!B$2:D$438,2)</f>
        <v/>
      </c>
      <c r="G207">
        <f>VLOOKUP(E207,Clubes!B$2:D$438,3)</f>
        <v/>
      </c>
      <c r="H207" s="2" t="n">
        <v>34</v>
      </c>
      <c r="J207">
        <f>I207/H207</f>
        <v/>
      </c>
      <c r="K207">
        <f>H207*90</f>
        <v/>
      </c>
      <c r="M207">
        <f>L207/K207</f>
        <v/>
      </c>
    </row>
    <row r="208">
      <c r="A208" s="1" t="n">
        <v>207</v>
      </c>
      <c r="B208" s="2" t="inlineStr">
        <is>
          <t>Austria</t>
        </is>
      </c>
      <c r="C208" s="2" t="inlineStr">
        <is>
          <t>Florian Grillitsch</t>
        </is>
      </c>
      <c r="D208" s="2" t="inlineStr">
        <is>
          <t>Médio</t>
        </is>
      </c>
      <c r="E208" s="2" t="inlineStr">
        <is>
          <t>SC Braga</t>
        </is>
      </c>
      <c r="F208">
        <f>VLOOKUP(E208,Clubes!B$2:D$438,2)</f>
        <v/>
      </c>
      <c r="G208">
        <f>VLOOKUP(E208,Clubes!B$2:D$438,3)</f>
        <v/>
      </c>
      <c r="H208" s="2" t="n">
        <v>34</v>
      </c>
      <c r="J208">
        <f>I208/H208</f>
        <v/>
      </c>
      <c r="K208">
        <f>H208*90</f>
        <v/>
      </c>
      <c r="M208">
        <f>L208/K208</f>
        <v/>
      </c>
    </row>
    <row r="209">
      <c r="A209" s="1" t="n">
        <v>208</v>
      </c>
      <c r="B209" s="2" t="inlineStr">
        <is>
          <t>Austria</t>
        </is>
      </c>
      <c r="C209" s="2" t="inlineStr">
        <is>
          <t>Carney Chukwuemeka</t>
        </is>
      </c>
      <c r="D209" s="2" t="inlineStr">
        <is>
          <t>Médio</t>
        </is>
      </c>
      <c r="E209" s="2" t="inlineStr">
        <is>
          <t>Borussia Dortmund</t>
        </is>
      </c>
      <c r="F209">
        <f>VLOOKUP(E209,Clubes!B$2:D$438,2)</f>
        <v/>
      </c>
      <c r="G209">
        <f>VLOOKUP(E209,Clubes!B$2:D$438,3)</f>
        <v/>
      </c>
      <c r="H209" s="2" t="n">
        <v>34</v>
      </c>
      <c r="J209">
        <f>I209/H209</f>
        <v/>
      </c>
      <c r="K209">
        <f>H209*90</f>
        <v/>
      </c>
      <c r="M209">
        <f>L209/K209</f>
        <v/>
      </c>
    </row>
    <row r="210">
      <c r="A210" s="1" t="n">
        <v>209</v>
      </c>
      <c r="B210" s="2" t="inlineStr">
        <is>
          <t>Austria</t>
        </is>
      </c>
      <c r="C210" s="2" t="inlineStr">
        <is>
          <t>Konrad Laimer</t>
        </is>
      </c>
      <c r="D210" s="2" t="inlineStr">
        <is>
          <t>Médio</t>
        </is>
      </c>
      <c r="E210" s="2" t="inlineStr">
        <is>
          <t>Bayern München</t>
        </is>
      </c>
      <c r="F210">
        <f>VLOOKUP(E210,Clubes!B$2:D$438,2)</f>
        <v/>
      </c>
      <c r="G210">
        <f>VLOOKUP(E210,Clubes!B$2:D$438,3)</f>
        <v/>
      </c>
      <c r="H210" s="2" t="n">
        <v>34</v>
      </c>
      <c r="J210">
        <f>I210/H210</f>
        <v/>
      </c>
      <c r="K210">
        <f>H210*90</f>
        <v/>
      </c>
      <c r="M210">
        <f>L210/K210</f>
        <v/>
      </c>
    </row>
    <row r="211">
      <c r="A211" s="1" t="n">
        <v>210</v>
      </c>
      <c r="B211" s="2" t="inlineStr">
        <is>
          <t>Austria</t>
        </is>
      </c>
      <c r="C211" s="2" t="inlineStr">
        <is>
          <t>Romano Schmid</t>
        </is>
      </c>
      <c r="D211" s="2" t="inlineStr">
        <is>
          <t>Médio</t>
        </is>
      </c>
      <c r="E211" s="2" t="inlineStr">
        <is>
          <t>Werder Bremen</t>
        </is>
      </c>
      <c r="F211">
        <f>VLOOKUP(E211,Clubes!B$2:D$438,2)</f>
        <v/>
      </c>
      <c r="G211">
        <f>VLOOKUP(E211,Clubes!B$2:D$438,3)</f>
        <v/>
      </c>
      <c r="H211" s="2" t="n">
        <v>32</v>
      </c>
      <c r="J211">
        <f>I211/H211</f>
        <v/>
      </c>
      <c r="K211">
        <f>H211*90</f>
        <v/>
      </c>
      <c r="M211">
        <f>L211/K211</f>
        <v/>
      </c>
    </row>
    <row r="212">
      <c r="A212" s="1" t="n">
        <v>211</v>
      </c>
      <c r="B212" s="2" t="inlineStr">
        <is>
          <t>Austria</t>
        </is>
      </c>
      <c r="C212" s="2" t="inlineStr">
        <is>
          <t>Chris Baumgartner</t>
        </is>
      </c>
      <c r="D212" s="2" t="inlineStr">
        <is>
          <t>Médio</t>
        </is>
      </c>
      <c r="E212" s="2" t="inlineStr">
        <is>
          <t>RB Leipzig</t>
        </is>
      </c>
      <c r="F212">
        <f>VLOOKUP(E212,Clubes!B$2:D$438,2)</f>
        <v/>
      </c>
      <c r="G212">
        <f>VLOOKUP(E212,Clubes!B$2:D$438,3)</f>
        <v/>
      </c>
      <c r="H212" s="2" t="n">
        <v>34</v>
      </c>
      <c r="J212">
        <f>I212/H212</f>
        <v/>
      </c>
      <c r="K212">
        <f>H212*90</f>
        <v/>
      </c>
      <c r="M212">
        <f>L212/K212</f>
        <v/>
      </c>
    </row>
    <row r="213">
      <c r="A213" s="1" t="n">
        <v>212</v>
      </c>
      <c r="B213" s="2" t="inlineStr">
        <is>
          <t>Austria</t>
        </is>
      </c>
      <c r="C213" s="2" t="inlineStr">
        <is>
          <t>Alessandro Schöpf</t>
        </is>
      </c>
      <c r="D213" s="2" t="inlineStr">
        <is>
          <t>Médio</t>
        </is>
      </c>
      <c r="E213" s="2" t="inlineStr">
        <is>
          <t>Wolfsberger AC</t>
        </is>
      </c>
      <c r="F213">
        <f>VLOOKUP(E213,Clubes!B$2:D$438,2)</f>
        <v/>
      </c>
      <c r="G213">
        <f>VLOOKUP(E213,Clubes!B$2:D$438,3)</f>
        <v/>
      </c>
      <c r="H213" s="2" t="n">
        <v>32</v>
      </c>
      <c r="J213">
        <f>I213/H213</f>
        <v/>
      </c>
      <c r="K213">
        <f>H213*90</f>
        <v/>
      </c>
      <c r="M213">
        <f>L213/K213</f>
        <v/>
      </c>
    </row>
    <row r="214">
      <c r="A214" s="1" t="n">
        <v>213</v>
      </c>
      <c r="B214" s="2" t="inlineStr">
        <is>
          <t>Austria</t>
        </is>
      </c>
      <c r="C214" s="2" t="inlineStr">
        <is>
          <t>Michael Gregoritsch</t>
        </is>
      </c>
      <c r="D214" s="2" t="inlineStr">
        <is>
          <t>Avançado</t>
        </is>
      </c>
      <c r="E214" s="2" t="inlineStr">
        <is>
          <t>FC Augsburg</t>
        </is>
      </c>
      <c r="F214">
        <f>VLOOKUP(E214,Clubes!B$2:D$438,2)</f>
        <v/>
      </c>
      <c r="G214">
        <f>VLOOKUP(E214,Clubes!B$2:D$438,3)</f>
        <v/>
      </c>
      <c r="H214" s="2" t="n">
        <v>34</v>
      </c>
      <c r="J214">
        <f>I214/H214</f>
        <v/>
      </c>
      <c r="K214">
        <f>H214*90</f>
        <v/>
      </c>
      <c r="M214">
        <f>L214/K214</f>
        <v/>
      </c>
    </row>
    <row r="215">
      <c r="A215" s="1" t="n">
        <v>214</v>
      </c>
      <c r="B215" s="2" t="inlineStr">
        <is>
          <t>Austria</t>
        </is>
      </c>
      <c r="C215" s="2" t="inlineStr">
        <is>
          <t>Marko Arnautovic</t>
        </is>
      </c>
      <c r="D215" s="2" t="inlineStr">
        <is>
          <t>Avançado</t>
        </is>
      </c>
      <c r="E215" s="2" t="inlineStr">
        <is>
          <t>Crvena Zvezda</t>
        </is>
      </c>
      <c r="F215">
        <f>VLOOKUP(E215,Clubes!B$2:D$438,2)</f>
        <v/>
      </c>
      <c r="G215">
        <f>VLOOKUP(E215,Clubes!B$2:D$438,3)</f>
        <v/>
      </c>
      <c r="H215" s="2" t="n">
        <v>37</v>
      </c>
      <c r="J215">
        <f>I215/H215</f>
        <v/>
      </c>
      <c r="K215">
        <f>H215*90</f>
        <v/>
      </c>
      <c r="M215">
        <f>L215/K215</f>
        <v/>
      </c>
    </row>
    <row r="216">
      <c r="A216" s="1" t="n">
        <v>215</v>
      </c>
      <c r="B216" s="2" t="inlineStr">
        <is>
          <t>Austria</t>
        </is>
      </c>
      <c r="C216" s="2" t="inlineStr">
        <is>
          <t>Sasa Kalajdzic</t>
        </is>
      </c>
      <c r="D216" s="2" t="inlineStr">
        <is>
          <t>Avançado</t>
        </is>
      </c>
      <c r="E216" s="2" t="inlineStr">
        <is>
          <t>LASK Linz</t>
        </is>
      </c>
      <c r="F216">
        <f>VLOOKUP(E216,Clubes!B$2:D$438,2)</f>
        <v/>
      </c>
      <c r="G216">
        <f>VLOOKUP(E216,Clubes!B$2:D$438,3)</f>
        <v/>
      </c>
      <c r="H216" s="2" t="n">
        <v>32</v>
      </c>
      <c r="J216">
        <f>I216/H216</f>
        <v/>
      </c>
      <c r="K216">
        <f>H216*90</f>
        <v/>
      </c>
      <c r="M216">
        <f>L216/K216</f>
        <v/>
      </c>
    </row>
    <row r="217">
      <c r="A217" s="1" t="n">
        <v>216</v>
      </c>
      <c r="B217" s="2" t="inlineStr">
        <is>
          <t>Austria</t>
        </is>
      </c>
      <c r="C217" s="2" t="inlineStr">
        <is>
          <t>Patrick Wimmer</t>
        </is>
      </c>
      <c r="D217" s="2" t="inlineStr">
        <is>
          <t>Avançado</t>
        </is>
      </c>
      <c r="E217" s="2" t="inlineStr">
        <is>
          <t>Wolfsburg</t>
        </is>
      </c>
      <c r="F217">
        <f>VLOOKUP(E217,Clubes!B$2:D$438,2)</f>
        <v/>
      </c>
      <c r="G217">
        <f>VLOOKUP(E217,Clubes!B$2:D$438,3)</f>
        <v/>
      </c>
      <c r="H217" s="2" t="n">
        <v>34</v>
      </c>
      <c r="J217">
        <f>I217/H217</f>
        <v/>
      </c>
      <c r="K217">
        <f>H217*90</f>
        <v/>
      </c>
      <c r="M217">
        <f>L217/K217</f>
        <v/>
      </c>
    </row>
    <row r="218">
      <c r="A218" s="1" t="n">
        <v>217</v>
      </c>
      <c r="B218" s="2" t="inlineStr">
        <is>
          <t>Austria</t>
        </is>
      </c>
      <c r="C218" s="2" t="inlineStr">
        <is>
          <t>Alexander Prass</t>
        </is>
      </c>
      <c r="D218" s="2" t="inlineStr">
        <is>
          <t>Avançado</t>
        </is>
      </c>
      <c r="E218" s="2" t="inlineStr">
        <is>
          <t>TSG Hoffenheim</t>
        </is>
      </c>
      <c r="F218">
        <f>VLOOKUP(E218,Clubes!B$2:D$438,2)</f>
        <v/>
      </c>
      <c r="G218">
        <f>VLOOKUP(E218,Clubes!B$2:D$438,3)</f>
        <v/>
      </c>
      <c r="H218" s="2" t="n">
        <v>30</v>
      </c>
      <c r="J218">
        <f>I218/H218</f>
        <v/>
      </c>
      <c r="K218">
        <f>H218*90</f>
        <v/>
      </c>
      <c r="M218">
        <f>L218/K218</f>
        <v/>
      </c>
    </row>
    <row r="219">
      <c r="A219" s="1" t="n">
        <v>218</v>
      </c>
      <c r="B219" s="2" t="inlineStr">
        <is>
          <t>Austria</t>
        </is>
      </c>
      <c r="C219" s="2" t="inlineStr">
        <is>
          <t>Paul Wanner</t>
        </is>
      </c>
      <c r="D219" s="2" t="inlineStr">
        <is>
          <t>Avançado</t>
        </is>
      </c>
      <c r="E219" s="2" t="inlineStr">
        <is>
          <t>PSV</t>
        </is>
      </c>
      <c r="F219">
        <f>VLOOKUP(E219,Clubes!B$2:D$438,2)</f>
        <v/>
      </c>
      <c r="G219">
        <f>VLOOKUP(E219,Clubes!B$2:D$438,3)</f>
        <v/>
      </c>
      <c r="H219" s="2" t="n">
        <v>46</v>
      </c>
      <c r="J219">
        <f>I219/H219</f>
        <v/>
      </c>
      <c r="K219">
        <f>H219*90</f>
        <v/>
      </c>
      <c r="M219">
        <f>L219/K219</f>
        <v/>
      </c>
    </row>
    <row r="220">
      <c r="A220" s="1" t="n">
        <v>219</v>
      </c>
      <c r="B220" s="2" t="inlineStr">
        <is>
          <t>Belgium</t>
        </is>
      </c>
      <c r="C220" s="2" t="inlineStr">
        <is>
          <t>Thibaut Courtois</t>
        </is>
      </c>
      <c r="D220" s="2" t="inlineStr">
        <is>
          <t>Guarda Redes</t>
        </is>
      </c>
      <c r="E220" s="2" t="inlineStr">
        <is>
          <t>Real Madrid</t>
        </is>
      </c>
      <c r="F220">
        <f>VLOOKUP(E220,Clubes!B$2:D$438,2)</f>
        <v/>
      </c>
      <c r="G220">
        <f>VLOOKUP(E220,Clubes!B$2:D$438,3)</f>
        <v/>
      </c>
      <c r="H220" s="2" t="n">
        <v>38</v>
      </c>
      <c r="J220">
        <f>I220/H220</f>
        <v/>
      </c>
      <c r="K220">
        <f>H220*90</f>
        <v/>
      </c>
      <c r="M220">
        <f>L220/K220</f>
        <v/>
      </c>
    </row>
    <row r="221">
      <c r="A221" s="1" t="n">
        <v>220</v>
      </c>
      <c r="B221" s="2" t="inlineStr">
        <is>
          <t>Belgium</t>
        </is>
      </c>
      <c r="C221" s="2" t="inlineStr">
        <is>
          <t>Senne Lammens</t>
        </is>
      </c>
      <c r="D221" s="2" t="inlineStr">
        <is>
          <t>Guarda Redes</t>
        </is>
      </c>
      <c r="E221" s="2" t="inlineStr">
        <is>
          <t>Manchester United</t>
        </is>
      </c>
      <c r="F221">
        <f>VLOOKUP(E221,Clubes!B$2:D$438,2)</f>
        <v/>
      </c>
      <c r="G221">
        <f>VLOOKUP(E221,Clubes!B$2:D$438,3)</f>
        <v/>
      </c>
      <c r="H221" s="2" t="n">
        <v>38</v>
      </c>
      <c r="J221">
        <f>I221/H221</f>
        <v/>
      </c>
      <c r="K221">
        <f>H221*90</f>
        <v/>
      </c>
      <c r="M221">
        <f>L221/K221</f>
        <v/>
      </c>
    </row>
    <row r="222">
      <c r="A222" s="1" t="n">
        <v>221</v>
      </c>
      <c r="B222" s="2" t="inlineStr">
        <is>
          <t>Belgium</t>
        </is>
      </c>
      <c r="C222" s="2" t="inlineStr">
        <is>
          <t>Mike Penders</t>
        </is>
      </c>
      <c r="D222" s="2" t="inlineStr">
        <is>
          <t>Guarda Redes</t>
        </is>
      </c>
      <c r="E222" s="2" t="inlineStr">
        <is>
          <t>Strasbourg</t>
        </is>
      </c>
      <c r="F222">
        <f>VLOOKUP(E222,Clubes!B$2:D$438,2)</f>
        <v/>
      </c>
      <c r="G222">
        <f>VLOOKUP(E222,Clubes!B$2:D$438,3)</f>
        <v/>
      </c>
      <c r="H222" s="2" t="n">
        <v>34</v>
      </c>
      <c r="J222">
        <f>I222/H222</f>
        <v/>
      </c>
      <c r="K222">
        <f>H222*90</f>
        <v/>
      </c>
      <c r="M222">
        <f>L222/K222</f>
        <v/>
      </c>
    </row>
    <row r="223">
      <c r="A223" s="1" t="n">
        <v>222</v>
      </c>
      <c r="B223" s="2" t="inlineStr">
        <is>
          <t>Belgium</t>
        </is>
      </c>
      <c r="C223" s="2" t="inlineStr">
        <is>
          <t>Thomas Meunier</t>
        </is>
      </c>
      <c r="D223" s="2" t="inlineStr">
        <is>
          <t>Defesa</t>
        </is>
      </c>
      <c r="E223" s="2" t="inlineStr">
        <is>
          <t>Lille</t>
        </is>
      </c>
      <c r="F223">
        <f>VLOOKUP(E223,Clubes!B$2:D$438,2)</f>
        <v/>
      </c>
      <c r="G223">
        <f>VLOOKUP(E223,Clubes!B$2:D$438,3)</f>
        <v/>
      </c>
      <c r="H223" s="2" t="n">
        <v>34</v>
      </c>
      <c r="J223">
        <f>I223/H223</f>
        <v/>
      </c>
      <c r="K223">
        <f>H223*90</f>
        <v/>
      </c>
      <c r="M223">
        <f>L223/K223</f>
        <v/>
      </c>
    </row>
    <row r="224">
      <c r="A224" s="1" t="n">
        <v>223</v>
      </c>
      <c r="B224" s="2" t="inlineStr">
        <is>
          <t>Belgium</t>
        </is>
      </c>
      <c r="C224" s="2" t="inlineStr">
        <is>
          <t>Timothy Castagne</t>
        </is>
      </c>
      <c r="D224" s="2" t="inlineStr">
        <is>
          <t>Defesa</t>
        </is>
      </c>
      <c r="E224" s="2" t="inlineStr">
        <is>
          <t>Fulham</t>
        </is>
      </c>
      <c r="F224">
        <f>VLOOKUP(E224,Clubes!B$2:D$438,2)</f>
        <v/>
      </c>
      <c r="G224">
        <f>VLOOKUP(E224,Clubes!B$2:D$438,3)</f>
        <v/>
      </c>
      <c r="H224" s="2" t="n">
        <v>38</v>
      </c>
      <c r="J224">
        <f>I224/H224</f>
        <v/>
      </c>
      <c r="K224">
        <f>H224*90</f>
        <v/>
      </c>
      <c r="M224">
        <f>L224/K224</f>
        <v/>
      </c>
    </row>
    <row r="225">
      <c r="A225" s="1" t="n">
        <v>224</v>
      </c>
      <c r="B225" s="2" t="inlineStr">
        <is>
          <t>Belgium</t>
        </is>
      </c>
      <c r="C225" s="2" t="inlineStr">
        <is>
          <t>Alexis Saelemaekers</t>
        </is>
      </c>
      <c r="D225" s="2" t="inlineStr">
        <is>
          <t>Defesa</t>
        </is>
      </c>
      <c r="E225" s="2" t="inlineStr">
        <is>
          <t>Milan</t>
        </is>
      </c>
      <c r="F225">
        <f>VLOOKUP(E225,Clubes!B$2:D$438,2)</f>
        <v/>
      </c>
      <c r="G225">
        <f>VLOOKUP(E225,Clubes!B$2:D$438,3)</f>
        <v/>
      </c>
      <c r="H225" s="2" t="n">
        <v>38</v>
      </c>
      <c r="J225">
        <f>I225/H225</f>
        <v/>
      </c>
      <c r="K225">
        <f>H225*90</f>
        <v/>
      </c>
      <c r="M225">
        <f>L225/K225</f>
        <v/>
      </c>
    </row>
    <row r="226">
      <c r="A226" s="1" t="n">
        <v>225</v>
      </c>
      <c r="B226" s="2" t="inlineStr">
        <is>
          <t>Belgium</t>
        </is>
      </c>
      <c r="C226" s="2" t="inlineStr">
        <is>
          <t>Zeno Debast</t>
        </is>
      </c>
      <c r="D226" s="2" t="inlineStr">
        <is>
          <t>Defesa</t>
        </is>
      </c>
      <c r="E226" s="2" t="inlineStr">
        <is>
          <t>Sporting</t>
        </is>
      </c>
      <c r="F226">
        <f>VLOOKUP(E226,Clubes!B$2:D$438,2)</f>
        <v/>
      </c>
      <c r="G226">
        <f>VLOOKUP(E226,Clubes!B$2:D$438,3)</f>
        <v/>
      </c>
      <c r="H226" s="2" t="n">
        <v>34</v>
      </c>
      <c r="J226">
        <f>I226/H226</f>
        <v/>
      </c>
      <c r="K226">
        <f>H226*90</f>
        <v/>
      </c>
      <c r="M226">
        <f>L226/K226</f>
        <v/>
      </c>
    </row>
    <row r="227">
      <c r="A227" s="1" t="n">
        <v>226</v>
      </c>
      <c r="B227" s="2" t="inlineStr">
        <is>
          <t>Belgium</t>
        </is>
      </c>
      <c r="C227" s="2" t="inlineStr">
        <is>
          <t>Arthur Theate</t>
        </is>
      </c>
      <c r="D227" s="2" t="inlineStr">
        <is>
          <t>Defesa</t>
        </is>
      </c>
      <c r="E227" s="2" t="inlineStr">
        <is>
          <t>Eintracht Frankfurt</t>
        </is>
      </c>
      <c r="F227">
        <f>VLOOKUP(E227,Clubes!B$2:D$438,2)</f>
        <v/>
      </c>
      <c r="G227">
        <f>VLOOKUP(E227,Clubes!B$2:D$438,3)</f>
        <v/>
      </c>
      <c r="H227" s="2" t="n">
        <v>34</v>
      </c>
      <c r="J227">
        <f>I227/H227</f>
        <v/>
      </c>
      <c r="K227">
        <f>H227*90</f>
        <v/>
      </c>
      <c r="M227">
        <f>L227/K227</f>
        <v/>
      </c>
    </row>
    <row r="228">
      <c r="A228" s="1" t="n">
        <v>227</v>
      </c>
      <c r="B228" s="2" t="inlineStr">
        <is>
          <t>Belgium</t>
        </is>
      </c>
      <c r="C228" s="2" t="inlineStr">
        <is>
          <t>Brandon Mechele</t>
        </is>
      </c>
      <c r="D228" s="2" t="inlineStr">
        <is>
          <t>Defesa</t>
        </is>
      </c>
      <c r="E228" s="2" t="inlineStr">
        <is>
          <t>Club Brugge</t>
        </is>
      </c>
      <c r="F228">
        <f>VLOOKUP(E228,Clubes!B$2:D$438,2)</f>
        <v/>
      </c>
      <c r="G228">
        <f>VLOOKUP(E228,Clubes!B$2:D$438,3)</f>
        <v/>
      </c>
      <c r="H228" s="2" t="n">
        <v>40</v>
      </c>
      <c r="J228">
        <f>I228/H228</f>
        <v/>
      </c>
      <c r="K228">
        <f>H228*90</f>
        <v/>
      </c>
      <c r="M228">
        <f>L228/K228</f>
        <v/>
      </c>
    </row>
    <row r="229">
      <c r="A229" s="1" t="n">
        <v>228</v>
      </c>
      <c r="B229" s="2" t="inlineStr">
        <is>
          <t>Belgium</t>
        </is>
      </c>
      <c r="C229" s="2" t="inlineStr">
        <is>
          <t>Axel Witsel</t>
        </is>
      </c>
      <c r="D229" s="2" t="inlineStr">
        <is>
          <t>Defesa</t>
        </is>
      </c>
      <c r="E229" s="2" t="inlineStr">
        <is>
          <t>Girona</t>
        </is>
      </c>
      <c r="F229">
        <f>VLOOKUP(E229,Clubes!B$2:D$438,2)</f>
        <v/>
      </c>
      <c r="G229">
        <f>VLOOKUP(E229,Clubes!B$2:D$438,3)</f>
        <v/>
      </c>
      <c r="H229" s="2" t="n">
        <v>38</v>
      </c>
      <c r="J229">
        <f>I229/H229</f>
        <v/>
      </c>
      <c r="K229">
        <f>H229*90</f>
        <v/>
      </c>
      <c r="M229">
        <f>L229/K229</f>
        <v/>
      </c>
    </row>
    <row r="230">
      <c r="A230" s="1" t="n">
        <v>229</v>
      </c>
      <c r="B230" s="2" t="inlineStr">
        <is>
          <t>Belgium</t>
        </is>
      </c>
      <c r="C230" s="2" t="inlineStr">
        <is>
          <t>Koni De Winter</t>
        </is>
      </c>
      <c r="D230" s="2" t="inlineStr">
        <is>
          <t>Defesa</t>
        </is>
      </c>
      <c r="E230" s="2" t="inlineStr">
        <is>
          <t>Milan</t>
        </is>
      </c>
      <c r="F230">
        <f>VLOOKUP(E230,Clubes!B$2:D$438,2)</f>
        <v/>
      </c>
      <c r="G230">
        <f>VLOOKUP(E230,Clubes!B$2:D$438,3)</f>
        <v/>
      </c>
      <c r="H230" s="2" t="n">
        <v>38</v>
      </c>
      <c r="J230">
        <f>I230/H230</f>
        <v/>
      </c>
      <c r="K230">
        <f>H230*90</f>
        <v/>
      </c>
      <c r="M230">
        <f>L230/K230</f>
        <v/>
      </c>
    </row>
    <row r="231">
      <c r="A231" s="1" t="n">
        <v>230</v>
      </c>
      <c r="B231" s="2" t="inlineStr">
        <is>
          <t>Belgium</t>
        </is>
      </c>
      <c r="C231" s="2" t="inlineStr">
        <is>
          <t>Nathan Ngoy</t>
        </is>
      </c>
      <c r="D231" s="2" t="inlineStr">
        <is>
          <t>Defesa</t>
        </is>
      </c>
      <c r="E231" s="2" t="inlineStr">
        <is>
          <t>Lille</t>
        </is>
      </c>
      <c r="F231">
        <f>VLOOKUP(E231,Clubes!B$2:D$438,2)</f>
        <v/>
      </c>
      <c r="G231">
        <f>VLOOKUP(E231,Clubes!B$2:D$438,3)</f>
        <v/>
      </c>
      <c r="H231" s="2" t="n">
        <v>34</v>
      </c>
      <c r="J231">
        <f>I231/H231</f>
        <v/>
      </c>
      <c r="K231">
        <f>H231*90</f>
        <v/>
      </c>
      <c r="M231">
        <f>L231/K231</f>
        <v/>
      </c>
    </row>
    <row r="232">
      <c r="A232" s="1" t="n">
        <v>231</v>
      </c>
      <c r="B232" s="2" t="inlineStr">
        <is>
          <t>Belgium</t>
        </is>
      </c>
      <c r="C232" s="2" t="inlineStr">
        <is>
          <t>Maxim De Cuyper</t>
        </is>
      </c>
      <c r="D232" s="2" t="inlineStr">
        <is>
          <t>Defesa</t>
        </is>
      </c>
      <c r="E232" s="2" t="inlineStr">
        <is>
          <t>Brighton &amp; Hove Albion</t>
        </is>
      </c>
      <c r="F232">
        <f>VLOOKUP(E232,Clubes!B$2:D$438,2)</f>
        <v/>
      </c>
      <c r="G232">
        <f>VLOOKUP(E232,Clubes!B$2:D$438,3)</f>
        <v/>
      </c>
      <c r="H232" s="2" t="n">
        <v>38</v>
      </c>
      <c r="J232">
        <f>I232/H232</f>
        <v/>
      </c>
      <c r="K232">
        <f>H232*90</f>
        <v/>
      </c>
      <c r="M232">
        <f>L232/K232</f>
        <v/>
      </c>
    </row>
    <row r="233">
      <c r="A233" s="1" t="n">
        <v>232</v>
      </c>
      <c r="B233" s="2" t="inlineStr">
        <is>
          <t>Belgium</t>
        </is>
      </c>
      <c r="C233" s="2" t="inlineStr">
        <is>
          <t>Joaquin Seys</t>
        </is>
      </c>
      <c r="D233" s="2" t="inlineStr">
        <is>
          <t>Defesa</t>
        </is>
      </c>
      <c r="E233" s="2" t="inlineStr">
        <is>
          <t>Club Brugge</t>
        </is>
      </c>
      <c r="F233">
        <f>VLOOKUP(E233,Clubes!B$2:D$438,2)</f>
        <v/>
      </c>
      <c r="G233">
        <f>VLOOKUP(E233,Clubes!B$2:D$438,3)</f>
        <v/>
      </c>
      <c r="H233" s="2" t="n">
        <v>40</v>
      </c>
      <c r="J233">
        <f>I233/H233</f>
        <v/>
      </c>
      <c r="K233">
        <f>H233*90</f>
        <v/>
      </c>
      <c r="M233">
        <f>L233/K233</f>
        <v/>
      </c>
    </row>
    <row r="234">
      <c r="A234" s="1" t="n">
        <v>233</v>
      </c>
      <c r="B234" s="2" t="inlineStr">
        <is>
          <t>Belgium</t>
        </is>
      </c>
      <c r="C234" s="2" t="inlineStr">
        <is>
          <t>Nicolas Raskin</t>
        </is>
      </c>
      <c r="D234" s="2" t="inlineStr">
        <is>
          <t>Médio</t>
        </is>
      </c>
      <c r="E234" s="2" t="inlineStr">
        <is>
          <t>Rangers</t>
        </is>
      </c>
      <c r="F234">
        <f>VLOOKUP(E234,Clubes!B$2:D$438,2)</f>
        <v/>
      </c>
      <c r="G234">
        <f>VLOOKUP(E234,Clubes!B$2:D$438,3)</f>
        <v/>
      </c>
      <c r="H234" s="2" t="n">
        <v>34</v>
      </c>
      <c r="J234">
        <f>I234/H234</f>
        <v/>
      </c>
      <c r="K234">
        <f>H234*90</f>
        <v/>
      </c>
      <c r="M234">
        <f>L234/K234</f>
        <v/>
      </c>
    </row>
    <row r="235">
      <c r="A235" s="1" t="n">
        <v>234</v>
      </c>
      <c r="B235" s="2" t="inlineStr">
        <is>
          <t>Belgium</t>
        </is>
      </c>
      <c r="C235" s="2" t="inlineStr">
        <is>
          <t>Amadou Onana</t>
        </is>
      </c>
      <c r="D235" s="2" t="inlineStr">
        <is>
          <t>Médio</t>
        </is>
      </c>
      <c r="E235" s="2" t="inlineStr">
        <is>
          <t>Aston Villa</t>
        </is>
      </c>
      <c r="F235">
        <f>VLOOKUP(E235,Clubes!B$2:D$438,2)</f>
        <v/>
      </c>
      <c r="G235">
        <f>VLOOKUP(E235,Clubes!B$2:D$438,3)</f>
        <v/>
      </c>
      <c r="H235" s="2" t="n">
        <v>38</v>
      </c>
      <c r="J235">
        <f>I235/H235</f>
        <v/>
      </c>
      <c r="K235">
        <f>H235*90</f>
        <v/>
      </c>
      <c r="M235">
        <f>L235/K235</f>
        <v/>
      </c>
    </row>
    <row r="236">
      <c r="A236" s="1" t="n">
        <v>235</v>
      </c>
      <c r="B236" s="2" t="inlineStr">
        <is>
          <t>Belgium</t>
        </is>
      </c>
      <c r="C236" s="2" t="inlineStr">
        <is>
          <t>Youri Tielemans</t>
        </is>
      </c>
      <c r="D236" s="2" t="inlineStr">
        <is>
          <t>Médio</t>
        </is>
      </c>
      <c r="E236" s="2" t="inlineStr">
        <is>
          <t>Aston Villa</t>
        </is>
      </c>
      <c r="F236">
        <f>VLOOKUP(E236,Clubes!B$2:D$438,2)</f>
        <v/>
      </c>
      <c r="G236">
        <f>VLOOKUP(E236,Clubes!B$2:D$438,3)</f>
        <v/>
      </c>
      <c r="H236" s="2" t="n">
        <v>38</v>
      </c>
      <c r="J236">
        <f>I236/H236</f>
        <v/>
      </c>
      <c r="K236">
        <f>H236*90</f>
        <v/>
      </c>
      <c r="M236">
        <f>L236/K236</f>
        <v/>
      </c>
    </row>
    <row r="237">
      <c r="A237" s="1" t="n">
        <v>236</v>
      </c>
      <c r="B237" s="2" t="inlineStr">
        <is>
          <t>Belgium</t>
        </is>
      </c>
      <c r="C237" s="2" t="inlineStr">
        <is>
          <t>Kevin De Bruyne</t>
        </is>
      </c>
      <c r="D237" s="2" t="inlineStr">
        <is>
          <t>Médio</t>
        </is>
      </c>
      <c r="E237" s="2" t="inlineStr">
        <is>
          <t>Napoli</t>
        </is>
      </c>
      <c r="F237">
        <f>VLOOKUP(E237,Clubes!B$2:D$438,2)</f>
        <v/>
      </c>
      <c r="G237">
        <f>VLOOKUP(E237,Clubes!B$2:D$438,3)</f>
        <v/>
      </c>
      <c r="H237" s="2" t="n">
        <v>38</v>
      </c>
      <c r="J237">
        <f>I237/H237</f>
        <v/>
      </c>
      <c r="K237">
        <f>H237*90</f>
        <v/>
      </c>
      <c r="M237">
        <f>L237/K237</f>
        <v/>
      </c>
    </row>
    <row r="238">
      <c r="A238" s="1" t="n">
        <v>237</v>
      </c>
      <c r="B238" s="2" t="inlineStr">
        <is>
          <t>Belgium</t>
        </is>
      </c>
      <c r="C238" s="2" t="inlineStr">
        <is>
          <t>Charles De Ketelaere</t>
        </is>
      </c>
      <c r="D238" s="2" t="inlineStr">
        <is>
          <t>Médio</t>
        </is>
      </c>
      <c r="E238" s="2" t="inlineStr">
        <is>
          <t>Atalanta</t>
        </is>
      </c>
      <c r="F238">
        <f>VLOOKUP(E238,Clubes!B$2:D$438,2)</f>
        <v/>
      </c>
      <c r="G238">
        <f>VLOOKUP(E238,Clubes!B$2:D$438,3)</f>
        <v/>
      </c>
      <c r="H238" s="2" t="n">
        <v>38</v>
      </c>
      <c r="J238">
        <f>I238/H238</f>
        <v/>
      </c>
      <c r="K238">
        <f>H238*90</f>
        <v/>
      </c>
      <c r="M238">
        <f>L238/K238</f>
        <v/>
      </c>
    </row>
    <row r="239">
      <c r="A239" s="1" t="n">
        <v>238</v>
      </c>
      <c r="B239" s="2" t="inlineStr">
        <is>
          <t>Belgium</t>
        </is>
      </c>
      <c r="C239" s="2" t="inlineStr">
        <is>
          <t>Hans Vanaken</t>
        </is>
      </c>
      <c r="D239" s="2" t="inlineStr">
        <is>
          <t>Médio</t>
        </is>
      </c>
      <c r="E239" s="2" t="inlineStr">
        <is>
          <t>Club Brugge</t>
        </is>
      </c>
      <c r="F239">
        <f>VLOOKUP(E239,Clubes!B$2:D$438,2)</f>
        <v/>
      </c>
      <c r="G239">
        <f>VLOOKUP(E239,Clubes!B$2:D$438,3)</f>
        <v/>
      </c>
      <c r="H239" s="2" t="n">
        <v>40</v>
      </c>
      <c r="J239">
        <f>I239/H239</f>
        <v/>
      </c>
      <c r="K239">
        <f>H239*90</f>
        <v/>
      </c>
      <c r="M239">
        <f>L239/K239</f>
        <v/>
      </c>
    </row>
    <row r="240">
      <c r="A240" s="1" t="n">
        <v>239</v>
      </c>
      <c r="B240" s="2" t="inlineStr">
        <is>
          <t>Belgium</t>
        </is>
      </c>
      <c r="C240" s="2" t="inlineStr">
        <is>
          <t>Dodi Lukebakio</t>
        </is>
      </c>
      <c r="D240" s="2" t="inlineStr">
        <is>
          <t>Avançado</t>
        </is>
      </c>
      <c r="E240" s="2" t="inlineStr">
        <is>
          <t>Benfica</t>
        </is>
      </c>
      <c r="F240">
        <f>VLOOKUP(E240,Clubes!B$2:D$438,2)</f>
        <v/>
      </c>
      <c r="G240">
        <f>VLOOKUP(E240,Clubes!B$2:D$438,3)</f>
        <v/>
      </c>
      <c r="H240" s="2" t="n">
        <v>34</v>
      </c>
      <c r="J240">
        <f>I240/H240</f>
        <v/>
      </c>
      <c r="K240">
        <f>H240*90</f>
        <v/>
      </c>
      <c r="M240">
        <f>L240/K240</f>
        <v/>
      </c>
    </row>
    <row r="241">
      <c r="A241" s="1" t="n">
        <v>240</v>
      </c>
      <c r="B241" s="2" t="inlineStr">
        <is>
          <t>Belgium</t>
        </is>
      </c>
      <c r="C241" s="2" t="inlineStr">
        <is>
          <t>Romelu Lukaku</t>
        </is>
      </c>
      <c r="D241" s="2" t="inlineStr">
        <is>
          <t>Avançado</t>
        </is>
      </c>
      <c r="E241" s="2" t="inlineStr">
        <is>
          <t>Napoli</t>
        </is>
      </c>
      <c r="F241">
        <f>VLOOKUP(E241,Clubes!B$2:D$438,2)</f>
        <v/>
      </c>
      <c r="G241">
        <f>VLOOKUP(E241,Clubes!B$2:D$438,3)</f>
        <v/>
      </c>
      <c r="H241" s="2" t="n">
        <v>38</v>
      </c>
      <c r="J241">
        <f>I241/H241</f>
        <v/>
      </c>
      <c r="K241">
        <f>H241*90</f>
        <v/>
      </c>
      <c r="M241">
        <f>L241/K241</f>
        <v/>
      </c>
    </row>
    <row r="242">
      <c r="A242" s="1" t="n">
        <v>241</v>
      </c>
      <c r="B242" s="2" t="inlineStr">
        <is>
          <t>Belgium</t>
        </is>
      </c>
      <c r="C242" s="2" t="inlineStr">
        <is>
          <t>Fernández-Pardo</t>
        </is>
      </c>
      <c r="D242" s="2" t="inlineStr">
        <is>
          <t>Avançado</t>
        </is>
      </c>
      <c r="E242" s="2" t="inlineStr">
        <is>
          <t>Lille</t>
        </is>
      </c>
      <c r="F242">
        <f>VLOOKUP(E242,Clubes!B$2:D$438,2)</f>
        <v/>
      </c>
      <c r="G242">
        <f>VLOOKUP(E242,Clubes!B$2:D$438,3)</f>
        <v/>
      </c>
      <c r="H242" s="2" t="n">
        <v>34</v>
      </c>
      <c r="J242">
        <f>I242/H242</f>
        <v/>
      </c>
      <c r="K242">
        <f>H242*90</f>
        <v/>
      </c>
      <c r="M242">
        <f>L242/K242</f>
        <v/>
      </c>
    </row>
    <row r="243">
      <c r="A243" s="1" t="n">
        <v>242</v>
      </c>
      <c r="B243" s="2" t="inlineStr">
        <is>
          <t>Belgium</t>
        </is>
      </c>
      <c r="C243" s="2" t="inlineStr">
        <is>
          <t>Leandro Trossard</t>
        </is>
      </c>
      <c r="D243" s="2" t="inlineStr">
        <is>
          <t>Avançado</t>
        </is>
      </c>
      <c r="E243" s="2" t="inlineStr">
        <is>
          <t>Arsenal</t>
        </is>
      </c>
      <c r="F243">
        <f>VLOOKUP(E243,Clubes!B$2:D$438,2)</f>
        <v/>
      </c>
      <c r="G243">
        <f>VLOOKUP(E243,Clubes!B$2:D$438,3)</f>
        <v/>
      </c>
      <c r="H243" s="2" t="n">
        <v>38</v>
      </c>
      <c r="J243">
        <f>I243/H243</f>
        <v/>
      </c>
      <c r="K243">
        <f>H243*90</f>
        <v/>
      </c>
      <c r="M243">
        <f>L243/K243</f>
        <v/>
      </c>
    </row>
    <row r="244">
      <c r="A244" s="1" t="n">
        <v>243</v>
      </c>
      <c r="B244" s="2" t="inlineStr">
        <is>
          <t>Belgium</t>
        </is>
      </c>
      <c r="C244" s="2" t="inlineStr">
        <is>
          <t>Jérémy Doku</t>
        </is>
      </c>
      <c r="D244" s="2" t="inlineStr">
        <is>
          <t>Avançado</t>
        </is>
      </c>
      <c r="E244" s="2" t="inlineStr">
        <is>
          <t>Manchester City</t>
        </is>
      </c>
      <c r="F244">
        <f>VLOOKUP(E244,Clubes!B$2:D$438,2)</f>
        <v/>
      </c>
      <c r="G244">
        <f>VLOOKUP(E244,Clubes!B$2:D$438,3)</f>
        <v/>
      </c>
      <c r="H244" s="2" t="n">
        <v>38</v>
      </c>
      <c r="J244">
        <f>I244/H244</f>
        <v/>
      </c>
      <c r="K244">
        <f>H244*90</f>
        <v/>
      </c>
      <c r="M244">
        <f>L244/K244</f>
        <v/>
      </c>
    </row>
    <row r="245">
      <c r="A245" s="1" t="n">
        <v>244</v>
      </c>
      <c r="B245" s="2" t="inlineStr">
        <is>
          <t>Belgium</t>
        </is>
      </c>
      <c r="C245" s="2" t="inlineStr">
        <is>
          <t>Diego Moreira</t>
        </is>
      </c>
      <c r="D245" s="2" t="inlineStr">
        <is>
          <t>Avançado</t>
        </is>
      </c>
      <c r="E245" s="2" t="inlineStr">
        <is>
          <t>Strasbourg</t>
        </is>
      </c>
      <c r="F245">
        <f>VLOOKUP(E245,Clubes!B$2:D$438,2)</f>
        <v/>
      </c>
      <c r="G245">
        <f>VLOOKUP(E245,Clubes!B$2:D$438,3)</f>
        <v/>
      </c>
      <c r="H245" s="2" t="n">
        <v>34</v>
      </c>
      <c r="J245">
        <f>I245/H245</f>
        <v/>
      </c>
      <c r="K245">
        <f>H245*90</f>
        <v/>
      </c>
      <c r="M245">
        <f>L245/K245</f>
        <v/>
      </c>
    </row>
    <row r="246">
      <c r="A246" s="1" t="n">
        <v>245</v>
      </c>
      <c r="B246" s="2" t="inlineStr">
        <is>
          <t>Bosnia and Herzegovina</t>
        </is>
      </c>
      <c r="C246" s="2" t="inlineStr">
        <is>
          <t>Osman Hadzikic</t>
        </is>
      </c>
      <c r="D246" s="2" t="inlineStr">
        <is>
          <t>Guarda Redes</t>
        </is>
      </c>
      <c r="E246" s="2" t="inlineStr">
        <is>
          <t>Slaven</t>
        </is>
      </c>
      <c r="F246">
        <f>VLOOKUP(E246,Clubes!B$2:D$438,2)</f>
        <v/>
      </c>
      <c r="G246">
        <f>VLOOKUP(E246,Clubes!B$2:D$438,3)</f>
        <v/>
      </c>
      <c r="H246" s="2" t="n">
        <v>36</v>
      </c>
      <c r="J246">
        <f>I246/H246</f>
        <v/>
      </c>
      <c r="K246">
        <f>H246*90</f>
        <v/>
      </c>
      <c r="M246">
        <f>L246/K246</f>
        <v/>
      </c>
    </row>
    <row r="247">
      <c r="A247" s="1" t="n">
        <v>246</v>
      </c>
      <c r="B247" s="2" t="inlineStr">
        <is>
          <t>Bosnia and Herzegovina</t>
        </is>
      </c>
      <c r="C247" s="2" t="inlineStr">
        <is>
          <t>Nikola Vasilj</t>
        </is>
      </c>
      <c r="D247" s="2" t="inlineStr">
        <is>
          <t>Guarda Redes</t>
        </is>
      </c>
      <c r="E247" s="2" t="inlineStr">
        <is>
          <t>FC St. Pauli</t>
        </is>
      </c>
      <c r="F247">
        <f>VLOOKUP(E247,Clubes!B$2:D$438,2)</f>
        <v/>
      </c>
      <c r="G247">
        <f>VLOOKUP(E247,Clubes!B$2:D$438,3)</f>
        <v/>
      </c>
      <c r="H247" s="2" t="n">
        <v>34</v>
      </c>
      <c r="J247">
        <f>I247/H247</f>
        <v/>
      </c>
      <c r="K247">
        <f>H247*90</f>
        <v/>
      </c>
      <c r="M247">
        <f>L247/K247</f>
        <v/>
      </c>
    </row>
    <row r="248">
      <c r="A248" s="1" t="n">
        <v>247</v>
      </c>
      <c r="B248" s="2" t="inlineStr">
        <is>
          <t>Bosnia and Herzegovina</t>
        </is>
      </c>
      <c r="C248" s="2" t="inlineStr">
        <is>
          <t>Martin Zlomislic</t>
        </is>
      </c>
      <c r="D248" s="2" t="inlineStr">
        <is>
          <t>Guarda Redes</t>
        </is>
      </c>
      <c r="E248" s="2" t="inlineStr">
        <is>
          <t>HNK Rijeka</t>
        </is>
      </c>
      <c r="F248">
        <f>VLOOKUP(E248,Clubes!B$2:D$438,2)</f>
        <v/>
      </c>
      <c r="G248">
        <f>VLOOKUP(E248,Clubes!B$2:D$438,3)</f>
        <v/>
      </c>
      <c r="H248" s="2" t="n">
        <v>38</v>
      </c>
      <c r="J248">
        <f>I248/H248</f>
        <v/>
      </c>
      <c r="K248">
        <f>H248*90</f>
        <v/>
      </c>
      <c r="M248">
        <f>L248/K248</f>
        <v/>
      </c>
    </row>
    <row r="249">
      <c r="A249" s="1" t="n">
        <v>248</v>
      </c>
      <c r="B249" s="2" t="inlineStr">
        <is>
          <t>Bosnia and Herzegovina</t>
        </is>
      </c>
      <c r="C249" s="2" t="inlineStr">
        <is>
          <t>Amar Dedić</t>
        </is>
      </c>
      <c r="D249" s="2" t="inlineStr">
        <is>
          <t>Defesa</t>
        </is>
      </c>
      <c r="E249" s="2" t="inlineStr">
        <is>
          <t>Benfica</t>
        </is>
      </c>
      <c r="F249">
        <f>VLOOKUP(E249,Clubes!B$2:D$438,2)</f>
        <v/>
      </c>
      <c r="G249">
        <f>VLOOKUP(E249,Clubes!B$2:D$438,3)</f>
        <v/>
      </c>
      <c r="H249" s="2" t="n">
        <v>34</v>
      </c>
      <c r="J249">
        <f>I249/H249</f>
        <v/>
      </c>
      <c r="K249">
        <f>H249*90</f>
        <v/>
      </c>
      <c r="M249">
        <f>L249/K249</f>
        <v/>
      </c>
    </row>
    <row r="250">
      <c r="A250" s="1" t="n">
        <v>249</v>
      </c>
      <c r="B250" s="2" t="inlineStr">
        <is>
          <t>Bosnia and Herzegovina</t>
        </is>
      </c>
      <c r="C250" s="2" t="inlineStr">
        <is>
          <t>Nihad Mujakic</t>
        </is>
      </c>
      <c r="D250" s="2" t="inlineStr">
        <is>
          <t>Defesa</t>
        </is>
      </c>
      <c r="E250" s="2" t="inlineStr">
        <is>
          <t>Gazisehir Gaziantep</t>
        </is>
      </c>
      <c r="F250">
        <f>VLOOKUP(E250,Clubes!B$2:D$438,2)</f>
        <v/>
      </c>
      <c r="G250">
        <f>VLOOKUP(E250,Clubes!B$2:D$438,3)</f>
        <v/>
      </c>
      <c r="H250" s="2" t="n">
        <v>38</v>
      </c>
      <c r="J250">
        <f>I250/H250</f>
        <v/>
      </c>
      <c r="K250">
        <f>H250*90</f>
        <v/>
      </c>
      <c r="M250">
        <f>L250/K250</f>
        <v/>
      </c>
    </row>
    <row r="251">
      <c r="A251" s="1" t="n">
        <v>250</v>
      </c>
      <c r="B251" s="2" t="inlineStr">
        <is>
          <t>Bosnia and Herzegovina</t>
        </is>
      </c>
      <c r="C251" s="2" t="inlineStr">
        <is>
          <t>Dennis Hadzikadunic</t>
        </is>
      </c>
      <c r="D251" s="2" t="inlineStr">
        <is>
          <t>Defesa</t>
        </is>
      </c>
      <c r="E251" s="2" t="inlineStr">
        <is>
          <t>Sampdoria</t>
        </is>
      </c>
      <c r="F251">
        <f>VLOOKUP(E251,Clubes!B$2:D$438,2)</f>
        <v/>
      </c>
      <c r="G251">
        <f>VLOOKUP(E251,Clubes!B$2:D$438,3)</f>
        <v/>
      </c>
      <c r="H251" s="2" t="n">
        <v>40</v>
      </c>
      <c r="J251">
        <f>I251/H251</f>
        <v/>
      </c>
      <c r="K251">
        <f>H251*90</f>
        <v/>
      </c>
      <c r="M251">
        <f>L251/K251</f>
        <v/>
      </c>
    </row>
    <row r="252">
      <c r="A252" s="1" t="n">
        <v>251</v>
      </c>
      <c r="B252" s="2" t="inlineStr">
        <is>
          <t>Bosnia and Herzegovina</t>
        </is>
      </c>
      <c r="C252" s="2" t="inlineStr">
        <is>
          <t>Tarik Muharemovic</t>
        </is>
      </c>
      <c r="D252" s="2" t="inlineStr">
        <is>
          <t>Defesa</t>
        </is>
      </c>
      <c r="E252" s="2" t="inlineStr">
        <is>
          <t>Sassuolo</t>
        </is>
      </c>
      <c r="F252">
        <f>VLOOKUP(E252,Clubes!B$2:D$438,2)</f>
        <v/>
      </c>
      <c r="G252">
        <f>VLOOKUP(E252,Clubes!B$2:D$438,3)</f>
        <v/>
      </c>
      <c r="H252" s="2" t="n">
        <v>40</v>
      </c>
      <c r="J252">
        <f>I252/H252</f>
        <v/>
      </c>
      <c r="K252">
        <f>H252*90</f>
        <v/>
      </c>
      <c r="M252">
        <f>L252/K252</f>
        <v/>
      </c>
    </row>
    <row r="253">
      <c r="A253" s="1" t="n">
        <v>252</v>
      </c>
      <c r="B253" s="2" t="inlineStr">
        <is>
          <t>Bosnia and Herzegovina</t>
        </is>
      </c>
      <c r="C253" s="2" t="inlineStr">
        <is>
          <t>Sead Kolasinac</t>
        </is>
      </c>
      <c r="D253" s="2" t="inlineStr">
        <is>
          <t>Defesa</t>
        </is>
      </c>
      <c r="E253" s="2" t="inlineStr">
        <is>
          <t>Atalanta</t>
        </is>
      </c>
      <c r="F253">
        <f>VLOOKUP(E253,Clubes!B$2:D$438,2)</f>
        <v/>
      </c>
      <c r="G253">
        <f>VLOOKUP(E253,Clubes!B$2:D$438,3)</f>
        <v/>
      </c>
      <c r="H253" s="2" t="n">
        <v>38</v>
      </c>
      <c r="J253">
        <f>I253/H253</f>
        <v/>
      </c>
      <c r="K253">
        <f>H253*90</f>
        <v/>
      </c>
      <c r="M253">
        <f>L253/K253</f>
        <v/>
      </c>
    </row>
    <row r="254">
      <c r="A254" s="1" t="n">
        <v>253</v>
      </c>
      <c r="B254" s="2" t="inlineStr">
        <is>
          <t>Bosnia and Herzegovina</t>
        </is>
      </c>
      <c r="C254" s="2" t="inlineStr">
        <is>
          <t>Nikola Katic</t>
        </is>
      </c>
      <c r="D254" s="2" t="inlineStr">
        <is>
          <t>Defesa</t>
        </is>
      </c>
      <c r="E254" s="2" t="inlineStr">
        <is>
          <t>Schalke 04</t>
        </is>
      </c>
      <c r="F254">
        <f>VLOOKUP(E254,Clubes!B$2:D$438,2)</f>
        <v/>
      </c>
      <c r="G254">
        <f>VLOOKUP(E254,Clubes!B$2:D$438,3)</f>
        <v/>
      </c>
      <c r="H254" s="2" t="n">
        <v>34</v>
      </c>
      <c r="J254">
        <f>I254/H254</f>
        <v/>
      </c>
      <c r="K254">
        <f>H254*90</f>
        <v/>
      </c>
      <c r="M254">
        <f>L254/K254</f>
        <v/>
      </c>
    </row>
    <row r="255">
      <c r="A255" s="1" t="n">
        <v>254</v>
      </c>
      <c r="B255" s="2" t="inlineStr">
        <is>
          <t>Bosnia and Herzegovina</t>
        </is>
      </c>
      <c r="C255" s="2" t="inlineStr">
        <is>
          <t>Stjepan Radeljic</t>
        </is>
      </c>
      <c r="D255" s="2" t="inlineStr">
        <is>
          <t>Defesa</t>
        </is>
      </c>
      <c r="E255" s="2" t="inlineStr">
        <is>
          <t>HNK Rijeka</t>
        </is>
      </c>
      <c r="F255">
        <f>VLOOKUP(E255,Clubes!B$2:D$438,2)</f>
        <v/>
      </c>
      <c r="G255">
        <f>VLOOKUP(E255,Clubes!B$2:D$438,3)</f>
        <v/>
      </c>
      <c r="H255" s="2" t="n">
        <v>38</v>
      </c>
      <c r="J255">
        <f>I255/H255</f>
        <v/>
      </c>
      <c r="K255">
        <f>H255*90</f>
        <v/>
      </c>
      <c r="M255">
        <f>L255/K255</f>
        <v/>
      </c>
    </row>
    <row r="256">
      <c r="A256" s="1" t="n">
        <v>255</v>
      </c>
      <c r="B256" s="2" t="inlineStr">
        <is>
          <t>Bosnia and Herzegovina</t>
        </is>
      </c>
      <c r="C256" s="2" t="inlineStr">
        <is>
          <t>Nidal Celik</t>
        </is>
      </c>
      <c r="D256" s="2" t="inlineStr">
        <is>
          <t>Defesa</t>
        </is>
      </c>
      <c r="E256" s="2" t="inlineStr">
        <is>
          <t>Lens</t>
        </is>
      </c>
      <c r="F256">
        <f>VLOOKUP(E256,Clubes!B$2:D$438,2)</f>
        <v/>
      </c>
      <c r="G256">
        <f>VLOOKUP(E256,Clubes!B$2:D$438,3)</f>
        <v/>
      </c>
      <c r="H256" s="2" t="n">
        <v>34</v>
      </c>
      <c r="J256">
        <f>I256/H256</f>
        <v/>
      </c>
      <c r="K256">
        <f>H256*90</f>
        <v/>
      </c>
      <c r="M256">
        <f>L256/K256</f>
        <v/>
      </c>
    </row>
    <row r="257">
      <c r="A257" s="1" t="n">
        <v>256</v>
      </c>
      <c r="B257" s="2" t="inlineStr">
        <is>
          <t>Bosnia and Herzegovina</t>
        </is>
      </c>
      <c r="C257" s="2" t="inlineStr">
        <is>
          <t>Ivan Sunjic</t>
        </is>
      </c>
      <c r="D257" s="2" t="inlineStr">
        <is>
          <t>Médio</t>
        </is>
      </c>
      <c r="E257" s="2" t="inlineStr">
        <is>
          <t>Pafos FC</t>
        </is>
      </c>
      <c r="F257">
        <f>VLOOKUP(E257,Clubes!B$2:D$438,2)</f>
        <v/>
      </c>
      <c r="G257">
        <f>VLOOKUP(E257,Clubes!B$2:D$438,3)</f>
        <v/>
      </c>
      <c r="H257" s="2" t="n">
        <v>38</v>
      </c>
      <c r="J257">
        <f>I257/H257</f>
        <v/>
      </c>
      <c r="K257">
        <f>H257*90</f>
        <v/>
      </c>
      <c r="M257">
        <f>L257/K257</f>
        <v/>
      </c>
    </row>
    <row r="258">
      <c r="A258" s="1" t="n">
        <v>257</v>
      </c>
      <c r="B258" s="2" t="inlineStr">
        <is>
          <t>Bosnia and Herzegovina</t>
        </is>
      </c>
      <c r="C258" s="2" t="inlineStr">
        <is>
          <t>Amir Hadziahmetovic</t>
        </is>
      </c>
      <c r="D258" s="2" t="inlineStr">
        <is>
          <t>Médio</t>
        </is>
      </c>
      <c r="E258" s="2" t="inlineStr">
        <is>
          <t>Hull City</t>
        </is>
      </c>
      <c r="F258">
        <f>VLOOKUP(E258,Clubes!B$2:D$438,2)</f>
        <v/>
      </c>
      <c r="G258">
        <f>VLOOKUP(E258,Clubes!B$2:D$438,3)</f>
        <v/>
      </c>
      <c r="H258" s="2" t="n">
        <v>46</v>
      </c>
      <c r="J258">
        <f>I258/H258</f>
        <v/>
      </c>
      <c r="K258">
        <f>H258*90</f>
        <v/>
      </c>
      <c r="M258">
        <f>L258/K258</f>
        <v/>
      </c>
    </row>
    <row r="259">
      <c r="A259" s="1" t="n">
        <v>258</v>
      </c>
      <c r="B259" s="2" t="inlineStr">
        <is>
          <t>Bosnia and Herzegovina</t>
        </is>
      </c>
      <c r="C259" s="2" t="inlineStr">
        <is>
          <t>Dzenis Burnic</t>
        </is>
      </c>
      <c r="D259" s="2" t="inlineStr">
        <is>
          <t>Médio</t>
        </is>
      </c>
      <c r="E259" s="2" t="inlineStr">
        <is>
          <t>Karlsruher SC</t>
        </is>
      </c>
      <c r="F259">
        <f>VLOOKUP(E259,Clubes!B$2:D$438,2)</f>
        <v/>
      </c>
      <c r="G259">
        <f>VLOOKUP(E259,Clubes!B$2:D$438,3)</f>
        <v/>
      </c>
      <c r="H259" s="2" t="n">
        <v>34</v>
      </c>
      <c r="J259">
        <f>I259/H259</f>
        <v/>
      </c>
      <c r="K259">
        <f>H259*90</f>
        <v/>
      </c>
      <c r="M259">
        <f>L259/K259</f>
        <v/>
      </c>
    </row>
    <row r="260">
      <c r="A260" s="1" t="n">
        <v>259</v>
      </c>
      <c r="B260" s="2" t="inlineStr">
        <is>
          <t>Bosnia and Herzegovina</t>
        </is>
      </c>
      <c r="C260" s="2" t="inlineStr">
        <is>
          <t>Benjamin Tahirovic</t>
        </is>
      </c>
      <c r="D260" s="2" t="inlineStr">
        <is>
          <t>Médio</t>
        </is>
      </c>
      <c r="E260" s="2" t="inlineStr">
        <is>
          <t>Brondby IF</t>
        </is>
      </c>
      <c r="F260">
        <f>VLOOKUP(E260,Clubes!B$2:D$438,2)</f>
        <v/>
      </c>
      <c r="G260">
        <f>VLOOKUP(E260,Clubes!B$2:D$438,3)</f>
        <v/>
      </c>
      <c r="H260" s="2" t="n">
        <v>32</v>
      </c>
      <c r="J260">
        <f>I260/H260</f>
        <v/>
      </c>
      <c r="K260">
        <f>H260*90</f>
        <v/>
      </c>
      <c r="M260">
        <f>L260/K260</f>
        <v/>
      </c>
    </row>
    <row r="261">
      <c r="A261" s="1" t="n">
        <v>260</v>
      </c>
      <c r="B261" s="2" t="inlineStr">
        <is>
          <t>Bosnia and Herzegovina</t>
        </is>
      </c>
      <c r="C261" s="2" t="inlineStr">
        <is>
          <t>Armin Gigovic</t>
        </is>
      </c>
      <c r="D261" s="2" t="inlineStr">
        <is>
          <t>Médio</t>
        </is>
      </c>
      <c r="E261" s="2" t="inlineStr">
        <is>
          <t>Young Boys</t>
        </is>
      </c>
      <c r="F261">
        <f>VLOOKUP(E261,Clubes!B$2:D$438,2)</f>
        <v/>
      </c>
      <c r="G261">
        <f>VLOOKUP(E261,Clubes!B$2:D$438,3)</f>
        <v/>
      </c>
      <c r="H261" s="2" t="n">
        <v>38</v>
      </c>
      <c r="J261">
        <f>I261/H261</f>
        <v/>
      </c>
      <c r="K261">
        <f>H261*90</f>
        <v/>
      </c>
      <c r="M261">
        <f>L261/K261</f>
        <v/>
      </c>
    </row>
    <row r="262">
      <c r="A262" s="1" t="n">
        <v>261</v>
      </c>
      <c r="B262" s="2" t="inlineStr">
        <is>
          <t>Bosnia and Herzegovina</t>
        </is>
      </c>
      <c r="C262" s="2" t="inlineStr">
        <is>
          <t>Ivan Basic</t>
        </is>
      </c>
      <c r="D262" s="2" t="inlineStr">
        <is>
          <t>Médio</t>
        </is>
      </c>
      <c r="E262" s="2" t="inlineStr">
        <is>
          <t>Astana</t>
        </is>
      </c>
      <c r="F262">
        <f>VLOOKUP(E262,Clubes!B$2:D$438,2)</f>
        <v/>
      </c>
      <c r="G262">
        <f>VLOOKUP(E262,Clubes!B$2:D$438,3)</f>
        <v/>
      </c>
      <c r="H262" s="2" t="n">
        <v>26</v>
      </c>
      <c r="J262">
        <f>I262/H262</f>
        <v/>
      </c>
      <c r="K262">
        <f>H262*90</f>
        <v/>
      </c>
      <c r="M262">
        <f>L262/K262</f>
        <v/>
      </c>
    </row>
    <row r="263">
      <c r="A263" s="1" t="n">
        <v>262</v>
      </c>
      <c r="B263" s="2" t="inlineStr">
        <is>
          <t>Bosnia and Herzegovina</t>
        </is>
      </c>
      <c r="C263" s="2" t="inlineStr">
        <is>
          <t>Ermin Mahmic</t>
        </is>
      </c>
      <c r="D263" s="2" t="inlineStr">
        <is>
          <t>Médio</t>
        </is>
      </c>
      <c r="E263" s="2" t="inlineStr">
        <is>
          <t>Slovan Liberec</t>
        </is>
      </c>
      <c r="F263">
        <f>VLOOKUP(E263,Clubes!B$2:D$438,2)</f>
        <v/>
      </c>
      <c r="G263">
        <f>VLOOKUP(E263,Clubes!B$2:D$438,3)</f>
        <v/>
      </c>
      <c r="H263" s="2" t="n">
        <v>35</v>
      </c>
      <c r="J263">
        <f>I263/H263</f>
        <v/>
      </c>
      <c r="K263">
        <f>H263*90</f>
        <v/>
      </c>
      <c r="M263">
        <f>L263/K263</f>
        <v/>
      </c>
    </row>
    <row r="264">
      <c r="A264" s="1" t="n">
        <v>263</v>
      </c>
      <c r="B264" s="2" t="inlineStr">
        <is>
          <t>Bosnia and Herzegovina</t>
        </is>
      </c>
      <c r="C264" s="2" t="inlineStr">
        <is>
          <t>Amar Memić</t>
        </is>
      </c>
      <c r="D264" s="2" t="inlineStr">
        <is>
          <t>Avançado</t>
        </is>
      </c>
      <c r="E264" s="2" t="inlineStr">
        <is>
          <t>Viktoria Plzeň</t>
        </is>
      </c>
      <c r="F264">
        <f>VLOOKUP(E264,Clubes!B$2:D$438,2)</f>
        <v/>
      </c>
      <c r="G264">
        <f>VLOOKUP(E264,Clubes!B$2:D$438,3)</f>
        <v/>
      </c>
      <c r="H264" s="2" t="n">
        <v>35</v>
      </c>
      <c r="J264">
        <f>I264/H264</f>
        <v/>
      </c>
      <c r="K264">
        <f>H264*90</f>
        <v/>
      </c>
      <c r="M264">
        <f>L264/K264</f>
        <v/>
      </c>
    </row>
    <row r="265">
      <c r="A265" s="1" t="n">
        <v>264</v>
      </c>
      <c r="B265" s="2" t="inlineStr">
        <is>
          <t>Bosnia and Herzegovina</t>
        </is>
      </c>
      <c r="C265" s="2" t="inlineStr">
        <is>
          <t>Esmir Bajraktarević</t>
        </is>
      </c>
      <c r="D265" s="2" t="inlineStr">
        <is>
          <t>Avançado</t>
        </is>
      </c>
      <c r="E265" s="2" t="inlineStr">
        <is>
          <t>PSV</t>
        </is>
      </c>
      <c r="F265">
        <f>VLOOKUP(E265,Clubes!B$2:D$438,2)</f>
        <v/>
      </c>
      <c r="G265">
        <f>VLOOKUP(E265,Clubes!B$2:D$438,3)</f>
        <v/>
      </c>
      <c r="H265" s="2" t="n">
        <v>46</v>
      </c>
      <c r="J265">
        <f>I265/H265</f>
        <v/>
      </c>
      <c r="K265">
        <f>H265*90</f>
        <v/>
      </c>
      <c r="M265">
        <f>L265/K265</f>
        <v/>
      </c>
    </row>
    <row r="266">
      <c r="A266" s="1" t="n">
        <v>265</v>
      </c>
      <c r="B266" s="2" t="inlineStr">
        <is>
          <t>Bosnia and Herzegovina</t>
        </is>
      </c>
      <c r="C266" s="2" t="inlineStr">
        <is>
          <t>Samed Bazdar</t>
        </is>
      </c>
      <c r="D266" s="2" t="inlineStr">
        <is>
          <t>Avançado</t>
        </is>
      </c>
      <c r="E266" s="2" t="inlineStr">
        <is>
          <t>Jagiellonia Bialystok</t>
        </is>
      </c>
      <c r="F266">
        <f>VLOOKUP(E266,Clubes!B$2:D$438,2)</f>
        <v/>
      </c>
      <c r="G266">
        <f>VLOOKUP(E266,Clubes!B$2:D$438,3)</f>
        <v/>
      </c>
      <c r="H266" s="2" t="n">
        <v>46</v>
      </c>
      <c r="J266">
        <f>I266/H266</f>
        <v/>
      </c>
      <c r="K266">
        <f>H266*90</f>
        <v/>
      </c>
      <c r="M266">
        <f>L266/K266</f>
        <v/>
      </c>
    </row>
    <row r="267">
      <c r="A267" s="1" t="n">
        <v>266</v>
      </c>
      <c r="B267" s="2" t="inlineStr">
        <is>
          <t>Bosnia and Herzegovina</t>
        </is>
      </c>
      <c r="C267" s="2" t="inlineStr">
        <is>
          <t>Ermedin Demirovic</t>
        </is>
      </c>
      <c r="D267" s="2" t="inlineStr">
        <is>
          <t>Avançado</t>
        </is>
      </c>
      <c r="E267" s="2" t="inlineStr">
        <is>
          <t>Stuttgart</t>
        </is>
      </c>
      <c r="F267">
        <f>VLOOKUP(E267,Clubes!B$2:D$438,2)</f>
        <v/>
      </c>
      <c r="G267">
        <f>VLOOKUP(E267,Clubes!B$2:D$438,3)</f>
        <v/>
      </c>
      <c r="H267" s="2" t="n">
        <v>34</v>
      </c>
      <c r="J267">
        <f>I267/H267</f>
        <v/>
      </c>
      <c r="K267">
        <f>H267*90</f>
        <v/>
      </c>
      <c r="M267">
        <f>L267/K267</f>
        <v/>
      </c>
    </row>
    <row r="268">
      <c r="A268" s="1" t="n">
        <v>267</v>
      </c>
      <c r="B268" s="2" t="inlineStr">
        <is>
          <t>Bosnia and Herzegovina</t>
        </is>
      </c>
      <c r="C268" s="2" t="inlineStr">
        <is>
          <t>Edin Dzeko</t>
        </is>
      </c>
      <c r="D268" s="2" t="inlineStr">
        <is>
          <t>Avançado</t>
        </is>
      </c>
      <c r="E268" s="2" t="inlineStr">
        <is>
          <t>Schalke 04</t>
        </is>
      </c>
      <c r="F268">
        <f>VLOOKUP(E268,Clubes!B$2:D$438,2)</f>
        <v/>
      </c>
      <c r="G268">
        <f>VLOOKUP(E268,Clubes!B$2:D$438,3)</f>
        <v/>
      </c>
      <c r="H268" s="2" t="n">
        <v>34</v>
      </c>
      <c r="J268">
        <f>I268/H268</f>
        <v/>
      </c>
      <c r="K268">
        <f>H268*90</f>
        <v/>
      </c>
      <c r="M268">
        <f>L268/K268</f>
        <v/>
      </c>
    </row>
    <row r="269">
      <c r="A269" s="1" t="n">
        <v>268</v>
      </c>
      <c r="B269" s="2" t="inlineStr">
        <is>
          <t>Bosnia and Herzegovina</t>
        </is>
      </c>
      <c r="C269" s="2" t="inlineStr">
        <is>
          <t>Haris Tabakovic</t>
        </is>
      </c>
      <c r="D269" s="2" t="inlineStr">
        <is>
          <t>Avançado</t>
        </is>
      </c>
      <c r="E269" s="2" t="inlineStr">
        <is>
          <t>Borussia M´gladbach</t>
        </is>
      </c>
      <c r="F269">
        <f>VLOOKUP(E269,Clubes!B$2:D$438,2)</f>
        <v/>
      </c>
      <c r="G269">
        <f>VLOOKUP(E269,Clubes!B$2:D$438,3)</f>
        <v/>
      </c>
      <c r="H269" s="2" t="n">
        <v>34</v>
      </c>
      <c r="J269">
        <f>I269/H269</f>
        <v/>
      </c>
      <c r="K269">
        <f>H269*90</f>
        <v/>
      </c>
      <c r="M269">
        <f>L269/K269</f>
        <v/>
      </c>
    </row>
    <row r="270">
      <c r="A270" s="1" t="n">
        <v>269</v>
      </c>
      <c r="B270" s="2" t="inlineStr">
        <is>
          <t>Bosnia and Herzegovina</t>
        </is>
      </c>
      <c r="C270" s="2" t="inlineStr">
        <is>
          <t>Jovo Lukic</t>
        </is>
      </c>
      <c r="D270" s="2" t="inlineStr">
        <is>
          <t>Avançado</t>
        </is>
      </c>
      <c r="E270" s="2" t="inlineStr">
        <is>
          <t>Universitatea Cluj</t>
        </is>
      </c>
      <c r="F270">
        <f>VLOOKUP(E270,Clubes!B$2:D$438,2)</f>
        <v/>
      </c>
      <c r="G270">
        <f>VLOOKUP(E270,Clubes!B$2:D$438,3)</f>
        <v/>
      </c>
      <c r="H270" s="2" t="n">
        <v>30</v>
      </c>
      <c r="J270">
        <f>I270/H270</f>
        <v/>
      </c>
      <c r="K270">
        <f>H270*90</f>
        <v/>
      </c>
      <c r="M270">
        <f>L270/K270</f>
        <v/>
      </c>
    </row>
    <row r="271">
      <c r="A271" s="1" t="n">
        <v>270</v>
      </c>
      <c r="B271" s="2" t="inlineStr">
        <is>
          <t>Bosnia and Herzegovina</t>
        </is>
      </c>
      <c r="C271" s="2" t="inlineStr">
        <is>
          <t>Kerim Alajbegovic</t>
        </is>
      </c>
      <c r="D271" s="2" t="inlineStr">
        <is>
          <t>Avançado</t>
        </is>
      </c>
      <c r="E271" s="2" t="inlineStr">
        <is>
          <t>Red Bull Salzburg</t>
        </is>
      </c>
      <c r="F271">
        <f>VLOOKUP(E271,Clubes!B$2:D$438,2)</f>
        <v/>
      </c>
      <c r="G271">
        <f>VLOOKUP(E271,Clubes!B$2:D$438,3)</f>
        <v/>
      </c>
      <c r="H271" s="2" t="n">
        <v>32</v>
      </c>
      <c r="J271">
        <f>I271/H271</f>
        <v/>
      </c>
      <c r="K271">
        <f>H271*90</f>
        <v/>
      </c>
      <c r="M271">
        <f>L271/K271</f>
        <v/>
      </c>
    </row>
    <row r="272">
      <c r="A272" s="1" t="n">
        <v>271</v>
      </c>
      <c r="B272" s="2" t="inlineStr">
        <is>
          <t>Brazil</t>
        </is>
      </c>
      <c r="C272" s="2" t="inlineStr">
        <is>
          <t>Alisson Becker</t>
        </is>
      </c>
      <c r="D272" s="2" t="inlineStr">
        <is>
          <t>Guarda Redes</t>
        </is>
      </c>
      <c r="E272" s="2" t="inlineStr">
        <is>
          <t>Liverpool</t>
        </is>
      </c>
      <c r="F272">
        <f>VLOOKUP(E272,Clubes!B$2:D$438,2)</f>
        <v/>
      </c>
      <c r="G272">
        <f>VLOOKUP(E272,Clubes!B$2:D$438,3)</f>
        <v/>
      </c>
      <c r="H272" s="2" t="n">
        <v>38</v>
      </c>
      <c r="J272">
        <f>I272/H272</f>
        <v/>
      </c>
      <c r="K272">
        <f>H272*90</f>
        <v/>
      </c>
      <c r="M272">
        <f>L272/K272</f>
        <v/>
      </c>
    </row>
    <row r="273">
      <c r="A273" s="1" t="n">
        <v>272</v>
      </c>
      <c r="B273" s="2" t="inlineStr">
        <is>
          <t>Brazil</t>
        </is>
      </c>
      <c r="C273" s="2" t="inlineStr">
        <is>
          <t>Weverton</t>
        </is>
      </c>
      <c r="D273" s="2" t="inlineStr">
        <is>
          <t>Guarda Redes</t>
        </is>
      </c>
      <c r="E273" s="2" t="inlineStr">
        <is>
          <t>Grêmio</t>
        </is>
      </c>
      <c r="F273">
        <f>VLOOKUP(E273,Clubes!B$2:D$438,2)</f>
        <v/>
      </c>
      <c r="G273">
        <f>VLOOKUP(E273,Clubes!B$2:D$438,3)</f>
        <v/>
      </c>
      <c r="H273" s="2" t="n">
        <v>38</v>
      </c>
      <c r="J273">
        <f>I273/H273</f>
        <v/>
      </c>
      <c r="K273">
        <f>H273*90</f>
        <v/>
      </c>
      <c r="M273">
        <f>L273/K273</f>
        <v/>
      </c>
    </row>
    <row r="274">
      <c r="A274" s="1" t="n">
        <v>273</v>
      </c>
      <c r="B274" s="2" t="inlineStr">
        <is>
          <t>Brazil</t>
        </is>
      </c>
      <c r="C274" s="2" t="inlineStr">
        <is>
          <t>Ederson Moraes</t>
        </is>
      </c>
      <c r="D274" s="2" t="inlineStr">
        <is>
          <t>Guarda Redes</t>
        </is>
      </c>
      <c r="E274" s="2" t="inlineStr">
        <is>
          <t>Fenerbahçe</t>
        </is>
      </c>
      <c r="F274">
        <f>VLOOKUP(E274,Clubes!B$2:D$438,2)</f>
        <v/>
      </c>
      <c r="G274">
        <f>VLOOKUP(E274,Clubes!B$2:D$438,3)</f>
        <v/>
      </c>
      <c r="H274" s="2" t="n">
        <v>40</v>
      </c>
      <c r="J274">
        <f>I274/H274</f>
        <v/>
      </c>
      <c r="K274">
        <f>H274*90</f>
        <v/>
      </c>
      <c r="M274">
        <f>L274/K274</f>
        <v/>
      </c>
    </row>
    <row r="275">
      <c r="A275" s="1" t="n">
        <v>274</v>
      </c>
      <c r="B275" s="2" t="inlineStr">
        <is>
          <t>Brazil</t>
        </is>
      </c>
      <c r="C275" s="2" t="inlineStr">
        <is>
          <t>Gabriel Magalhães</t>
        </is>
      </c>
      <c r="D275" s="2" t="inlineStr">
        <is>
          <t>Defesa</t>
        </is>
      </c>
      <c r="E275" s="2" t="inlineStr">
        <is>
          <t>Arsenal</t>
        </is>
      </c>
      <c r="F275">
        <f>VLOOKUP(E275,Clubes!B$2:D$438,2)</f>
        <v/>
      </c>
      <c r="G275">
        <f>VLOOKUP(E275,Clubes!B$2:D$438,3)</f>
        <v/>
      </c>
      <c r="H275" s="2" t="n">
        <v>38</v>
      </c>
      <c r="J275">
        <f>I275/H275</f>
        <v/>
      </c>
      <c r="K275">
        <f>H275*90</f>
        <v/>
      </c>
      <c r="M275">
        <f>L275/K275</f>
        <v/>
      </c>
    </row>
    <row r="276">
      <c r="A276" s="1" t="n">
        <v>275</v>
      </c>
      <c r="B276" s="2" t="inlineStr">
        <is>
          <t>Brazil</t>
        </is>
      </c>
      <c r="C276" s="2" t="inlineStr">
        <is>
          <t>Marquinhos</t>
        </is>
      </c>
      <c r="D276" s="2" t="inlineStr">
        <is>
          <t>Defesa</t>
        </is>
      </c>
      <c r="E276" s="2" t="inlineStr">
        <is>
          <t>PSG</t>
        </is>
      </c>
      <c r="F276">
        <f>VLOOKUP(E276,Clubes!B$2:D$438,2)</f>
        <v/>
      </c>
      <c r="G276">
        <f>VLOOKUP(E276,Clubes!B$2:D$438,3)</f>
        <v/>
      </c>
      <c r="H276" s="2" t="n">
        <v>46</v>
      </c>
      <c r="J276">
        <f>I276/H276</f>
        <v/>
      </c>
      <c r="K276">
        <f>H276*90</f>
        <v/>
      </c>
      <c r="M276">
        <f>L276/K276</f>
        <v/>
      </c>
    </row>
    <row r="277">
      <c r="A277" s="1" t="n">
        <v>276</v>
      </c>
      <c r="B277" s="2" t="inlineStr">
        <is>
          <t>Brazil</t>
        </is>
      </c>
      <c r="C277" s="2" t="inlineStr">
        <is>
          <t>Danilo</t>
        </is>
      </c>
      <c r="D277" s="2" t="inlineStr">
        <is>
          <t>Defesa</t>
        </is>
      </c>
      <c r="E277" s="2" t="inlineStr">
        <is>
          <t>Flamengo</t>
        </is>
      </c>
      <c r="F277">
        <f>VLOOKUP(E277,Clubes!B$2:D$438,2)</f>
        <v/>
      </c>
      <c r="G277">
        <f>VLOOKUP(E277,Clubes!B$2:D$438,3)</f>
        <v/>
      </c>
      <c r="H277" s="2" t="n">
        <v>38</v>
      </c>
      <c r="J277">
        <f>I277/H277</f>
        <v/>
      </c>
      <c r="K277">
        <f>H277*90</f>
        <v/>
      </c>
      <c r="M277">
        <f>L277/K277</f>
        <v/>
      </c>
    </row>
    <row r="278">
      <c r="A278" s="1" t="n">
        <v>277</v>
      </c>
      <c r="B278" s="2" t="inlineStr">
        <is>
          <t>Brazil</t>
        </is>
      </c>
      <c r="C278" s="2" t="inlineStr">
        <is>
          <t>Bremer</t>
        </is>
      </c>
      <c r="D278" s="2" t="inlineStr">
        <is>
          <t>Defesa</t>
        </is>
      </c>
      <c r="E278" s="2" t="inlineStr">
        <is>
          <t>Juventus</t>
        </is>
      </c>
      <c r="F278">
        <f>VLOOKUP(E278,Clubes!B$2:D$438,2)</f>
        <v/>
      </c>
      <c r="G278">
        <f>VLOOKUP(E278,Clubes!B$2:D$438,3)</f>
        <v/>
      </c>
      <c r="H278" s="2" t="n">
        <v>38</v>
      </c>
      <c r="J278">
        <f>I278/H278</f>
        <v/>
      </c>
      <c r="K278">
        <f>H278*90</f>
        <v/>
      </c>
      <c r="M278">
        <f>L278/K278</f>
        <v/>
      </c>
    </row>
    <row r="279">
      <c r="A279" s="1" t="n">
        <v>278</v>
      </c>
      <c r="B279" s="2" t="inlineStr">
        <is>
          <t>Brazil</t>
        </is>
      </c>
      <c r="C279" s="2" t="inlineStr">
        <is>
          <t>Léo Pereira</t>
        </is>
      </c>
      <c r="D279" s="2" t="inlineStr">
        <is>
          <t>Defesa</t>
        </is>
      </c>
      <c r="E279" s="2" t="inlineStr">
        <is>
          <t>Flamengo</t>
        </is>
      </c>
      <c r="F279">
        <f>VLOOKUP(E279,Clubes!B$2:D$438,2)</f>
        <v/>
      </c>
      <c r="G279">
        <f>VLOOKUP(E279,Clubes!B$2:D$438,3)</f>
        <v/>
      </c>
      <c r="H279" s="2" t="n">
        <v>38</v>
      </c>
      <c r="J279">
        <f>I279/H279</f>
        <v/>
      </c>
      <c r="K279">
        <f>H279*90</f>
        <v/>
      </c>
      <c r="M279">
        <f>L279/K279</f>
        <v/>
      </c>
    </row>
    <row r="280">
      <c r="A280" s="1" t="n">
        <v>279</v>
      </c>
      <c r="B280" s="2" t="inlineStr">
        <is>
          <t>Brazil</t>
        </is>
      </c>
      <c r="C280" s="2" t="inlineStr">
        <is>
          <t>Roger Ibañez</t>
        </is>
      </c>
      <c r="D280" s="2" t="inlineStr">
        <is>
          <t>Defesa</t>
        </is>
      </c>
      <c r="E280" s="2" t="inlineStr">
        <is>
          <t>Al-Ahli Jeddah</t>
        </is>
      </c>
      <c r="F280">
        <f>VLOOKUP(E280,Clubes!B$2:D$438,2)</f>
        <v/>
      </c>
      <c r="G280">
        <f>VLOOKUP(E280,Clubes!B$2:D$438,3)</f>
        <v/>
      </c>
      <c r="H280" s="2" t="n">
        <v>34</v>
      </c>
      <c r="J280">
        <f>I280/H280</f>
        <v/>
      </c>
      <c r="K280">
        <f>H280*90</f>
        <v/>
      </c>
      <c r="M280">
        <f>L280/K280</f>
        <v/>
      </c>
    </row>
    <row r="281">
      <c r="A281" s="1" t="n">
        <v>280</v>
      </c>
      <c r="B281" s="2" t="inlineStr">
        <is>
          <t>Brazil</t>
        </is>
      </c>
      <c r="C281" s="2" t="inlineStr">
        <is>
          <t>Alex Sandro</t>
        </is>
      </c>
      <c r="D281" s="2" t="inlineStr">
        <is>
          <t>Defesa</t>
        </is>
      </c>
      <c r="E281" s="2" t="inlineStr">
        <is>
          <t>Flamengo</t>
        </is>
      </c>
      <c r="F281">
        <f>VLOOKUP(E281,Clubes!B$2:D$438,2)</f>
        <v/>
      </c>
      <c r="G281">
        <f>VLOOKUP(E281,Clubes!B$2:D$438,3)</f>
        <v/>
      </c>
      <c r="H281" s="2" t="n">
        <v>38</v>
      </c>
      <c r="J281">
        <f>I281/H281</f>
        <v/>
      </c>
      <c r="K281">
        <f>H281*90</f>
        <v/>
      </c>
      <c r="M281">
        <f>L281/K281</f>
        <v/>
      </c>
    </row>
    <row r="282">
      <c r="A282" s="1" t="n">
        <v>281</v>
      </c>
      <c r="B282" s="2" t="inlineStr">
        <is>
          <t>Brazil</t>
        </is>
      </c>
      <c r="C282" s="2" t="inlineStr">
        <is>
          <t>Douglas Santos</t>
        </is>
      </c>
      <c r="D282" s="2" t="inlineStr">
        <is>
          <t>Defesa</t>
        </is>
      </c>
      <c r="E282" s="2" t="inlineStr">
        <is>
          <t>Zenit</t>
        </is>
      </c>
      <c r="F282">
        <f>VLOOKUP(E282,Clubes!B$2:D$438,2)</f>
        <v/>
      </c>
      <c r="G282">
        <f>VLOOKUP(E282,Clubes!B$2:D$438,3)</f>
        <v/>
      </c>
      <c r="H282" s="2" t="n">
        <v>30</v>
      </c>
      <c r="J282">
        <f>I282/H282</f>
        <v/>
      </c>
      <c r="K282">
        <f>H282*90</f>
        <v/>
      </c>
      <c r="M282">
        <f>L282/K282</f>
        <v/>
      </c>
    </row>
    <row r="283">
      <c r="A283" s="1" t="n">
        <v>282</v>
      </c>
      <c r="B283" s="2" t="inlineStr">
        <is>
          <t>Brazil</t>
        </is>
      </c>
      <c r="C283" s="2" t="inlineStr">
        <is>
          <t>Éderson</t>
        </is>
      </c>
      <c r="D283" s="2" t="inlineStr">
        <is>
          <t>Médio</t>
        </is>
      </c>
      <c r="E283" s="2" t="inlineStr">
        <is>
          <t>Atalanta</t>
        </is>
      </c>
      <c r="F283">
        <f>VLOOKUP(E283,Clubes!B$2:D$438,2)</f>
        <v/>
      </c>
      <c r="G283">
        <f>VLOOKUP(E283,Clubes!B$2:D$438,3)</f>
        <v/>
      </c>
      <c r="H283" s="2" t="n">
        <v>38</v>
      </c>
      <c r="J283">
        <f>I283/H283</f>
        <v/>
      </c>
      <c r="K283">
        <f>H283*90</f>
        <v/>
      </c>
      <c r="M283">
        <f>L283/K283</f>
        <v/>
      </c>
    </row>
    <row r="284">
      <c r="A284" s="1" t="n">
        <v>283</v>
      </c>
      <c r="B284" s="2" t="inlineStr">
        <is>
          <t>Brazil</t>
        </is>
      </c>
      <c r="C284" s="2" t="inlineStr">
        <is>
          <t>Casemiro</t>
        </is>
      </c>
      <c r="D284" s="2" t="inlineStr">
        <is>
          <t>Médio</t>
        </is>
      </c>
      <c r="E284" s="2" t="inlineStr">
        <is>
          <t>Manchester United</t>
        </is>
      </c>
      <c r="F284">
        <f>VLOOKUP(E284,Clubes!B$2:D$438,2)</f>
        <v/>
      </c>
      <c r="G284">
        <f>VLOOKUP(E284,Clubes!B$2:D$438,3)</f>
        <v/>
      </c>
      <c r="H284" s="2" t="n">
        <v>38</v>
      </c>
      <c r="J284">
        <f>I284/H284</f>
        <v/>
      </c>
      <c r="K284">
        <f>H284*90</f>
        <v/>
      </c>
      <c r="M284">
        <f>L284/K284</f>
        <v/>
      </c>
    </row>
    <row r="285">
      <c r="A285" s="1" t="n">
        <v>284</v>
      </c>
      <c r="B285" s="2" t="inlineStr">
        <is>
          <t>Brazil</t>
        </is>
      </c>
      <c r="C285" s="2" t="inlineStr">
        <is>
          <t>Fabinho</t>
        </is>
      </c>
      <c r="D285" s="2" t="inlineStr">
        <is>
          <t>Médio</t>
        </is>
      </c>
      <c r="E285" s="2" t="inlineStr">
        <is>
          <t>Al-Ittihad Jeddah</t>
        </is>
      </c>
      <c r="F285">
        <f>VLOOKUP(E285,Clubes!B$2:D$438,2)</f>
        <v/>
      </c>
      <c r="G285">
        <f>VLOOKUP(E285,Clubes!B$2:D$438,3)</f>
        <v/>
      </c>
      <c r="H285" s="2" t="n">
        <v>34</v>
      </c>
      <c r="J285">
        <f>I285/H285</f>
        <v/>
      </c>
      <c r="K285">
        <f>H285*90</f>
        <v/>
      </c>
      <c r="M285">
        <f>L285/K285</f>
        <v/>
      </c>
    </row>
    <row r="286">
      <c r="A286" s="1" t="n">
        <v>285</v>
      </c>
      <c r="B286" s="2" t="inlineStr">
        <is>
          <t>Brazil</t>
        </is>
      </c>
      <c r="C286" s="2" t="inlineStr">
        <is>
          <t>Danilo</t>
        </is>
      </c>
      <c r="D286" s="2" t="inlineStr">
        <is>
          <t>Médio</t>
        </is>
      </c>
      <c r="E286" s="2" t="inlineStr">
        <is>
          <t>Botafogo</t>
        </is>
      </c>
      <c r="F286">
        <f>VLOOKUP(E286,Clubes!B$2:D$438,2)</f>
        <v/>
      </c>
      <c r="G286">
        <f>VLOOKUP(E286,Clubes!B$2:D$438,3)</f>
        <v/>
      </c>
      <c r="H286" s="2" t="n">
        <v>38</v>
      </c>
      <c r="J286">
        <f>I286/H286</f>
        <v/>
      </c>
      <c r="K286">
        <f>H286*90</f>
        <v/>
      </c>
      <c r="M286">
        <f>L286/K286</f>
        <v/>
      </c>
    </row>
    <row r="287">
      <c r="A287" s="1" t="n">
        <v>286</v>
      </c>
      <c r="B287" s="2" t="inlineStr">
        <is>
          <t>Brazil</t>
        </is>
      </c>
      <c r="C287" s="2" t="inlineStr">
        <is>
          <t>Bruno Guimarães</t>
        </is>
      </c>
      <c r="D287" s="2" t="inlineStr">
        <is>
          <t>Médio</t>
        </is>
      </c>
      <c r="E287" s="2" t="inlineStr">
        <is>
          <t>Newcastle</t>
        </is>
      </c>
      <c r="F287">
        <f>VLOOKUP(E287,Clubes!B$2:D$438,2)</f>
        <v/>
      </c>
      <c r="G287">
        <f>VLOOKUP(E287,Clubes!B$2:D$438,3)</f>
        <v/>
      </c>
      <c r="H287" s="2" t="n">
        <v>38</v>
      </c>
      <c r="J287">
        <f>I287/H287</f>
        <v/>
      </c>
      <c r="K287">
        <f>H287*90</f>
        <v/>
      </c>
      <c r="M287">
        <f>L287/K287</f>
        <v/>
      </c>
    </row>
    <row r="288">
      <c r="A288" s="1" t="n">
        <v>287</v>
      </c>
      <c r="B288" s="2" t="inlineStr">
        <is>
          <t>Brazil</t>
        </is>
      </c>
      <c r="C288" s="2" t="inlineStr">
        <is>
          <t>Lucas Paquetá</t>
        </is>
      </c>
      <c r="D288" s="2" t="inlineStr">
        <is>
          <t>Médio</t>
        </is>
      </c>
      <c r="E288" s="2" t="inlineStr">
        <is>
          <t>Flamengo</t>
        </is>
      </c>
      <c r="F288">
        <f>VLOOKUP(E288,Clubes!B$2:D$438,2)</f>
        <v/>
      </c>
      <c r="G288">
        <f>VLOOKUP(E288,Clubes!B$2:D$438,3)</f>
        <v/>
      </c>
      <c r="H288" s="2" t="n">
        <v>38</v>
      </c>
      <c r="J288">
        <f>I288/H288</f>
        <v/>
      </c>
      <c r="K288">
        <f>H288*90</f>
        <v/>
      </c>
      <c r="M288">
        <f>L288/K288</f>
        <v/>
      </c>
    </row>
    <row r="289">
      <c r="A289" s="1" t="n">
        <v>288</v>
      </c>
      <c r="B289" s="2" t="inlineStr">
        <is>
          <t>Brazil</t>
        </is>
      </c>
      <c r="C289" s="2" t="inlineStr">
        <is>
          <t>Raphinha</t>
        </is>
      </c>
      <c r="D289" s="2" t="inlineStr">
        <is>
          <t>Avançado</t>
        </is>
      </c>
      <c r="E289" s="2" t="inlineStr">
        <is>
          <t>Barcelona</t>
        </is>
      </c>
      <c r="F289">
        <f>VLOOKUP(E289,Clubes!B$2:D$438,2)</f>
        <v/>
      </c>
      <c r="G289">
        <f>VLOOKUP(E289,Clubes!B$2:D$438,3)</f>
        <v/>
      </c>
      <c r="H289" s="2" t="n">
        <v>38</v>
      </c>
      <c r="J289">
        <f>I289/H289</f>
        <v/>
      </c>
      <c r="K289">
        <f>H289*90</f>
        <v/>
      </c>
      <c r="M289">
        <f>L289/K289</f>
        <v/>
      </c>
    </row>
    <row r="290">
      <c r="A290" s="1" t="n">
        <v>289</v>
      </c>
      <c r="B290" s="2" t="inlineStr">
        <is>
          <t>Brazil</t>
        </is>
      </c>
      <c r="C290" s="2" t="inlineStr">
        <is>
          <t>Endrick</t>
        </is>
      </c>
      <c r="D290" s="2" t="inlineStr">
        <is>
          <t>Avançado</t>
        </is>
      </c>
      <c r="E290" s="2" t="inlineStr">
        <is>
          <t>Lyon</t>
        </is>
      </c>
      <c r="F290">
        <f>VLOOKUP(E290,Clubes!B$2:D$438,2)</f>
        <v/>
      </c>
      <c r="G290">
        <f>VLOOKUP(E290,Clubes!B$2:D$438,3)</f>
        <v/>
      </c>
      <c r="H290" s="2" t="n">
        <v>34</v>
      </c>
      <c r="J290">
        <f>I290/H290</f>
        <v/>
      </c>
      <c r="K290">
        <f>H290*90</f>
        <v/>
      </c>
      <c r="M290">
        <f>L290/K290</f>
        <v/>
      </c>
    </row>
    <row r="291">
      <c r="A291" s="1" t="n">
        <v>290</v>
      </c>
      <c r="B291" s="2" t="inlineStr">
        <is>
          <t>Brazil</t>
        </is>
      </c>
      <c r="C291" s="2" t="inlineStr">
        <is>
          <t>Luiz Henrique</t>
        </is>
      </c>
      <c r="D291" s="2" t="inlineStr">
        <is>
          <t>Avançado</t>
        </is>
      </c>
      <c r="E291" s="2" t="inlineStr">
        <is>
          <t>Zenit</t>
        </is>
      </c>
      <c r="F291">
        <f>VLOOKUP(E291,Clubes!B$2:D$438,2)</f>
        <v/>
      </c>
      <c r="G291">
        <f>VLOOKUP(E291,Clubes!B$2:D$438,3)</f>
        <v/>
      </c>
      <c r="H291" s="2" t="n">
        <v>30</v>
      </c>
      <c r="J291">
        <f>I291/H291</f>
        <v/>
      </c>
      <c r="K291">
        <f>H291*90</f>
        <v/>
      </c>
      <c r="M291">
        <f>L291/K291</f>
        <v/>
      </c>
    </row>
    <row r="292">
      <c r="A292" s="1" t="n">
        <v>291</v>
      </c>
      <c r="B292" s="2" t="inlineStr">
        <is>
          <t>Brazil</t>
        </is>
      </c>
      <c r="C292" s="2" t="inlineStr">
        <is>
          <t>Rayan</t>
        </is>
      </c>
      <c r="D292" s="2" t="inlineStr">
        <is>
          <t>Avançado</t>
        </is>
      </c>
      <c r="E292" s="2" t="inlineStr">
        <is>
          <t>Bournemouth</t>
        </is>
      </c>
      <c r="F292">
        <f>VLOOKUP(E292,Clubes!B$2:D$438,2)</f>
        <v/>
      </c>
      <c r="G292">
        <f>VLOOKUP(E292,Clubes!B$2:D$438,3)</f>
        <v/>
      </c>
      <c r="H292" s="2" t="n">
        <v>38</v>
      </c>
      <c r="J292">
        <f>I292/H292</f>
        <v/>
      </c>
      <c r="K292">
        <f>H292*90</f>
        <v/>
      </c>
      <c r="M292">
        <f>L292/K292</f>
        <v/>
      </c>
    </row>
    <row r="293">
      <c r="A293" s="1" t="n">
        <v>292</v>
      </c>
      <c r="B293" s="2" t="inlineStr">
        <is>
          <t>Brazil</t>
        </is>
      </c>
      <c r="C293" s="2" t="inlineStr">
        <is>
          <t>Matheus Cunha</t>
        </is>
      </c>
      <c r="D293" s="2" t="inlineStr">
        <is>
          <t>Avançado</t>
        </is>
      </c>
      <c r="E293" s="2" t="inlineStr">
        <is>
          <t>Manchester United</t>
        </is>
      </c>
      <c r="F293">
        <f>VLOOKUP(E293,Clubes!B$2:D$438,2)</f>
        <v/>
      </c>
      <c r="G293">
        <f>VLOOKUP(E293,Clubes!B$2:D$438,3)</f>
        <v/>
      </c>
      <c r="H293" s="2" t="n">
        <v>38</v>
      </c>
      <c r="J293">
        <f>I293/H293</f>
        <v/>
      </c>
      <c r="K293">
        <f>H293*90</f>
        <v/>
      </c>
      <c r="M293">
        <f>L293/K293</f>
        <v/>
      </c>
    </row>
    <row r="294">
      <c r="A294" s="1" t="n">
        <v>293</v>
      </c>
      <c r="B294" s="2" t="inlineStr">
        <is>
          <t>Brazil</t>
        </is>
      </c>
      <c r="C294" s="2" t="inlineStr">
        <is>
          <t>Igor Thiago</t>
        </is>
      </c>
      <c r="D294" s="2" t="inlineStr">
        <is>
          <t>Avançado</t>
        </is>
      </c>
      <c r="E294" s="2" t="inlineStr">
        <is>
          <t>Brentford</t>
        </is>
      </c>
      <c r="F294">
        <f>VLOOKUP(E294,Clubes!B$2:D$438,2)</f>
        <v/>
      </c>
      <c r="G294">
        <f>VLOOKUP(E294,Clubes!B$2:D$438,3)</f>
        <v/>
      </c>
      <c r="H294" s="2" t="n">
        <v>38</v>
      </c>
      <c r="J294">
        <f>I294/H294</f>
        <v/>
      </c>
      <c r="K294">
        <f>H294*90</f>
        <v/>
      </c>
      <c r="M294">
        <f>L294/K294</f>
        <v/>
      </c>
    </row>
    <row r="295">
      <c r="A295" s="1" t="n">
        <v>294</v>
      </c>
      <c r="B295" s="2" t="inlineStr">
        <is>
          <t>Brazil</t>
        </is>
      </c>
      <c r="C295" s="2" t="inlineStr">
        <is>
          <t>Vinícius Júnior</t>
        </is>
      </c>
      <c r="D295" s="2" t="inlineStr">
        <is>
          <t>Avançado</t>
        </is>
      </c>
      <c r="E295" s="2" t="inlineStr">
        <is>
          <t>Real Madrid</t>
        </is>
      </c>
      <c r="F295">
        <f>VLOOKUP(E295,Clubes!B$2:D$438,2)</f>
        <v/>
      </c>
      <c r="G295">
        <f>VLOOKUP(E295,Clubes!B$2:D$438,3)</f>
        <v/>
      </c>
      <c r="H295" s="2" t="n">
        <v>38</v>
      </c>
      <c r="J295">
        <f>I295/H295</f>
        <v/>
      </c>
      <c r="K295">
        <f>H295*90</f>
        <v/>
      </c>
      <c r="M295">
        <f>L295/K295</f>
        <v/>
      </c>
    </row>
    <row r="296">
      <c r="A296" s="1" t="n">
        <v>295</v>
      </c>
      <c r="B296" s="2" t="inlineStr">
        <is>
          <t>Brazil</t>
        </is>
      </c>
      <c r="C296" s="2" t="inlineStr">
        <is>
          <t>Neymar</t>
        </is>
      </c>
      <c r="D296" s="2" t="inlineStr">
        <is>
          <t>Avançado</t>
        </is>
      </c>
      <c r="E296" s="2" t="inlineStr">
        <is>
          <t>Santos</t>
        </is>
      </c>
      <c r="F296">
        <f>VLOOKUP(E296,Clubes!B$2:D$438,2)</f>
        <v/>
      </c>
      <c r="G296">
        <f>VLOOKUP(E296,Clubes!B$2:D$438,3)</f>
        <v/>
      </c>
      <c r="H296" s="2" t="n">
        <v>40</v>
      </c>
      <c r="J296">
        <f>I296/H296</f>
        <v/>
      </c>
      <c r="K296">
        <f>H296*90</f>
        <v/>
      </c>
      <c r="M296">
        <f>L296/K296</f>
        <v/>
      </c>
    </row>
    <row r="297">
      <c r="A297" s="1" t="n">
        <v>296</v>
      </c>
      <c r="B297" s="2" t="inlineStr">
        <is>
          <t>Brazil</t>
        </is>
      </c>
      <c r="C297" s="2" t="inlineStr">
        <is>
          <t>Gabriel Martinelli</t>
        </is>
      </c>
      <c r="D297" s="2" t="inlineStr">
        <is>
          <t>Avançado</t>
        </is>
      </c>
      <c r="E297" s="2" t="inlineStr">
        <is>
          <t>Arsenal</t>
        </is>
      </c>
      <c r="F297">
        <f>VLOOKUP(E297,Clubes!B$2:D$438,2)</f>
        <v/>
      </c>
      <c r="G297">
        <f>VLOOKUP(E297,Clubes!B$2:D$438,3)</f>
        <v/>
      </c>
      <c r="H297" s="2" t="n">
        <v>38</v>
      </c>
      <c r="J297">
        <f>I297/H297</f>
        <v/>
      </c>
      <c r="K297">
        <f>H297*90</f>
        <v/>
      </c>
      <c r="M297">
        <f>L297/K297</f>
        <v/>
      </c>
    </row>
    <row r="298">
      <c r="A298" s="1" t="n">
        <v>297</v>
      </c>
      <c r="B298" s="2" t="inlineStr">
        <is>
          <t>Cabo Verde</t>
        </is>
      </c>
      <c r="C298" s="2" t="inlineStr">
        <is>
          <t>Vozinha</t>
        </is>
      </c>
      <c r="D298" s="2" t="inlineStr">
        <is>
          <t>Guarda Redes</t>
        </is>
      </c>
      <c r="E298" s="2" t="inlineStr">
        <is>
          <t>GD Chaves</t>
        </is>
      </c>
      <c r="F298">
        <f>VLOOKUP(E298,Clubes!B$2:D$438,2)</f>
        <v/>
      </c>
      <c r="G298">
        <f>VLOOKUP(E298,Clubes!B$2:D$438,3)</f>
        <v/>
      </c>
      <c r="H298" s="2" t="n">
        <v>34</v>
      </c>
      <c r="J298">
        <f>I298/H298</f>
        <v/>
      </c>
      <c r="K298">
        <f>H298*90</f>
        <v/>
      </c>
      <c r="M298">
        <f>L298/K298</f>
        <v/>
      </c>
    </row>
    <row r="299">
      <c r="A299" s="1" t="n">
        <v>298</v>
      </c>
      <c r="B299" s="2" t="inlineStr">
        <is>
          <t>Cabo Verde</t>
        </is>
      </c>
      <c r="C299" s="2" t="inlineStr">
        <is>
          <t>Márcio Rosa</t>
        </is>
      </c>
      <c r="D299" s="2" t="inlineStr">
        <is>
          <t>Guarda Redes</t>
        </is>
      </c>
      <c r="E299" s="2" t="inlineStr">
        <is>
          <t>Montana</t>
        </is>
      </c>
      <c r="F299">
        <f>VLOOKUP(E299,Clubes!B$2:D$438,2)</f>
        <v/>
      </c>
      <c r="G299">
        <f>VLOOKUP(E299,Clubes!B$2:D$438,3)</f>
        <v/>
      </c>
      <c r="H299" s="2" t="n">
        <v>36</v>
      </c>
      <c r="J299">
        <f>I299/H299</f>
        <v/>
      </c>
      <c r="K299">
        <f>H299*90</f>
        <v/>
      </c>
      <c r="M299">
        <f>L299/K299</f>
        <v/>
      </c>
    </row>
    <row r="300">
      <c r="A300" s="1" t="n">
        <v>299</v>
      </c>
      <c r="B300" s="2" t="inlineStr">
        <is>
          <t>Cabo Verde</t>
        </is>
      </c>
      <c r="C300" s="2" t="inlineStr">
        <is>
          <t>CJ dos Santos</t>
        </is>
      </c>
      <c r="D300" s="2" t="inlineStr">
        <is>
          <t>Guarda Redes</t>
        </is>
      </c>
      <c r="E300" s="2" t="inlineStr">
        <is>
          <t>San Diego FC</t>
        </is>
      </c>
      <c r="F300">
        <f>VLOOKUP(E300,Clubes!B$2:D$438,2)</f>
        <v/>
      </c>
      <c r="G300">
        <f>VLOOKUP(E300,Clubes!B$2:D$438,3)</f>
        <v/>
      </c>
      <c r="H300" s="2" t="n">
        <v>40</v>
      </c>
      <c r="J300">
        <f>I300/H300</f>
        <v/>
      </c>
      <c r="K300">
        <f>H300*90</f>
        <v/>
      </c>
      <c r="M300">
        <f>L300/K300</f>
        <v/>
      </c>
    </row>
    <row r="301">
      <c r="A301" s="1" t="n">
        <v>300</v>
      </c>
      <c r="B301" s="2" t="inlineStr">
        <is>
          <t>Cabo Verde</t>
        </is>
      </c>
      <c r="C301" s="2" t="inlineStr">
        <is>
          <t>Stopira</t>
        </is>
      </c>
      <c r="D301" s="2" t="inlineStr">
        <is>
          <t>Defesa</t>
        </is>
      </c>
      <c r="E301" s="2" t="inlineStr">
        <is>
          <t>Torreense</t>
        </is>
      </c>
      <c r="F301">
        <f>VLOOKUP(E301,Clubes!B$2:D$438,2)</f>
        <v/>
      </c>
      <c r="G301">
        <f>VLOOKUP(E301,Clubes!B$2:D$438,3)</f>
        <v/>
      </c>
      <c r="H301" s="2" t="n">
        <v>34</v>
      </c>
      <c r="J301">
        <f>I301/H301</f>
        <v/>
      </c>
      <c r="K301">
        <f>H301*90</f>
        <v/>
      </c>
      <c r="M301">
        <f>L301/K301</f>
        <v/>
      </c>
    </row>
    <row r="302">
      <c r="A302" s="1" t="n">
        <v>301</v>
      </c>
      <c r="B302" s="2" t="inlineStr">
        <is>
          <t>Cabo Verde</t>
        </is>
      </c>
      <c r="C302" s="2" t="inlineStr">
        <is>
          <t>Diney Borges</t>
        </is>
      </c>
      <c r="D302" s="2" t="inlineStr">
        <is>
          <t>Defesa</t>
        </is>
      </c>
      <c r="E302" s="2" t="inlineStr">
        <is>
          <t>Al Bataeh</t>
        </is>
      </c>
      <c r="F302">
        <f>VLOOKUP(E302,Clubes!B$2:D$438,2)</f>
        <v/>
      </c>
      <c r="G302">
        <f>VLOOKUP(E302,Clubes!B$2:D$438,3)</f>
        <v/>
      </c>
      <c r="H302" s="2" t="n">
        <v>26</v>
      </c>
      <c r="J302">
        <f>I302/H302</f>
        <v/>
      </c>
      <c r="K302">
        <f>H302*90</f>
        <v/>
      </c>
      <c r="M302">
        <f>L302/K302</f>
        <v/>
      </c>
    </row>
    <row r="303">
      <c r="A303" s="1" t="n">
        <v>302</v>
      </c>
      <c r="B303" s="2" t="inlineStr">
        <is>
          <t>Cabo Verde</t>
        </is>
      </c>
      <c r="C303" s="2" t="inlineStr">
        <is>
          <t>Roberto Lopes</t>
        </is>
      </c>
      <c r="D303" s="2" t="inlineStr">
        <is>
          <t>Defesa</t>
        </is>
      </c>
      <c r="E303" s="2" t="inlineStr">
        <is>
          <t>Shamrock Rovers</t>
        </is>
      </c>
      <c r="F303">
        <f>VLOOKUP(E303,Clubes!B$2:D$438,2)</f>
        <v/>
      </c>
      <c r="G303">
        <f>VLOOKUP(E303,Clubes!B$2:D$438,3)</f>
        <v/>
      </c>
      <c r="H303" s="2" t="n">
        <v>36</v>
      </c>
      <c r="J303">
        <f>I303/H303</f>
        <v/>
      </c>
      <c r="K303">
        <f>H303*90</f>
        <v/>
      </c>
      <c r="M303">
        <f>L303/K303</f>
        <v/>
      </c>
    </row>
    <row r="304">
      <c r="A304" s="1" t="n">
        <v>303</v>
      </c>
      <c r="B304" s="2" t="inlineStr">
        <is>
          <t>Cabo Verde</t>
        </is>
      </c>
      <c r="C304" s="2" t="inlineStr">
        <is>
          <t>Logan Costa</t>
        </is>
      </c>
      <c r="D304" s="2" t="inlineStr">
        <is>
          <t>Defesa</t>
        </is>
      </c>
      <c r="E304" s="2" t="inlineStr">
        <is>
          <t>Villarreal</t>
        </is>
      </c>
      <c r="F304">
        <f>VLOOKUP(E304,Clubes!B$2:D$438,2)</f>
        <v/>
      </c>
      <c r="G304">
        <f>VLOOKUP(E304,Clubes!B$2:D$438,3)</f>
        <v/>
      </c>
      <c r="H304" s="2" t="n">
        <v>38</v>
      </c>
      <c r="J304">
        <f>I304/H304</f>
        <v/>
      </c>
      <c r="K304">
        <f>H304*90</f>
        <v/>
      </c>
      <c r="M304">
        <f>L304/K304</f>
        <v/>
      </c>
    </row>
    <row r="305">
      <c r="A305" s="1" t="n">
        <v>304</v>
      </c>
      <c r="B305" s="2" t="inlineStr">
        <is>
          <t>Cabo Verde</t>
        </is>
      </c>
      <c r="C305" s="2" t="inlineStr">
        <is>
          <t>Sidny Cabral</t>
        </is>
      </c>
      <c r="D305" s="2" t="inlineStr">
        <is>
          <t>Defesa</t>
        </is>
      </c>
      <c r="E305" s="2" t="inlineStr">
        <is>
          <t>Benfica</t>
        </is>
      </c>
      <c r="F305">
        <f>VLOOKUP(E305,Clubes!B$2:D$438,2)</f>
        <v/>
      </c>
      <c r="G305">
        <f>VLOOKUP(E305,Clubes!B$2:D$438,3)</f>
        <v/>
      </c>
      <c r="H305" s="2" t="n">
        <v>34</v>
      </c>
      <c r="J305">
        <f>I305/H305</f>
        <v/>
      </c>
      <c r="K305">
        <f>H305*90</f>
        <v/>
      </c>
      <c r="M305">
        <f>L305/K305</f>
        <v/>
      </c>
    </row>
    <row r="306">
      <c r="A306" s="1" t="n">
        <v>305</v>
      </c>
      <c r="B306" s="2" t="inlineStr">
        <is>
          <t>Cabo Verde</t>
        </is>
      </c>
      <c r="C306" s="2" t="inlineStr">
        <is>
          <t>Steven Moreira</t>
        </is>
      </c>
      <c r="D306" s="2" t="inlineStr">
        <is>
          <t>Defesa</t>
        </is>
      </c>
      <c r="E306" s="2" t="inlineStr">
        <is>
          <t>Columbus Crew</t>
        </is>
      </c>
      <c r="F306">
        <f>VLOOKUP(E306,Clubes!B$2:D$438,2)</f>
        <v/>
      </c>
      <c r="G306">
        <f>VLOOKUP(E306,Clubes!B$2:D$438,3)</f>
        <v/>
      </c>
      <c r="H306" s="2" t="n">
        <v>34</v>
      </c>
      <c r="J306">
        <f>I306/H306</f>
        <v/>
      </c>
      <c r="K306">
        <f>H306*90</f>
        <v/>
      </c>
      <c r="M306">
        <f>L306/K306</f>
        <v/>
      </c>
    </row>
    <row r="307">
      <c r="A307" s="1" t="n">
        <v>306</v>
      </c>
      <c r="B307" s="2" t="inlineStr">
        <is>
          <t>Cabo Verde</t>
        </is>
      </c>
      <c r="C307" s="2" t="inlineStr">
        <is>
          <t>Wagner Pina</t>
        </is>
      </c>
      <c r="D307" s="2" t="inlineStr">
        <is>
          <t>Defesa</t>
        </is>
      </c>
      <c r="E307" s="2" t="inlineStr">
        <is>
          <t>Trabzonspor</t>
        </is>
      </c>
      <c r="F307">
        <f>VLOOKUP(E307,Clubes!B$2:D$438,2)</f>
        <v/>
      </c>
      <c r="G307">
        <f>VLOOKUP(E307,Clubes!B$2:D$438,3)</f>
        <v/>
      </c>
      <c r="H307" s="2" t="n">
        <v>34</v>
      </c>
      <c r="J307">
        <f>I307/H307</f>
        <v/>
      </c>
      <c r="K307">
        <f>H307*90</f>
        <v/>
      </c>
      <c r="M307">
        <f>L307/K307</f>
        <v/>
      </c>
    </row>
    <row r="308">
      <c r="A308" s="1" t="n">
        <v>307</v>
      </c>
      <c r="B308" s="2" t="inlineStr">
        <is>
          <t>Cabo Verde</t>
        </is>
      </c>
      <c r="C308" s="2" t="inlineStr">
        <is>
          <t>Kelvin Pires</t>
        </is>
      </c>
      <c r="D308" s="2" t="inlineStr">
        <is>
          <t>Defesa</t>
        </is>
      </c>
      <c r="E308" s="2" t="inlineStr">
        <is>
          <t>SJK</t>
        </is>
      </c>
      <c r="F308">
        <f>VLOOKUP(E308,Clubes!B$2:D$438,2)</f>
        <v/>
      </c>
      <c r="G308">
        <f>VLOOKUP(E308,Clubes!B$2:D$438,3)</f>
        <v/>
      </c>
      <c r="H308" s="2" t="n">
        <v>30</v>
      </c>
      <c r="J308">
        <f>I308/H308</f>
        <v/>
      </c>
      <c r="K308">
        <f>H308*90</f>
        <v/>
      </c>
      <c r="M308">
        <f>L308/K308</f>
        <v/>
      </c>
    </row>
    <row r="309">
      <c r="A309" s="1" t="n">
        <v>308</v>
      </c>
      <c r="B309" s="2" t="inlineStr">
        <is>
          <t>Cabo Verde</t>
        </is>
      </c>
      <c r="C309" s="2" t="inlineStr">
        <is>
          <t>Kevin Pina</t>
        </is>
      </c>
      <c r="D309" s="2" t="inlineStr">
        <is>
          <t>Médio</t>
        </is>
      </c>
      <c r="E309" s="2" t="inlineStr">
        <is>
          <t>FK Krasnodar</t>
        </is>
      </c>
      <c r="F309">
        <f>VLOOKUP(E309,Clubes!B$2:D$438,2)</f>
        <v/>
      </c>
      <c r="G309">
        <f>VLOOKUP(E309,Clubes!B$2:D$438,3)</f>
        <v/>
      </c>
      <c r="H309" s="2" t="n">
        <v>30</v>
      </c>
      <c r="J309">
        <f>I309/H309</f>
        <v/>
      </c>
      <c r="K309">
        <f>H309*90</f>
        <v/>
      </c>
      <c r="M309">
        <f>L309/K309</f>
        <v/>
      </c>
    </row>
    <row r="310">
      <c r="A310" s="1" t="n">
        <v>309</v>
      </c>
      <c r="B310" s="2" t="inlineStr">
        <is>
          <t>Cabo Verde</t>
        </is>
      </c>
      <c r="C310" s="2" t="inlineStr">
        <is>
          <t>João Paulo</t>
        </is>
      </c>
      <c r="D310" s="2" t="inlineStr">
        <is>
          <t>Médio</t>
        </is>
      </c>
      <c r="E310" s="2" t="inlineStr">
        <is>
          <t>FCSB</t>
        </is>
      </c>
      <c r="F310">
        <f>VLOOKUP(E310,Clubes!B$2:D$438,2)</f>
        <v/>
      </c>
      <c r="G310">
        <f>VLOOKUP(E310,Clubes!B$2:D$438,3)</f>
        <v/>
      </c>
      <c r="H310" s="2" t="n">
        <v>40</v>
      </c>
      <c r="J310">
        <f>I310/H310</f>
        <v/>
      </c>
      <c r="K310">
        <f>H310*90</f>
        <v/>
      </c>
      <c r="M310">
        <f>L310/K310</f>
        <v/>
      </c>
    </row>
    <row r="311">
      <c r="A311" s="1" t="n">
        <v>310</v>
      </c>
      <c r="B311" s="2" t="inlineStr">
        <is>
          <t>Cabo Verde</t>
        </is>
      </c>
      <c r="C311" s="2" t="inlineStr">
        <is>
          <t>Jamiro Monteiro</t>
        </is>
      </c>
      <c r="D311" s="2" t="inlineStr">
        <is>
          <t>Médio</t>
        </is>
      </c>
      <c r="E311" s="2" t="inlineStr">
        <is>
          <t>Zwolle</t>
        </is>
      </c>
      <c r="F311">
        <f>VLOOKUP(E311,Clubes!B$2:D$438,2)</f>
        <v/>
      </c>
      <c r="G311">
        <f>VLOOKUP(E311,Clubes!B$2:D$438,3)</f>
        <v/>
      </c>
      <c r="H311" s="2" t="n">
        <v>34</v>
      </c>
      <c r="J311">
        <f>I311/H311</f>
        <v/>
      </c>
      <c r="K311">
        <f>H311*90</f>
        <v/>
      </c>
      <c r="M311">
        <f>L311/K311</f>
        <v/>
      </c>
    </row>
    <row r="312">
      <c r="A312" s="1" t="n">
        <v>311</v>
      </c>
      <c r="B312" s="2" t="inlineStr">
        <is>
          <t>Cabo Verde</t>
        </is>
      </c>
      <c r="C312" s="2" t="inlineStr">
        <is>
          <t>Deroy Duarte</t>
        </is>
      </c>
      <c r="D312" s="2" t="inlineStr">
        <is>
          <t>Médio</t>
        </is>
      </c>
      <c r="E312" s="2" t="inlineStr">
        <is>
          <t>Ludogorets Razgrad</t>
        </is>
      </c>
      <c r="F312">
        <f>VLOOKUP(E312,Clubes!B$2:D$438,2)</f>
        <v/>
      </c>
      <c r="G312">
        <f>VLOOKUP(E312,Clubes!B$2:D$438,3)</f>
        <v/>
      </c>
      <c r="H312" s="2" t="n">
        <v>36</v>
      </c>
      <c r="J312">
        <f>I312/H312</f>
        <v/>
      </c>
      <c r="K312">
        <f>H312*90</f>
        <v/>
      </c>
      <c r="M312">
        <f>L312/K312</f>
        <v/>
      </c>
    </row>
    <row r="313">
      <c r="A313" s="1" t="n">
        <v>312</v>
      </c>
      <c r="B313" s="2" t="inlineStr">
        <is>
          <t>Cabo Verde</t>
        </is>
      </c>
      <c r="C313" s="2" t="inlineStr">
        <is>
          <t>Laros Duarte</t>
        </is>
      </c>
      <c r="D313" s="2" t="inlineStr">
        <is>
          <t>Médio</t>
        </is>
      </c>
      <c r="E313" s="2" t="inlineStr">
        <is>
          <t>Puskás Akadémia FC</t>
        </is>
      </c>
      <c r="F313">
        <f>VLOOKUP(E313,Clubes!B$2:D$438,2)</f>
        <v/>
      </c>
      <c r="G313">
        <f>VLOOKUP(E313,Clubes!B$2:D$438,3)</f>
        <v/>
      </c>
      <c r="H313" s="2" t="n">
        <v>33</v>
      </c>
      <c r="J313">
        <f>I313/H313</f>
        <v/>
      </c>
      <c r="K313">
        <f>H313*90</f>
        <v/>
      </c>
      <c r="M313">
        <f>L313/K313</f>
        <v/>
      </c>
    </row>
    <row r="314">
      <c r="A314" s="1" t="n">
        <v>313</v>
      </c>
      <c r="B314" s="2" t="inlineStr">
        <is>
          <t>Cabo Verde</t>
        </is>
      </c>
      <c r="C314" s="2" t="inlineStr">
        <is>
          <t>Yannick Semedo</t>
        </is>
      </c>
      <c r="D314" s="2" t="inlineStr">
        <is>
          <t>Médio</t>
        </is>
      </c>
      <c r="E314" s="2" t="inlineStr">
        <is>
          <t>Farense</t>
        </is>
      </c>
      <c r="F314">
        <f>VLOOKUP(E314,Clubes!B$2:D$438,2)</f>
        <v/>
      </c>
      <c r="G314">
        <f>VLOOKUP(E314,Clubes!B$2:D$438,3)</f>
        <v/>
      </c>
      <c r="H314" s="2" t="n">
        <v>30</v>
      </c>
      <c r="J314">
        <f>I314/H314</f>
        <v/>
      </c>
      <c r="K314">
        <f>H314*90</f>
        <v/>
      </c>
      <c r="M314">
        <f>L314/K314</f>
        <v/>
      </c>
    </row>
    <row r="315">
      <c r="A315" s="1" t="n">
        <v>314</v>
      </c>
      <c r="B315" s="2" t="inlineStr">
        <is>
          <t>Cabo Verde</t>
        </is>
      </c>
      <c r="C315" s="2" t="inlineStr">
        <is>
          <t>Jovane Cabral</t>
        </is>
      </c>
      <c r="D315" s="2" t="inlineStr">
        <is>
          <t>Avançado</t>
        </is>
      </c>
      <c r="E315" s="2" t="inlineStr">
        <is>
          <t>Est. Amadora</t>
        </is>
      </c>
      <c r="F315">
        <f>VLOOKUP(E315,Clubes!B$2:D$438,2)</f>
        <v/>
      </c>
      <c r="G315">
        <f>VLOOKUP(E315,Clubes!B$2:D$438,3)</f>
        <v/>
      </c>
      <c r="H315" s="2" t="n">
        <v>34</v>
      </c>
      <c r="J315">
        <f>I315/H315</f>
        <v/>
      </c>
      <c r="K315">
        <f>H315*90</f>
        <v/>
      </c>
      <c r="M315">
        <f>L315/K315</f>
        <v/>
      </c>
    </row>
    <row r="316">
      <c r="A316" s="1" t="n">
        <v>315</v>
      </c>
      <c r="B316" s="2" t="inlineStr">
        <is>
          <t>Cabo Verde</t>
        </is>
      </c>
      <c r="C316" s="2" t="inlineStr">
        <is>
          <t>Gilson Benchimol</t>
        </is>
      </c>
      <c r="D316" s="2" t="inlineStr">
        <is>
          <t>Avançado</t>
        </is>
      </c>
      <c r="E316" s="2" t="inlineStr">
        <is>
          <t>Akron Togliatti</t>
        </is>
      </c>
      <c r="F316">
        <f>VLOOKUP(E316,Clubes!B$2:D$438,2)</f>
        <v/>
      </c>
      <c r="G316">
        <f>VLOOKUP(E316,Clubes!B$2:D$438,3)</f>
        <v/>
      </c>
      <c r="H316" s="2" t="n">
        <v>30</v>
      </c>
      <c r="J316">
        <f>I316/H316</f>
        <v/>
      </c>
      <c r="K316">
        <f>H316*90</f>
        <v/>
      </c>
      <c r="M316">
        <f>L316/K316</f>
        <v/>
      </c>
    </row>
    <row r="317">
      <c r="A317" s="1" t="n">
        <v>316</v>
      </c>
      <c r="B317" s="2" t="inlineStr">
        <is>
          <t>Cabo Verde</t>
        </is>
      </c>
      <c r="C317" s="2" t="inlineStr">
        <is>
          <t>Garry Rodrigues</t>
        </is>
      </c>
      <c r="D317" s="2" t="inlineStr">
        <is>
          <t>Avançado</t>
        </is>
      </c>
      <c r="E317" s="2" t="inlineStr">
        <is>
          <t>Apollon Limassol</t>
        </is>
      </c>
      <c r="F317">
        <f>VLOOKUP(E317,Clubes!B$2:D$438,2)</f>
        <v/>
      </c>
      <c r="G317">
        <f>VLOOKUP(E317,Clubes!B$2:D$438,3)</f>
        <v/>
      </c>
      <c r="H317" s="2" t="n">
        <v>36</v>
      </c>
      <c r="J317">
        <f>I317/H317</f>
        <v/>
      </c>
      <c r="K317">
        <f>H317*90</f>
        <v/>
      </c>
      <c r="M317">
        <f>L317/K317</f>
        <v/>
      </c>
    </row>
    <row r="318">
      <c r="A318" s="1" t="n">
        <v>317</v>
      </c>
      <c r="B318" s="2" t="inlineStr">
        <is>
          <t>Cabo Verde</t>
        </is>
      </c>
      <c r="C318" s="2" t="inlineStr">
        <is>
          <t>Willy Semedo</t>
        </is>
      </c>
      <c r="D318" s="2" t="inlineStr">
        <is>
          <t>Avançado</t>
        </is>
      </c>
      <c r="E318" s="2" t="inlineStr">
        <is>
          <t>Omonia</t>
        </is>
      </c>
      <c r="F318">
        <f>VLOOKUP(E318,Clubes!B$2:D$438,2)</f>
        <v/>
      </c>
      <c r="G318">
        <f>VLOOKUP(E318,Clubes!B$2:D$438,3)</f>
        <v/>
      </c>
      <c r="H318" s="2" t="n">
        <v>36</v>
      </c>
      <c r="J318">
        <f>I318/H318</f>
        <v/>
      </c>
      <c r="K318">
        <f>H318*90</f>
        <v/>
      </c>
      <c r="M318">
        <f>L318/K318</f>
        <v/>
      </c>
    </row>
    <row r="319">
      <c r="A319" s="1" t="n">
        <v>318</v>
      </c>
      <c r="B319" s="2" t="inlineStr">
        <is>
          <t>Cabo Verde</t>
        </is>
      </c>
      <c r="C319" s="2" t="inlineStr">
        <is>
          <t>Telmo Arcanjo</t>
        </is>
      </c>
      <c r="D319" s="2" t="inlineStr">
        <is>
          <t>Avançado</t>
        </is>
      </c>
      <c r="E319" s="2" t="inlineStr">
        <is>
          <t>Vitória SC</t>
        </is>
      </c>
      <c r="F319">
        <f>VLOOKUP(E319,Clubes!B$2:D$438,2)</f>
        <v/>
      </c>
      <c r="G319">
        <f>VLOOKUP(E319,Clubes!B$2:D$438,3)</f>
        <v/>
      </c>
      <c r="H319" s="2" t="n">
        <v>34</v>
      </c>
      <c r="J319">
        <f>I319/H319</f>
        <v/>
      </c>
      <c r="K319">
        <f>H319*90</f>
        <v/>
      </c>
      <c r="M319">
        <f>L319/K319</f>
        <v/>
      </c>
    </row>
    <row r="320">
      <c r="A320" s="1" t="n">
        <v>319</v>
      </c>
      <c r="B320" s="2" t="inlineStr">
        <is>
          <t>Cabo Verde</t>
        </is>
      </c>
      <c r="C320" s="2" t="inlineStr">
        <is>
          <t>Dailon Livramento</t>
        </is>
      </c>
      <c r="D320" s="2" t="inlineStr">
        <is>
          <t>Avançado</t>
        </is>
      </c>
      <c r="E320" s="2" t="inlineStr">
        <is>
          <t>Casa Pia AC</t>
        </is>
      </c>
      <c r="F320">
        <f>VLOOKUP(E320,Clubes!B$2:D$438,2)</f>
        <v/>
      </c>
      <c r="G320">
        <f>VLOOKUP(E320,Clubes!B$2:D$438,3)</f>
        <v/>
      </c>
      <c r="H320" s="2" t="n">
        <v>34</v>
      </c>
      <c r="J320">
        <f>I320/H320</f>
        <v/>
      </c>
      <c r="K320">
        <f>H320*90</f>
        <v/>
      </c>
      <c r="M320">
        <f>L320/K320</f>
        <v/>
      </c>
    </row>
    <row r="321">
      <c r="A321" s="1" t="n">
        <v>320</v>
      </c>
      <c r="B321" s="2" t="inlineStr">
        <is>
          <t>Cabo Verde</t>
        </is>
      </c>
      <c r="C321" s="2" t="inlineStr">
        <is>
          <t>Ryan Mendes</t>
        </is>
      </c>
      <c r="D321" s="2" t="inlineStr">
        <is>
          <t>Avançado</t>
        </is>
      </c>
      <c r="E321" s="2" t="inlineStr">
        <is>
          <t>Igdir FK</t>
        </is>
      </c>
      <c r="F321">
        <f>VLOOKUP(E321,Clubes!B$2:D$438,2)</f>
        <v/>
      </c>
      <c r="G321">
        <f>VLOOKUP(E321,Clubes!B$2:D$438,3)</f>
        <v/>
      </c>
      <c r="H321" s="2" t="n">
        <v>38</v>
      </c>
      <c r="J321">
        <f>I321/H321</f>
        <v/>
      </c>
      <c r="K321">
        <f>H321*90</f>
        <v/>
      </c>
      <c r="M321">
        <f>L321/K321</f>
        <v/>
      </c>
    </row>
    <row r="322">
      <c r="A322" s="1" t="n">
        <v>321</v>
      </c>
      <c r="B322" s="2" t="inlineStr">
        <is>
          <t>Cabo Verde</t>
        </is>
      </c>
      <c r="C322" s="2" t="inlineStr">
        <is>
          <t>Nuno da Costa</t>
        </is>
      </c>
      <c r="D322" s="2" t="inlineStr">
        <is>
          <t>Avançado</t>
        </is>
      </c>
      <c r="E322" s="2" t="inlineStr">
        <is>
          <t>Basaksehir</t>
        </is>
      </c>
      <c r="F322">
        <f>VLOOKUP(E322,Clubes!B$2:D$438,2)</f>
        <v/>
      </c>
      <c r="G322">
        <f>VLOOKUP(E322,Clubes!B$2:D$438,3)</f>
        <v/>
      </c>
      <c r="H322" s="2" t="n">
        <v>34</v>
      </c>
      <c r="J322">
        <f>I322/H322</f>
        <v/>
      </c>
      <c r="K322">
        <f>H322*90</f>
        <v/>
      </c>
      <c r="M322">
        <f>L322/K322</f>
        <v/>
      </c>
    </row>
    <row r="323">
      <c r="A323" s="1" t="n">
        <v>322</v>
      </c>
      <c r="B323" s="2" t="inlineStr">
        <is>
          <t>Cabo Verde</t>
        </is>
      </c>
      <c r="C323" s="2" t="inlineStr">
        <is>
          <t>Hélio Varela</t>
        </is>
      </c>
      <c r="D323" s="2" t="inlineStr">
        <is>
          <t>Avançado</t>
        </is>
      </c>
      <c r="E323" s="2" t="inlineStr">
        <is>
          <t>Maccabi Tel Aviv</t>
        </is>
      </c>
      <c r="F323">
        <f>VLOOKUP(E323,Clubes!B$2:D$438,2)</f>
        <v/>
      </c>
      <c r="G323">
        <f>VLOOKUP(E323,Clubes!B$2:D$438,3)</f>
        <v/>
      </c>
      <c r="H323" s="2" t="n">
        <v>36</v>
      </c>
      <c r="J323">
        <f>I323/H323</f>
        <v/>
      </c>
      <c r="K323">
        <f>H323*90</f>
        <v/>
      </c>
      <c r="M323">
        <f>L323/K323</f>
        <v/>
      </c>
    </row>
    <row r="324">
      <c r="A324" s="1" t="n">
        <v>323</v>
      </c>
      <c r="B324" s="2" t="inlineStr">
        <is>
          <t>Canada</t>
        </is>
      </c>
      <c r="C324" s="2" t="inlineStr">
        <is>
          <t>Dayne St. Clair</t>
        </is>
      </c>
      <c r="D324" s="2" t="inlineStr">
        <is>
          <t>Guarda Redes</t>
        </is>
      </c>
      <c r="E324" s="2" t="inlineStr">
        <is>
          <t>Inter Miami CF</t>
        </is>
      </c>
      <c r="F324">
        <f>VLOOKUP(E324,Clubes!B$2:D$438,2)</f>
        <v/>
      </c>
      <c r="G324">
        <f>VLOOKUP(E324,Clubes!B$2:D$438,3)</f>
        <v/>
      </c>
      <c r="H324" s="2" t="n">
        <v>34</v>
      </c>
      <c r="J324">
        <f>I324/H324</f>
        <v/>
      </c>
      <c r="K324">
        <f>H324*90</f>
        <v/>
      </c>
      <c r="M324">
        <f>L324/K324</f>
        <v/>
      </c>
    </row>
    <row r="325">
      <c r="A325" s="1" t="n">
        <v>324</v>
      </c>
      <c r="B325" s="2" t="inlineStr">
        <is>
          <t>Canada</t>
        </is>
      </c>
      <c r="C325" s="2" t="inlineStr">
        <is>
          <t>Maxime Crépeau</t>
        </is>
      </c>
      <c r="D325" s="2" t="inlineStr">
        <is>
          <t>Guarda Redes</t>
        </is>
      </c>
      <c r="E325" s="2" t="inlineStr">
        <is>
          <t>Orlando City</t>
        </is>
      </c>
      <c r="F325">
        <f>VLOOKUP(E325,Clubes!B$2:D$438,2)</f>
        <v/>
      </c>
      <c r="G325">
        <f>VLOOKUP(E325,Clubes!B$2:D$438,3)</f>
        <v/>
      </c>
      <c r="H325" s="2" t="n">
        <v>34</v>
      </c>
      <c r="J325">
        <f>I325/H325</f>
        <v/>
      </c>
      <c r="K325">
        <f>H325*90</f>
        <v/>
      </c>
      <c r="M325">
        <f>L325/K325</f>
        <v/>
      </c>
    </row>
    <row r="326">
      <c r="A326" s="1" t="n">
        <v>325</v>
      </c>
      <c r="B326" s="2" t="inlineStr">
        <is>
          <t>Canada</t>
        </is>
      </c>
      <c r="C326" s="2" t="inlineStr">
        <is>
          <t>Owen Goodman</t>
        </is>
      </c>
      <c r="D326" s="2" t="inlineStr">
        <is>
          <t>Guarda Redes</t>
        </is>
      </c>
      <c r="E326" s="2" t="inlineStr">
        <is>
          <t>Barnsley</t>
        </is>
      </c>
      <c r="F326">
        <f>VLOOKUP(E326,Clubes!B$2:D$438,2)</f>
        <v/>
      </c>
      <c r="G326">
        <f>VLOOKUP(E326,Clubes!B$2:D$438,3)</f>
        <v/>
      </c>
      <c r="H326" s="2" t="n">
        <v>46</v>
      </c>
      <c r="J326">
        <f>I326/H326</f>
        <v/>
      </c>
      <c r="K326">
        <f>H326*90</f>
        <v/>
      </c>
      <c r="M326">
        <f>L326/K326</f>
        <v/>
      </c>
    </row>
    <row r="327">
      <c r="A327" s="1" t="n">
        <v>326</v>
      </c>
      <c r="B327" s="2" t="inlineStr">
        <is>
          <t>Canada</t>
        </is>
      </c>
      <c r="C327" s="2" t="inlineStr">
        <is>
          <t>Alistair Johnston</t>
        </is>
      </c>
      <c r="D327" s="2" t="inlineStr">
        <is>
          <t>Defesa</t>
        </is>
      </c>
      <c r="E327" s="2" t="inlineStr">
        <is>
          <t>Celtic</t>
        </is>
      </c>
      <c r="F327">
        <f>VLOOKUP(E327,Clubes!B$2:D$438,2)</f>
        <v/>
      </c>
      <c r="G327">
        <f>VLOOKUP(E327,Clubes!B$2:D$438,3)</f>
        <v/>
      </c>
      <c r="H327" s="2" t="n">
        <v>38</v>
      </c>
      <c r="J327">
        <f>I327/H327</f>
        <v/>
      </c>
      <c r="K327">
        <f>H327*90</f>
        <v/>
      </c>
      <c r="M327">
        <f>L327/K327</f>
        <v/>
      </c>
    </row>
    <row r="328">
      <c r="A328" s="1" t="n">
        <v>327</v>
      </c>
      <c r="B328" s="2" t="inlineStr">
        <is>
          <t>Canada</t>
        </is>
      </c>
      <c r="C328" s="2" t="inlineStr">
        <is>
          <t>Richie Laryea</t>
        </is>
      </c>
      <c r="D328" s="2" t="inlineStr">
        <is>
          <t>Defesa</t>
        </is>
      </c>
      <c r="E328" s="2" t="inlineStr">
        <is>
          <t>Toronto FC</t>
        </is>
      </c>
      <c r="F328">
        <f>VLOOKUP(E328,Clubes!B$2:D$438,2)</f>
        <v/>
      </c>
      <c r="G328">
        <f>VLOOKUP(E328,Clubes!B$2:D$438,3)</f>
        <v/>
      </c>
      <c r="H328" s="2" t="n">
        <v>34</v>
      </c>
      <c r="J328">
        <f>I328/H328</f>
        <v/>
      </c>
      <c r="K328">
        <f>H328*90</f>
        <v/>
      </c>
      <c r="M328">
        <f>L328/K328</f>
        <v/>
      </c>
    </row>
    <row r="329">
      <c r="A329" s="1" t="n">
        <v>328</v>
      </c>
      <c r="B329" s="2" t="inlineStr">
        <is>
          <t>Canada</t>
        </is>
      </c>
      <c r="C329" s="2" t="inlineStr">
        <is>
          <t>Alfie Jones</t>
        </is>
      </c>
      <c r="D329" s="2" t="inlineStr">
        <is>
          <t>Defesa</t>
        </is>
      </c>
      <c r="E329" s="2" t="inlineStr">
        <is>
          <t>Middlesbrough</t>
        </is>
      </c>
      <c r="F329">
        <f>VLOOKUP(E329,Clubes!B$2:D$438,2)</f>
        <v/>
      </c>
      <c r="G329">
        <f>VLOOKUP(E329,Clubes!B$2:D$438,3)</f>
        <v/>
      </c>
      <c r="H329" s="2" t="n">
        <v>46</v>
      </c>
      <c r="J329">
        <f>I329/H329</f>
        <v/>
      </c>
      <c r="K329">
        <f>H329*90</f>
        <v/>
      </c>
      <c r="M329">
        <f>L329/K329</f>
        <v/>
      </c>
    </row>
    <row r="330">
      <c r="A330" s="1" t="n">
        <v>329</v>
      </c>
      <c r="B330" s="2" t="inlineStr">
        <is>
          <t>Canada</t>
        </is>
      </c>
      <c r="C330" s="2" t="inlineStr">
        <is>
          <t>Luc De Fougerolles</t>
        </is>
      </c>
      <c r="D330" s="2" t="inlineStr">
        <is>
          <t>Defesa</t>
        </is>
      </c>
      <c r="E330" s="2" t="inlineStr">
        <is>
          <t>FCV Dender</t>
        </is>
      </c>
      <c r="F330">
        <f>VLOOKUP(E330,Clubes!B$2:D$438,2)</f>
        <v/>
      </c>
      <c r="G330">
        <f>VLOOKUP(E330,Clubes!B$2:D$438,3)</f>
        <v/>
      </c>
      <c r="H330" s="2" t="n">
        <v>40</v>
      </c>
      <c r="J330">
        <f>I330/H330</f>
        <v/>
      </c>
      <c r="K330">
        <f>H330*90</f>
        <v/>
      </c>
      <c r="M330">
        <f>L330/K330</f>
        <v/>
      </c>
    </row>
    <row r="331">
      <c r="A331" s="1" t="n">
        <v>330</v>
      </c>
      <c r="B331" s="2" t="inlineStr">
        <is>
          <t>Canada</t>
        </is>
      </c>
      <c r="C331" s="2" t="inlineStr">
        <is>
          <t>Joel Waterman</t>
        </is>
      </c>
      <c r="D331" s="2" t="inlineStr">
        <is>
          <t>Defesa</t>
        </is>
      </c>
      <c r="E331" s="2" t="inlineStr">
        <is>
          <t>Chicago Fire</t>
        </is>
      </c>
      <c r="F331">
        <f>VLOOKUP(E331,Clubes!B$2:D$438,2)</f>
        <v/>
      </c>
      <c r="G331">
        <f>VLOOKUP(E331,Clubes!B$2:D$438,3)</f>
        <v/>
      </c>
      <c r="H331" s="2" t="n">
        <v>34</v>
      </c>
      <c r="J331">
        <f>I331/H331</f>
        <v/>
      </c>
      <c r="K331">
        <f>H331*90</f>
        <v/>
      </c>
      <c r="M331">
        <f>L331/K331</f>
        <v/>
      </c>
    </row>
    <row r="332">
      <c r="A332" s="1" t="n">
        <v>331</v>
      </c>
      <c r="B332" s="2" t="inlineStr">
        <is>
          <t>Canada</t>
        </is>
      </c>
      <c r="C332" s="2" t="inlineStr">
        <is>
          <t>Derek Cornelius</t>
        </is>
      </c>
      <c r="D332" s="2" t="inlineStr">
        <is>
          <t>Defesa</t>
        </is>
      </c>
      <c r="E332" s="2" t="inlineStr">
        <is>
          <t>Rangers</t>
        </is>
      </c>
      <c r="F332">
        <f>VLOOKUP(E332,Clubes!B$2:D$438,2)</f>
        <v/>
      </c>
      <c r="G332">
        <f>VLOOKUP(E332,Clubes!B$2:D$438,3)</f>
        <v/>
      </c>
      <c r="H332" s="2" t="n">
        <v>34</v>
      </c>
      <c r="J332">
        <f>I332/H332</f>
        <v/>
      </c>
      <c r="K332">
        <f>H332*90</f>
        <v/>
      </c>
      <c r="M332">
        <f>L332/K332</f>
        <v/>
      </c>
    </row>
    <row r="333">
      <c r="A333" s="1" t="n">
        <v>332</v>
      </c>
      <c r="B333" s="2" t="inlineStr">
        <is>
          <t>Canada</t>
        </is>
      </c>
      <c r="C333" s="2" t="inlineStr">
        <is>
          <t>Moïse Bombito</t>
        </is>
      </c>
      <c r="D333" s="2" t="inlineStr">
        <is>
          <t>Defesa</t>
        </is>
      </c>
      <c r="E333" s="2" t="inlineStr">
        <is>
          <t>Nice</t>
        </is>
      </c>
      <c r="F333">
        <f>VLOOKUP(E333,Clubes!B$2:D$438,2)</f>
        <v/>
      </c>
      <c r="G333">
        <f>VLOOKUP(E333,Clubes!B$2:D$438,3)</f>
        <v/>
      </c>
      <c r="H333" s="2" t="n">
        <v>34</v>
      </c>
      <c r="J333">
        <f>I333/H333</f>
        <v/>
      </c>
      <c r="K333">
        <f>H333*90</f>
        <v/>
      </c>
      <c r="M333">
        <f>L333/K333</f>
        <v/>
      </c>
    </row>
    <row r="334">
      <c r="A334" s="1" t="n">
        <v>333</v>
      </c>
      <c r="B334" s="2" t="inlineStr">
        <is>
          <t>Canada</t>
        </is>
      </c>
      <c r="C334" s="2" t="inlineStr">
        <is>
          <t>Alphonso Davies</t>
        </is>
      </c>
      <c r="D334" s="2" t="inlineStr">
        <is>
          <t>Defesa</t>
        </is>
      </c>
      <c r="E334" s="2" t="inlineStr">
        <is>
          <t>Bayern München</t>
        </is>
      </c>
      <c r="F334">
        <f>VLOOKUP(E334,Clubes!B$2:D$438,2)</f>
        <v/>
      </c>
      <c r="G334">
        <f>VLOOKUP(E334,Clubes!B$2:D$438,3)</f>
        <v/>
      </c>
      <c r="H334" s="2" t="n">
        <v>34</v>
      </c>
      <c r="J334">
        <f>I334/H334</f>
        <v/>
      </c>
      <c r="K334">
        <f>H334*90</f>
        <v/>
      </c>
      <c r="M334">
        <f>L334/K334</f>
        <v/>
      </c>
    </row>
    <row r="335">
      <c r="A335" s="1" t="n">
        <v>334</v>
      </c>
      <c r="B335" s="2" t="inlineStr">
        <is>
          <t>Canada</t>
        </is>
      </c>
      <c r="C335" s="2" t="inlineStr">
        <is>
          <t>Niko Sigur</t>
        </is>
      </c>
      <c r="D335" s="2" t="inlineStr">
        <is>
          <t>Médio</t>
        </is>
      </c>
      <c r="E335" s="2" t="inlineStr">
        <is>
          <t>Hajduk Split</t>
        </is>
      </c>
      <c r="F335">
        <f>VLOOKUP(E335,Clubes!B$2:D$438,2)</f>
        <v/>
      </c>
      <c r="G335">
        <f>VLOOKUP(E335,Clubes!B$2:D$438,3)</f>
        <v/>
      </c>
      <c r="H335" s="2" t="n">
        <v>33</v>
      </c>
      <c r="J335">
        <f>I335/H335</f>
        <v/>
      </c>
      <c r="K335">
        <f>H335*90</f>
        <v/>
      </c>
      <c r="M335">
        <f>L335/K335</f>
        <v/>
      </c>
    </row>
    <row r="336">
      <c r="A336" s="1" t="n">
        <v>335</v>
      </c>
      <c r="B336" s="2" t="inlineStr">
        <is>
          <t>Canada</t>
        </is>
      </c>
      <c r="C336" s="2" t="inlineStr">
        <is>
          <t>Mathieu Choinière</t>
        </is>
      </c>
      <c r="D336" s="2" t="inlineStr">
        <is>
          <t>Médio</t>
        </is>
      </c>
      <c r="E336" s="2" t="inlineStr">
        <is>
          <t>Los Angeles FC</t>
        </is>
      </c>
      <c r="F336">
        <f>VLOOKUP(E336,Clubes!B$2:D$438,2)</f>
        <v/>
      </c>
      <c r="G336">
        <f>VLOOKUP(E336,Clubes!B$2:D$438,3)</f>
        <v/>
      </c>
      <c r="H336" s="2" t="n">
        <v>34</v>
      </c>
      <c r="J336">
        <f>I336/H336</f>
        <v/>
      </c>
      <c r="K336">
        <f>H336*90</f>
        <v/>
      </c>
      <c r="M336">
        <f>L336/K336</f>
        <v/>
      </c>
    </row>
    <row r="337">
      <c r="A337" s="1" t="n">
        <v>336</v>
      </c>
      <c r="B337" s="2" t="inlineStr">
        <is>
          <t>Canada</t>
        </is>
      </c>
      <c r="C337" s="2" t="inlineStr">
        <is>
          <t>Stephen Eustáquio</t>
        </is>
      </c>
      <c r="D337" s="2" t="inlineStr">
        <is>
          <t>Médio</t>
        </is>
      </c>
      <c r="E337" s="2" t="inlineStr">
        <is>
          <t>Los Angeles FC</t>
        </is>
      </c>
      <c r="F337">
        <f>VLOOKUP(E337,Clubes!B$2:D$438,2)</f>
        <v/>
      </c>
      <c r="G337">
        <f>VLOOKUP(E337,Clubes!B$2:D$438,3)</f>
        <v/>
      </c>
      <c r="H337" s="2" t="n">
        <v>34</v>
      </c>
      <c r="J337">
        <f>I337/H337</f>
        <v/>
      </c>
      <c r="K337">
        <f>H337*90</f>
        <v/>
      </c>
      <c r="M337">
        <f>L337/K337</f>
        <v/>
      </c>
    </row>
    <row r="338">
      <c r="A338" s="1" t="n">
        <v>337</v>
      </c>
      <c r="B338" s="2" t="inlineStr">
        <is>
          <t>Canada</t>
        </is>
      </c>
      <c r="C338" s="2" t="inlineStr">
        <is>
          <t>Ismaël Koné</t>
        </is>
      </c>
      <c r="D338" s="2" t="inlineStr">
        <is>
          <t>Médio</t>
        </is>
      </c>
      <c r="E338" s="2" t="inlineStr">
        <is>
          <t>Sassuolo</t>
        </is>
      </c>
      <c r="F338">
        <f>VLOOKUP(E338,Clubes!B$2:D$438,2)</f>
        <v/>
      </c>
      <c r="G338">
        <f>VLOOKUP(E338,Clubes!B$2:D$438,3)</f>
        <v/>
      </c>
      <c r="H338" s="2" t="n">
        <v>40</v>
      </c>
      <c r="J338">
        <f>I338/H338</f>
        <v/>
      </c>
      <c r="K338">
        <f>H338*90</f>
        <v/>
      </c>
      <c r="M338">
        <f>L338/K338</f>
        <v/>
      </c>
    </row>
    <row r="339">
      <c r="A339" s="1" t="n">
        <v>338</v>
      </c>
      <c r="B339" s="2" t="inlineStr">
        <is>
          <t>Canada</t>
        </is>
      </c>
      <c r="C339" s="2" t="inlineStr">
        <is>
          <t>Jonathan Osorio</t>
        </is>
      </c>
      <c r="D339" s="2" t="inlineStr">
        <is>
          <t>Médio</t>
        </is>
      </c>
      <c r="E339" s="2" t="inlineStr">
        <is>
          <t>Toronto FC</t>
        </is>
      </c>
      <c r="F339">
        <f>VLOOKUP(E339,Clubes!B$2:D$438,2)</f>
        <v/>
      </c>
      <c r="G339">
        <f>VLOOKUP(E339,Clubes!B$2:D$438,3)</f>
        <v/>
      </c>
      <c r="H339" s="2" t="n">
        <v>34</v>
      </c>
      <c r="J339">
        <f>I339/H339</f>
        <v/>
      </c>
      <c r="K339">
        <f>H339*90</f>
        <v/>
      </c>
      <c r="M339">
        <f>L339/K339</f>
        <v/>
      </c>
    </row>
    <row r="340">
      <c r="A340" s="1" t="n">
        <v>339</v>
      </c>
      <c r="B340" s="2" t="inlineStr">
        <is>
          <t>Canada</t>
        </is>
      </c>
      <c r="C340" s="2" t="inlineStr">
        <is>
          <t>Nathan Saliba</t>
        </is>
      </c>
      <c r="D340" s="2" t="inlineStr">
        <is>
          <t>Médio</t>
        </is>
      </c>
      <c r="E340" s="2" t="inlineStr">
        <is>
          <t>Anderlecht</t>
        </is>
      </c>
      <c r="F340">
        <f>VLOOKUP(E340,Clubes!B$2:D$438,2)</f>
        <v/>
      </c>
      <c r="G340">
        <f>VLOOKUP(E340,Clubes!B$2:D$438,3)</f>
        <v/>
      </c>
      <c r="H340" s="2" t="n">
        <v>40</v>
      </c>
      <c r="J340">
        <f>I340/H340</f>
        <v/>
      </c>
      <c r="K340">
        <f>H340*90</f>
        <v/>
      </c>
      <c r="M340">
        <f>L340/K340</f>
        <v/>
      </c>
    </row>
    <row r="341">
      <c r="A341" s="1" t="n">
        <v>340</v>
      </c>
      <c r="B341" s="2" t="inlineStr">
        <is>
          <t>Canada</t>
        </is>
      </c>
      <c r="C341" s="2" t="inlineStr">
        <is>
          <t>Marcelo Flores</t>
        </is>
      </c>
      <c r="D341" s="2" t="inlineStr">
        <is>
          <t>Médio</t>
        </is>
      </c>
      <c r="E341" s="2" t="inlineStr">
        <is>
          <t>Tigres</t>
        </is>
      </c>
      <c r="F341">
        <f>VLOOKUP(E341,Clubes!B$2:D$438,2)</f>
        <v/>
      </c>
      <c r="G341">
        <f>VLOOKUP(E341,Clubes!B$2:D$438,3)</f>
        <v/>
      </c>
      <c r="H341" s="2" t="n">
        <v>38</v>
      </c>
      <c r="J341">
        <f>I341/H341</f>
        <v/>
      </c>
      <c r="K341">
        <f>H341*90</f>
        <v/>
      </c>
      <c r="M341">
        <f>L341/K341</f>
        <v/>
      </c>
    </row>
    <row r="342">
      <c r="A342" s="1" t="n">
        <v>341</v>
      </c>
      <c r="B342" s="2" t="inlineStr">
        <is>
          <t>Canada</t>
        </is>
      </c>
      <c r="C342" s="2" t="inlineStr">
        <is>
          <t>Tajon Buchanan</t>
        </is>
      </c>
      <c r="D342" s="2" t="inlineStr">
        <is>
          <t>Avançado</t>
        </is>
      </c>
      <c r="E342" s="2" t="inlineStr">
        <is>
          <t>Villarreal</t>
        </is>
      </c>
      <c r="F342">
        <f>VLOOKUP(E342,Clubes!B$2:D$438,2)</f>
        <v/>
      </c>
      <c r="G342">
        <f>VLOOKUP(E342,Clubes!B$2:D$438,3)</f>
        <v/>
      </c>
      <c r="H342" s="2" t="n">
        <v>38</v>
      </c>
      <c r="J342">
        <f>I342/H342</f>
        <v/>
      </c>
      <c r="K342">
        <f>H342*90</f>
        <v/>
      </c>
      <c r="M342">
        <f>L342/K342</f>
        <v/>
      </c>
    </row>
    <row r="343">
      <c r="A343" s="1" t="n">
        <v>342</v>
      </c>
      <c r="B343" s="2" t="inlineStr">
        <is>
          <t>Canada</t>
        </is>
      </c>
      <c r="C343" s="2" t="inlineStr">
        <is>
          <t>Cyle Larin</t>
        </is>
      </c>
      <c r="D343" s="2" t="inlineStr">
        <is>
          <t>Avançado</t>
        </is>
      </c>
      <c r="E343" s="2" t="inlineStr">
        <is>
          <t>Southampton</t>
        </is>
      </c>
      <c r="F343">
        <f>VLOOKUP(E343,Clubes!B$2:D$438,2)</f>
        <v/>
      </c>
      <c r="G343">
        <f>VLOOKUP(E343,Clubes!B$2:D$438,3)</f>
        <v/>
      </c>
      <c r="H343" s="2" t="n">
        <v>46</v>
      </c>
      <c r="J343">
        <f>I343/H343</f>
        <v/>
      </c>
      <c r="K343">
        <f>H343*90</f>
        <v/>
      </c>
      <c r="M343">
        <f>L343/K343</f>
        <v/>
      </c>
    </row>
    <row r="344">
      <c r="A344" s="1" t="n">
        <v>343</v>
      </c>
      <c r="B344" s="2" t="inlineStr">
        <is>
          <t>Canada</t>
        </is>
      </c>
      <c r="C344" s="2" t="inlineStr">
        <is>
          <t>Jonathan David</t>
        </is>
      </c>
      <c r="D344" s="2" t="inlineStr">
        <is>
          <t>Avançado</t>
        </is>
      </c>
      <c r="E344" s="2" t="inlineStr">
        <is>
          <t>Juventus</t>
        </is>
      </c>
      <c r="F344">
        <f>VLOOKUP(E344,Clubes!B$2:D$438,2)</f>
        <v/>
      </c>
      <c r="G344">
        <f>VLOOKUP(E344,Clubes!B$2:D$438,3)</f>
        <v/>
      </c>
      <c r="H344" s="2" t="n">
        <v>38</v>
      </c>
      <c r="J344">
        <f>I344/H344</f>
        <v/>
      </c>
      <c r="K344">
        <f>H344*90</f>
        <v/>
      </c>
      <c r="M344">
        <f>L344/K344</f>
        <v/>
      </c>
    </row>
    <row r="345">
      <c r="A345" s="1" t="n">
        <v>344</v>
      </c>
      <c r="B345" s="2" t="inlineStr">
        <is>
          <t>Canada</t>
        </is>
      </c>
      <c r="C345" s="2" t="inlineStr">
        <is>
          <t>Tani Oluwaseyi</t>
        </is>
      </c>
      <c r="D345" s="2" t="inlineStr">
        <is>
          <t>Avançado</t>
        </is>
      </c>
      <c r="E345" s="2" t="inlineStr">
        <is>
          <t>Villarreal</t>
        </is>
      </c>
      <c r="F345">
        <f>VLOOKUP(E345,Clubes!B$2:D$438,2)</f>
        <v/>
      </c>
      <c r="G345">
        <f>VLOOKUP(E345,Clubes!B$2:D$438,3)</f>
        <v/>
      </c>
      <c r="H345" s="2" t="n">
        <v>38</v>
      </c>
      <c r="J345">
        <f>I345/H345</f>
        <v/>
      </c>
      <c r="K345">
        <f>H345*90</f>
        <v/>
      </c>
      <c r="M345">
        <f>L345/K345</f>
        <v/>
      </c>
    </row>
    <row r="346">
      <c r="A346" s="1" t="n">
        <v>345</v>
      </c>
      <c r="B346" s="2" t="inlineStr">
        <is>
          <t>Canada</t>
        </is>
      </c>
      <c r="C346" s="2" t="inlineStr">
        <is>
          <t>Promise David</t>
        </is>
      </c>
      <c r="D346" s="2" t="inlineStr">
        <is>
          <t>Avançado</t>
        </is>
      </c>
      <c r="E346" s="2" t="inlineStr">
        <is>
          <t>Union St. Gilloise</t>
        </is>
      </c>
      <c r="F346">
        <f>VLOOKUP(E346,Clubes!B$2:D$438,2)</f>
        <v/>
      </c>
      <c r="G346">
        <f>VLOOKUP(E346,Clubes!B$2:D$438,3)</f>
        <v/>
      </c>
      <c r="H346" s="2" t="n">
        <v>30</v>
      </c>
      <c r="J346">
        <f>I346/H346</f>
        <v/>
      </c>
      <c r="K346">
        <f>H346*90</f>
        <v/>
      </c>
      <c r="M346">
        <f>L346/K346</f>
        <v/>
      </c>
    </row>
    <row r="347">
      <c r="A347" s="1" t="n">
        <v>346</v>
      </c>
      <c r="B347" s="2" t="inlineStr">
        <is>
          <t>Canada</t>
        </is>
      </c>
      <c r="C347" s="2" t="inlineStr">
        <is>
          <t>Liam Millar</t>
        </is>
      </c>
      <c r="D347" s="2" t="inlineStr">
        <is>
          <t>Avançado</t>
        </is>
      </c>
      <c r="E347" s="2" t="inlineStr">
        <is>
          <t>Hull City</t>
        </is>
      </c>
      <c r="F347">
        <f>VLOOKUP(E347,Clubes!B$2:D$438,2)</f>
        <v/>
      </c>
      <c r="G347">
        <f>VLOOKUP(E347,Clubes!B$2:D$438,3)</f>
        <v/>
      </c>
      <c r="H347" s="2" t="n">
        <v>46</v>
      </c>
      <c r="J347">
        <f>I347/H347</f>
        <v/>
      </c>
      <c r="K347">
        <f>H347*90</f>
        <v/>
      </c>
      <c r="M347">
        <f>L347/K347</f>
        <v/>
      </c>
    </row>
    <row r="348">
      <c r="A348" s="1" t="n">
        <v>347</v>
      </c>
      <c r="B348" s="2" t="inlineStr">
        <is>
          <t>Canada</t>
        </is>
      </c>
      <c r="C348" s="2" t="inlineStr">
        <is>
          <t>Jacob Shaffelburg</t>
        </is>
      </c>
      <c r="D348" s="2" t="inlineStr">
        <is>
          <t>Avançado</t>
        </is>
      </c>
      <c r="E348" s="2" t="inlineStr">
        <is>
          <t>Los Angeles FC</t>
        </is>
      </c>
      <c r="F348">
        <f>VLOOKUP(E348,Clubes!B$2:D$438,2)</f>
        <v/>
      </c>
      <c r="G348">
        <f>VLOOKUP(E348,Clubes!B$2:D$438,3)</f>
        <v/>
      </c>
      <c r="H348" s="2" t="n">
        <v>34</v>
      </c>
      <c r="J348">
        <f>I348/H348</f>
        <v/>
      </c>
      <c r="K348">
        <f>H348*90</f>
        <v/>
      </c>
      <c r="M348">
        <f>L348/K348</f>
        <v/>
      </c>
    </row>
    <row r="349">
      <c r="A349" s="1" t="n">
        <v>348</v>
      </c>
      <c r="B349" s="2" t="inlineStr">
        <is>
          <t>Canada</t>
        </is>
      </c>
      <c r="C349" s="2" t="inlineStr">
        <is>
          <t>Ali Ahmed</t>
        </is>
      </c>
      <c r="D349" s="2" t="inlineStr">
        <is>
          <t>Avançado</t>
        </is>
      </c>
      <c r="E349" s="2" t="inlineStr">
        <is>
          <t>Norwich City</t>
        </is>
      </c>
      <c r="F349">
        <f>VLOOKUP(E349,Clubes!B$2:D$438,2)</f>
        <v/>
      </c>
      <c r="G349">
        <f>VLOOKUP(E349,Clubes!B$2:D$438,3)</f>
        <v/>
      </c>
      <c r="H349" s="2" t="n">
        <v>46</v>
      </c>
      <c r="J349">
        <f>I349/H349</f>
        <v/>
      </c>
      <c r="K349">
        <f>H349*90</f>
        <v/>
      </c>
      <c r="M349">
        <f>L349/K349</f>
        <v/>
      </c>
    </row>
    <row r="350">
      <c r="A350" s="1" t="n">
        <v>349</v>
      </c>
      <c r="B350" s="2" t="inlineStr">
        <is>
          <t>Qatar</t>
        </is>
      </c>
      <c r="C350" s="2" t="inlineStr">
        <is>
          <t>Mahmud Abunada</t>
        </is>
      </c>
      <c r="D350" s="2" t="inlineStr">
        <is>
          <t>Guarda Redes</t>
        </is>
      </c>
      <c r="E350" s="2" t="inlineStr">
        <is>
          <t>Al-Rayyan</t>
        </is>
      </c>
      <c r="F350">
        <f>VLOOKUP(E350,Clubes!B$2:D$438,2)</f>
        <v/>
      </c>
      <c r="G350">
        <f>VLOOKUP(E350,Clubes!B$2:D$438,3)</f>
        <v/>
      </c>
      <c r="H350" s="2" t="n">
        <v>22</v>
      </c>
      <c r="J350">
        <f>I350/H350</f>
        <v/>
      </c>
      <c r="K350">
        <f>H350*90</f>
        <v/>
      </c>
      <c r="M350">
        <f>L350/K350</f>
        <v/>
      </c>
    </row>
    <row r="351">
      <c r="A351" s="1" t="n">
        <v>350</v>
      </c>
      <c r="B351" s="2" t="inlineStr">
        <is>
          <t>Qatar</t>
        </is>
      </c>
      <c r="C351" s="2" t="inlineStr">
        <is>
          <t>Salah Zakaria</t>
        </is>
      </c>
      <c r="D351" s="2" t="inlineStr">
        <is>
          <t>Guarda Redes</t>
        </is>
      </c>
      <c r="E351" s="2" t="inlineStr">
        <is>
          <t>Al-Duhail</t>
        </is>
      </c>
      <c r="F351">
        <f>VLOOKUP(E351,Clubes!B$2:D$438,2)</f>
        <v/>
      </c>
      <c r="G351">
        <f>VLOOKUP(E351,Clubes!B$2:D$438,3)</f>
        <v/>
      </c>
      <c r="H351" s="2" t="n">
        <v>22</v>
      </c>
      <c r="J351">
        <f>I351/H351</f>
        <v/>
      </c>
      <c r="K351">
        <f>H351*90</f>
        <v/>
      </c>
      <c r="M351">
        <f>L351/K351</f>
        <v/>
      </c>
    </row>
    <row r="352">
      <c r="A352" s="1" t="n">
        <v>351</v>
      </c>
      <c r="B352" s="2" t="inlineStr">
        <is>
          <t>Qatar</t>
        </is>
      </c>
      <c r="C352" s="2" t="inlineStr">
        <is>
          <t>Meshaal Barsham</t>
        </is>
      </c>
      <c r="D352" s="2" t="inlineStr">
        <is>
          <t>Guarda Redes</t>
        </is>
      </c>
      <c r="E352" s="2" t="inlineStr">
        <is>
          <t>Al-Sadd</t>
        </is>
      </c>
      <c r="F352">
        <f>VLOOKUP(E352,Clubes!B$2:D$438,2)</f>
        <v/>
      </c>
      <c r="G352">
        <f>VLOOKUP(E352,Clubes!B$2:D$438,3)</f>
        <v/>
      </c>
      <c r="H352" s="2" t="n">
        <v>22</v>
      </c>
      <c r="J352">
        <f>I352/H352</f>
        <v/>
      </c>
      <c r="K352">
        <f>H352*90</f>
        <v/>
      </c>
      <c r="M352">
        <f>L352/K352</f>
        <v/>
      </c>
    </row>
    <row r="353">
      <c r="A353" s="1" t="n">
        <v>352</v>
      </c>
      <c r="B353" s="2" t="inlineStr">
        <is>
          <t>Qatar</t>
        </is>
      </c>
      <c r="C353" s="2" t="inlineStr">
        <is>
          <t>Pedro Ró-Ró</t>
        </is>
      </c>
      <c r="D353" s="2" t="inlineStr">
        <is>
          <t>Defesa</t>
        </is>
      </c>
      <c r="E353" s="2" t="inlineStr">
        <is>
          <t>Al-Sadd</t>
        </is>
      </c>
      <c r="F353">
        <f>VLOOKUP(E353,Clubes!B$2:D$438,2)</f>
        <v/>
      </c>
      <c r="G353">
        <f>VLOOKUP(E353,Clubes!B$2:D$438,3)</f>
        <v/>
      </c>
      <c r="H353" s="2" t="n">
        <v>22</v>
      </c>
      <c r="J353">
        <f>I353/H353</f>
        <v/>
      </c>
      <c r="K353">
        <f>H353*90</f>
        <v/>
      </c>
      <c r="M353">
        <f>L353/K353</f>
        <v/>
      </c>
    </row>
    <row r="354">
      <c r="A354" s="1" t="n">
        <v>353</v>
      </c>
      <c r="B354" s="2" t="inlineStr">
        <is>
          <t>Qatar</t>
        </is>
      </c>
      <c r="C354" s="2" t="inlineStr">
        <is>
          <t>Ayoub Al Oui</t>
        </is>
      </c>
      <c r="D354" s="2" t="inlineStr">
        <is>
          <t>Defesa</t>
        </is>
      </c>
      <c r="E354" s="2" t="inlineStr">
        <is>
          <t>Al-Gharafa</t>
        </is>
      </c>
      <c r="F354">
        <f>VLOOKUP(E354,Clubes!B$2:D$438,2)</f>
        <v/>
      </c>
      <c r="G354">
        <f>VLOOKUP(E354,Clubes!B$2:D$438,3)</f>
        <v/>
      </c>
      <c r="H354" s="2" t="n">
        <v>22</v>
      </c>
      <c r="J354">
        <f>I354/H354</f>
        <v/>
      </c>
      <c r="K354">
        <f>H354*90</f>
        <v/>
      </c>
      <c r="M354">
        <f>L354/K354</f>
        <v/>
      </c>
    </row>
    <row r="355">
      <c r="A355" s="1" t="n">
        <v>354</v>
      </c>
      <c r="B355" s="2" t="inlineStr">
        <is>
          <t>Qatar</t>
        </is>
      </c>
      <c r="C355" s="2" t="inlineStr">
        <is>
          <t>Lucas Mendes</t>
        </is>
      </c>
      <c r="D355" s="2" t="inlineStr">
        <is>
          <t>Defesa</t>
        </is>
      </c>
      <c r="E355" s="2" t="inlineStr">
        <is>
          <t>Al-Wakrah</t>
        </is>
      </c>
      <c r="F355">
        <f>VLOOKUP(E355,Clubes!B$2:D$438,2)</f>
        <v/>
      </c>
      <c r="G355">
        <f>VLOOKUP(E355,Clubes!B$2:D$438,3)</f>
        <v/>
      </c>
      <c r="H355" s="2" t="n">
        <v>22</v>
      </c>
      <c r="J355">
        <f>I355/H355</f>
        <v/>
      </c>
      <c r="K355">
        <f>H355*90</f>
        <v/>
      </c>
      <c r="M355">
        <f>L355/K355</f>
        <v/>
      </c>
    </row>
    <row r="356">
      <c r="A356" s="1" t="n">
        <v>355</v>
      </c>
      <c r="B356" s="2" t="inlineStr">
        <is>
          <t>Qatar</t>
        </is>
      </c>
      <c r="C356" s="2" t="inlineStr">
        <is>
          <t>Issa Laye</t>
        </is>
      </c>
      <c r="D356" s="2" t="inlineStr">
        <is>
          <t>Defesa</t>
        </is>
      </c>
      <c r="E356" s="2" t="inlineStr">
        <is>
          <t>Lusail SC</t>
        </is>
      </c>
      <c r="F356">
        <f>VLOOKUP(E356,Clubes!B$2:D$438,2)</f>
        <v/>
      </c>
      <c r="G356">
        <f>VLOOKUP(E356,Clubes!B$2:D$438,3)</f>
        <v/>
      </c>
      <c r="H356" s="2" t="n">
        <v>21</v>
      </c>
      <c r="J356">
        <f>I356/H356</f>
        <v/>
      </c>
      <c r="K356">
        <f>H356*90</f>
        <v/>
      </c>
      <c r="M356">
        <f>L356/K356</f>
        <v/>
      </c>
    </row>
    <row r="357">
      <c r="A357" s="1" t="n">
        <v>356</v>
      </c>
      <c r="B357" s="2" t="inlineStr">
        <is>
          <t>Qatar</t>
        </is>
      </c>
      <c r="C357" s="2" t="inlineStr">
        <is>
          <t>Boualem Khoukhi</t>
        </is>
      </c>
      <c r="D357" s="2" t="inlineStr">
        <is>
          <t>Defesa</t>
        </is>
      </c>
      <c r="E357" s="2" t="inlineStr">
        <is>
          <t>Al-Sadd</t>
        </is>
      </c>
      <c r="F357">
        <f>VLOOKUP(E357,Clubes!B$2:D$438,2)</f>
        <v/>
      </c>
      <c r="G357">
        <f>VLOOKUP(E357,Clubes!B$2:D$438,3)</f>
        <v/>
      </c>
      <c r="H357" s="2" t="n">
        <v>22</v>
      </c>
      <c r="J357">
        <f>I357/H357</f>
        <v/>
      </c>
      <c r="K357">
        <f>H357*90</f>
        <v/>
      </c>
      <c r="M357">
        <f>L357/K357</f>
        <v/>
      </c>
    </row>
    <row r="358">
      <c r="A358" s="1" t="n">
        <v>357</v>
      </c>
      <c r="B358" s="2" t="inlineStr">
        <is>
          <t>Qatar</t>
        </is>
      </c>
      <c r="C358" s="2" t="inlineStr">
        <is>
          <t>Al Hashmi Al Hussain</t>
        </is>
      </c>
      <c r="D358" s="2" t="inlineStr">
        <is>
          <t>Defesa</t>
        </is>
      </c>
      <c r="E358" s="2" t="inlineStr">
        <is>
          <t>Al-Arabi SC</t>
        </is>
      </c>
      <c r="F358">
        <f>VLOOKUP(E358,Clubes!B$2:D$438,2)</f>
        <v/>
      </c>
      <c r="G358">
        <f>VLOOKUP(E358,Clubes!B$2:D$438,3)</f>
        <v/>
      </c>
      <c r="H358" s="2" t="n">
        <v>22</v>
      </c>
      <c r="J358">
        <f>I358/H358</f>
        <v/>
      </c>
      <c r="K358">
        <f>H358*90</f>
        <v/>
      </c>
      <c r="M358">
        <f>L358/K358</f>
        <v/>
      </c>
    </row>
    <row r="359">
      <c r="A359" s="1" t="n">
        <v>358</v>
      </c>
      <c r="B359" s="2" t="inlineStr">
        <is>
          <t>Qatar</t>
        </is>
      </c>
      <c r="C359" s="2" t="inlineStr">
        <is>
          <t>Homam Ahmed</t>
        </is>
      </c>
      <c r="D359" s="2" t="inlineStr">
        <is>
          <t>Defesa</t>
        </is>
      </c>
      <c r="E359" s="2" t="inlineStr">
        <is>
          <t>Cultural Leonesa</t>
        </is>
      </c>
      <c r="F359">
        <f>VLOOKUP(E359,Clubes!B$2:D$438,2)</f>
        <v/>
      </c>
      <c r="G359">
        <f>VLOOKUP(E359,Clubes!B$2:D$438,3)</f>
        <v/>
      </c>
      <c r="H359" s="2" t="n">
        <v>42</v>
      </c>
      <c r="J359">
        <f>I359/H359</f>
        <v/>
      </c>
      <c r="K359">
        <f>H359*90</f>
        <v/>
      </c>
      <c r="M359">
        <f>L359/K359</f>
        <v/>
      </c>
    </row>
    <row r="360">
      <c r="A360" s="1" t="n">
        <v>359</v>
      </c>
      <c r="B360" s="2" t="inlineStr">
        <is>
          <t>Qatar</t>
        </is>
      </c>
      <c r="C360" s="2" t="inlineStr">
        <is>
          <t>Sultan Al-Brake</t>
        </is>
      </c>
      <c r="D360" s="2" t="inlineStr">
        <is>
          <t>Defesa</t>
        </is>
      </c>
      <c r="E360" s="2" t="inlineStr">
        <is>
          <t>Al-Duhail</t>
        </is>
      </c>
      <c r="F360">
        <f>VLOOKUP(E360,Clubes!B$2:D$438,2)</f>
        <v/>
      </c>
      <c r="G360">
        <f>VLOOKUP(E360,Clubes!B$2:D$438,3)</f>
        <v/>
      </c>
      <c r="H360" s="2" t="n">
        <v>22</v>
      </c>
      <c r="J360">
        <f>I360/H360</f>
        <v/>
      </c>
      <c r="K360">
        <f>H360*90</f>
        <v/>
      </c>
      <c r="M360">
        <f>L360/K360</f>
        <v/>
      </c>
    </row>
    <row r="361">
      <c r="A361" s="1" t="n">
        <v>360</v>
      </c>
      <c r="B361" s="2" t="inlineStr">
        <is>
          <t>Qatar</t>
        </is>
      </c>
      <c r="C361" s="2" t="inlineStr">
        <is>
          <t>Jassem Gaber</t>
        </is>
      </c>
      <c r="D361" s="2" t="inlineStr">
        <is>
          <t>Médio</t>
        </is>
      </c>
      <c r="E361" s="2" t="inlineStr">
        <is>
          <t>Al-Rayyan</t>
        </is>
      </c>
      <c r="F361">
        <f>VLOOKUP(E361,Clubes!B$2:D$438,2)</f>
        <v/>
      </c>
      <c r="G361">
        <f>VLOOKUP(E361,Clubes!B$2:D$438,3)</f>
        <v/>
      </c>
      <c r="H361" s="2" t="n">
        <v>22</v>
      </c>
      <c r="J361">
        <f>I361/H361</f>
        <v/>
      </c>
      <c r="K361">
        <f>H361*90</f>
        <v/>
      </c>
      <c r="M361">
        <f>L361/K361</f>
        <v/>
      </c>
    </row>
    <row r="362">
      <c r="A362" s="1" t="n">
        <v>361</v>
      </c>
      <c r="B362" s="2" t="inlineStr">
        <is>
          <t>Qatar</t>
        </is>
      </c>
      <c r="C362" s="2" t="inlineStr">
        <is>
          <t>Karim Boudiaf</t>
        </is>
      </c>
      <c r="D362" s="2" t="inlineStr">
        <is>
          <t>Médio</t>
        </is>
      </c>
      <c r="E362" s="2" t="inlineStr">
        <is>
          <t>Al-Duhail</t>
        </is>
      </c>
      <c r="F362">
        <f>VLOOKUP(E362,Clubes!B$2:D$438,2)</f>
        <v/>
      </c>
      <c r="G362">
        <f>VLOOKUP(E362,Clubes!B$2:D$438,3)</f>
        <v/>
      </c>
      <c r="H362" s="2" t="n">
        <v>22</v>
      </c>
      <c r="J362">
        <f>I362/H362</f>
        <v/>
      </c>
      <c r="K362">
        <f>H362*90</f>
        <v/>
      </c>
      <c r="M362">
        <f>L362/K362</f>
        <v/>
      </c>
    </row>
    <row r="363">
      <c r="A363" s="1" t="n">
        <v>362</v>
      </c>
      <c r="B363" s="2" t="inlineStr">
        <is>
          <t>Qatar</t>
        </is>
      </c>
      <c r="C363" s="2" t="inlineStr">
        <is>
          <t>Ahmed Fathy</t>
        </is>
      </c>
      <c r="D363" s="2" t="inlineStr">
        <is>
          <t>Médio</t>
        </is>
      </c>
      <c r="E363" s="2" t="inlineStr">
        <is>
          <t>Al-Arabi SC</t>
        </is>
      </c>
      <c r="F363">
        <f>VLOOKUP(E363,Clubes!B$2:D$438,2)</f>
        <v/>
      </c>
      <c r="G363">
        <f>VLOOKUP(E363,Clubes!B$2:D$438,3)</f>
        <v/>
      </c>
      <c r="H363" s="2" t="n">
        <v>22</v>
      </c>
      <c r="J363">
        <f>I363/H363</f>
        <v/>
      </c>
      <c r="K363">
        <f>H363*90</f>
        <v/>
      </c>
      <c r="M363">
        <f>L363/K363</f>
        <v/>
      </c>
    </row>
    <row r="364">
      <c r="A364" s="1" t="n">
        <v>363</v>
      </c>
      <c r="B364" s="2" t="inlineStr">
        <is>
          <t>Qatar</t>
        </is>
      </c>
      <c r="C364" s="2" t="inlineStr">
        <is>
          <t>Assim Madibo</t>
        </is>
      </c>
      <c r="D364" s="2" t="inlineStr">
        <is>
          <t>Médio</t>
        </is>
      </c>
      <c r="E364" s="2" t="inlineStr">
        <is>
          <t>Al-Wakrah</t>
        </is>
      </c>
      <c r="F364">
        <f>VLOOKUP(E364,Clubes!B$2:D$438,2)</f>
        <v/>
      </c>
      <c r="G364">
        <f>VLOOKUP(E364,Clubes!B$2:D$438,3)</f>
        <v/>
      </c>
      <c r="H364" s="2" t="n">
        <v>22</v>
      </c>
      <c r="J364">
        <f>I364/H364</f>
        <v/>
      </c>
      <c r="K364">
        <f>H364*90</f>
        <v/>
      </c>
      <c r="M364">
        <f>L364/K364</f>
        <v/>
      </c>
    </row>
    <row r="365">
      <c r="A365" s="1" t="n">
        <v>364</v>
      </c>
      <c r="B365" s="2" t="inlineStr">
        <is>
          <t>Qatar</t>
        </is>
      </c>
      <c r="C365" s="2" t="inlineStr">
        <is>
          <t>Mohamed Almanai</t>
        </is>
      </c>
      <c r="D365" s="2" t="inlineStr">
        <is>
          <t>Médio</t>
        </is>
      </c>
      <c r="E365" s="2" t="inlineStr">
        <is>
          <t>Al-Shamal</t>
        </is>
      </c>
      <c r="F365">
        <f>VLOOKUP(E365,Clubes!B$2:D$438,2)</f>
        <v/>
      </c>
      <c r="G365">
        <f>VLOOKUP(E365,Clubes!B$2:D$438,3)</f>
        <v/>
      </c>
      <c r="H365" s="2" t="n">
        <v>22</v>
      </c>
      <c r="J365">
        <f>I365/H365</f>
        <v/>
      </c>
      <c r="K365">
        <f>H365*90</f>
        <v/>
      </c>
      <c r="M365">
        <f>L365/K365</f>
        <v/>
      </c>
    </row>
    <row r="366">
      <c r="A366" s="1" t="n">
        <v>365</v>
      </c>
      <c r="B366" s="2" t="inlineStr">
        <is>
          <t>Qatar</t>
        </is>
      </c>
      <c r="C366" s="2" t="inlineStr">
        <is>
          <t>Abdulaziz Hatem</t>
        </is>
      </c>
      <c r="D366" s="2" t="inlineStr">
        <is>
          <t>Médio</t>
        </is>
      </c>
      <c r="E366" s="2" t="inlineStr">
        <is>
          <t>Al-Rayyan</t>
        </is>
      </c>
      <c r="F366">
        <f>VLOOKUP(E366,Clubes!B$2:D$438,2)</f>
        <v/>
      </c>
      <c r="G366">
        <f>VLOOKUP(E366,Clubes!B$2:D$438,3)</f>
        <v/>
      </c>
      <c r="H366" s="2" t="n">
        <v>22</v>
      </c>
      <c r="J366">
        <f>I366/H366</f>
        <v/>
      </c>
      <c r="K366">
        <f>H366*90</f>
        <v/>
      </c>
      <c r="M366">
        <f>L366/K366</f>
        <v/>
      </c>
    </row>
    <row r="367">
      <c r="A367" s="1" t="n">
        <v>366</v>
      </c>
      <c r="B367" s="2" t="inlineStr">
        <is>
          <t>Qatar</t>
        </is>
      </c>
      <c r="C367" s="2" t="inlineStr">
        <is>
          <t>Hassan Al Haydos</t>
        </is>
      </c>
      <c r="D367" s="2" t="inlineStr">
        <is>
          <t>Avançado</t>
        </is>
      </c>
      <c r="E367" s="2" t="inlineStr">
        <is>
          <t>Al-Sadd</t>
        </is>
      </c>
      <c r="F367">
        <f>VLOOKUP(E367,Clubes!B$2:D$438,2)</f>
        <v/>
      </c>
      <c r="G367">
        <f>VLOOKUP(E367,Clubes!B$2:D$438,3)</f>
        <v/>
      </c>
      <c r="H367" s="2" t="n">
        <v>22</v>
      </c>
      <c r="J367">
        <f>I367/H367</f>
        <v/>
      </c>
      <c r="K367">
        <f>H367*90</f>
        <v/>
      </c>
      <c r="M367">
        <f>L367/K367</f>
        <v/>
      </c>
    </row>
    <row r="368">
      <c r="A368" s="1" t="n">
        <v>367</v>
      </c>
      <c r="B368" s="2" t="inlineStr">
        <is>
          <t>Qatar</t>
        </is>
      </c>
      <c r="C368" s="2" t="inlineStr">
        <is>
          <t>Yusuf Abdurisag</t>
        </is>
      </c>
      <c r="D368" s="2" t="inlineStr">
        <is>
          <t>Avançado</t>
        </is>
      </c>
      <c r="E368" s="2" t="inlineStr">
        <is>
          <t>Al-Wakrah</t>
        </is>
      </c>
      <c r="F368">
        <f>VLOOKUP(E368,Clubes!B$2:D$438,2)</f>
        <v/>
      </c>
      <c r="G368">
        <f>VLOOKUP(E368,Clubes!B$2:D$438,3)</f>
        <v/>
      </c>
      <c r="H368" s="2" t="n">
        <v>22</v>
      </c>
      <c r="J368">
        <f>I368/H368</f>
        <v/>
      </c>
      <c r="K368">
        <f>H368*90</f>
        <v/>
      </c>
      <c r="M368">
        <f>L368/K368</f>
        <v/>
      </c>
    </row>
    <row r="369">
      <c r="A369" s="1" t="n">
        <v>368</v>
      </c>
      <c r="B369" s="2" t="inlineStr">
        <is>
          <t>Qatar</t>
        </is>
      </c>
      <c r="C369" s="2" t="inlineStr">
        <is>
          <t>Ahmed Al Ganehi</t>
        </is>
      </c>
      <c r="D369" s="2" t="inlineStr">
        <is>
          <t>Avançado</t>
        </is>
      </c>
      <c r="E369" s="2" t="inlineStr">
        <is>
          <t>Al-Gharafa</t>
        </is>
      </c>
      <c r="F369">
        <f>VLOOKUP(E369,Clubes!B$2:D$438,2)</f>
        <v/>
      </c>
      <c r="G369">
        <f>VLOOKUP(E369,Clubes!B$2:D$438,3)</f>
        <v/>
      </c>
      <c r="H369" s="2" t="n">
        <v>22</v>
      </c>
      <c r="J369">
        <f>I369/H369</f>
        <v/>
      </c>
      <c r="K369">
        <f>H369*90</f>
        <v/>
      </c>
      <c r="M369">
        <f>L369/K369</f>
        <v/>
      </c>
    </row>
    <row r="370">
      <c r="A370" s="1" t="n">
        <v>369</v>
      </c>
      <c r="B370" s="2" t="inlineStr">
        <is>
          <t>Qatar</t>
        </is>
      </c>
      <c r="C370" s="2" t="inlineStr">
        <is>
          <t>Ahmed Alaaeldin</t>
        </is>
      </c>
      <c r="D370" s="2" t="inlineStr">
        <is>
          <t>Avançado</t>
        </is>
      </c>
      <c r="E370" s="2" t="inlineStr">
        <is>
          <t>Al-Rayyan</t>
        </is>
      </c>
      <c r="F370">
        <f>VLOOKUP(E370,Clubes!B$2:D$438,2)</f>
        <v/>
      </c>
      <c r="G370">
        <f>VLOOKUP(E370,Clubes!B$2:D$438,3)</f>
        <v/>
      </c>
      <c r="H370" s="2" t="n">
        <v>22</v>
      </c>
      <c r="J370">
        <f>I370/H370</f>
        <v/>
      </c>
      <c r="K370">
        <f>H370*90</f>
        <v/>
      </c>
      <c r="M370">
        <f>L370/K370</f>
        <v/>
      </c>
    </row>
    <row r="371">
      <c r="A371" s="1" t="n">
        <v>370</v>
      </c>
      <c r="B371" s="2" t="inlineStr">
        <is>
          <t>Qatar</t>
        </is>
      </c>
      <c r="C371" s="2" t="inlineStr">
        <is>
          <t>Mohamed Muntari</t>
        </is>
      </c>
      <c r="D371" s="2" t="inlineStr">
        <is>
          <t>Avançado</t>
        </is>
      </c>
      <c r="E371" s="2" t="inlineStr">
        <is>
          <t>Al-Gharafa</t>
        </is>
      </c>
      <c r="F371">
        <f>VLOOKUP(E371,Clubes!B$2:D$438,2)</f>
        <v/>
      </c>
      <c r="G371">
        <f>VLOOKUP(E371,Clubes!B$2:D$438,3)</f>
        <v/>
      </c>
      <c r="H371" s="2" t="n">
        <v>22</v>
      </c>
      <c r="J371">
        <f>I371/H371</f>
        <v/>
      </c>
      <c r="K371">
        <f>H371*90</f>
        <v/>
      </c>
      <c r="M371">
        <f>L371/K371</f>
        <v/>
      </c>
    </row>
    <row r="372">
      <c r="A372" s="1" t="n">
        <v>371</v>
      </c>
      <c r="B372" s="2" t="inlineStr">
        <is>
          <t>Qatar</t>
        </is>
      </c>
      <c r="C372" s="2" t="inlineStr">
        <is>
          <t>Almoez Ali</t>
        </is>
      </c>
      <c r="D372" s="2" t="inlineStr">
        <is>
          <t>Avançado</t>
        </is>
      </c>
      <c r="E372" s="2" t="inlineStr">
        <is>
          <t>Al-Duhail</t>
        </is>
      </c>
      <c r="F372">
        <f>VLOOKUP(E372,Clubes!B$2:D$438,2)</f>
        <v/>
      </c>
      <c r="G372">
        <f>VLOOKUP(E372,Clubes!B$2:D$438,3)</f>
        <v/>
      </c>
      <c r="H372" s="2" t="n">
        <v>22</v>
      </c>
      <c r="J372">
        <f>I372/H372</f>
        <v/>
      </c>
      <c r="K372">
        <f>H372*90</f>
        <v/>
      </c>
      <c r="M372">
        <f>L372/K372</f>
        <v/>
      </c>
    </row>
    <row r="373">
      <c r="A373" s="1" t="n">
        <v>372</v>
      </c>
      <c r="B373" s="2" t="inlineStr">
        <is>
          <t>Qatar</t>
        </is>
      </c>
      <c r="C373" s="2" t="inlineStr">
        <is>
          <t>Edmilson Júnior</t>
        </is>
      </c>
      <c r="D373" s="2" t="inlineStr">
        <is>
          <t>Avançado</t>
        </is>
      </c>
      <c r="E373" s="2" t="inlineStr">
        <is>
          <t>Al-Duhail</t>
        </is>
      </c>
      <c r="F373">
        <f>VLOOKUP(E373,Clubes!B$2:D$438,2)</f>
        <v/>
      </c>
      <c r="G373">
        <f>VLOOKUP(E373,Clubes!B$2:D$438,3)</f>
        <v/>
      </c>
      <c r="H373" s="2" t="n">
        <v>22</v>
      </c>
      <c r="J373">
        <f>I373/H373</f>
        <v/>
      </c>
      <c r="K373">
        <f>H373*90</f>
        <v/>
      </c>
      <c r="M373">
        <f>L373/K373</f>
        <v/>
      </c>
    </row>
    <row r="374">
      <c r="A374" s="1" t="n">
        <v>373</v>
      </c>
      <c r="B374" s="2" t="inlineStr">
        <is>
          <t>Qatar</t>
        </is>
      </c>
      <c r="C374" s="2" t="inlineStr">
        <is>
          <t>Akram Afif</t>
        </is>
      </c>
      <c r="D374" s="2" t="inlineStr">
        <is>
          <t>Avançado</t>
        </is>
      </c>
      <c r="E374" s="2" t="inlineStr">
        <is>
          <t>Al-Sadd</t>
        </is>
      </c>
      <c r="F374">
        <f>VLOOKUP(E374,Clubes!B$2:D$438,2)</f>
        <v/>
      </c>
      <c r="G374">
        <f>VLOOKUP(E374,Clubes!B$2:D$438,3)</f>
        <v/>
      </c>
      <c r="H374" s="2" t="n">
        <v>22</v>
      </c>
      <c r="J374">
        <f>I374/H374</f>
        <v/>
      </c>
      <c r="K374">
        <f>H374*90</f>
        <v/>
      </c>
      <c r="M374">
        <f>L374/K374</f>
        <v/>
      </c>
    </row>
    <row r="375">
      <c r="A375" s="1" t="n">
        <v>374</v>
      </c>
      <c r="B375" s="2" t="inlineStr">
        <is>
          <t>Qatar</t>
        </is>
      </c>
      <c r="C375" s="2" t="inlineStr">
        <is>
          <t>Tashin Jamshid</t>
        </is>
      </c>
      <c r="D375" s="2" t="inlineStr">
        <is>
          <t>Avançado</t>
        </is>
      </c>
      <c r="E375" s="2" t="inlineStr">
        <is>
          <t>Al-Duhail</t>
        </is>
      </c>
      <c r="F375">
        <f>VLOOKUP(E375,Clubes!B$2:D$438,2)</f>
        <v/>
      </c>
      <c r="G375">
        <f>VLOOKUP(E375,Clubes!B$2:D$438,3)</f>
        <v/>
      </c>
      <c r="H375" s="2" t="n">
        <v>22</v>
      </c>
      <c r="J375">
        <f>I375/H375</f>
        <v/>
      </c>
      <c r="K375">
        <f>H375*90</f>
        <v/>
      </c>
      <c r="M375">
        <f>L375/K375</f>
        <v/>
      </c>
    </row>
    <row r="376">
      <c r="A376" s="1" t="n">
        <v>375</v>
      </c>
      <c r="B376" s="2" t="inlineStr">
        <is>
          <t>Czechia</t>
        </is>
      </c>
      <c r="C376" s="2" t="inlineStr">
        <is>
          <t>Matej Kovár</t>
        </is>
      </c>
      <c r="D376" s="2" t="inlineStr">
        <is>
          <t>Guarda Redes</t>
        </is>
      </c>
      <c r="E376" s="2" t="inlineStr">
        <is>
          <t>PSV</t>
        </is>
      </c>
      <c r="F376">
        <f>VLOOKUP(E376,Clubes!B$2:D$438,2)</f>
        <v/>
      </c>
      <c r="G376">
        <f>VLOOKUP(E376,Clubes!B$2:D$438,3)</f>
        <v/>
      </c>
      <c r="H376" s="2" t="n">
        <v>46</v>
      </c>
      <c r="J376">
        <f>I376/H376</f>
        <v/>
      </c>
      <c r="K376">
        <f>H376*90</f>
        <v/>
      </c>
      <c r="M376">
        <f>L376/K376</f>
        <v/>
      </c>
    </row>
    <row r="377">
      <c r="A377" s="1" t="n">
        <v>376</v>
      </c>
      <c r="B377" s="2" t="inlineStr">
        <is>
          <t>Czechia</t>
        </is>
      </c>
      <c r="C377" s="2" t="inlineStr">
        <is>
          <t>Jindrich Stanek</t>
        </is>
      </c>
      <c r="D377" s="2" t="inlineStr">
        <is>
          <t>Guarda Redes</t>
        </is>
      </c>
      <c r="E377" s="2" t="inlineStr">
        <is>
          <t>Slavia Praha</t>
        </is>
      </c>
      <c r="F377">
        <f>VLOOKUP(E377,Clubes!B$2:D$438,2)</f>
        <v/>
      </c>
      <c r="G377">
        <f>VLOOKUP(E377,Clubes!B$2:D$438,3)</f>
        <v/>
      </c>
      <c r="H377" s="2" t="n">
        <v>35</v>
      </c>
      <c r="J377">
        <f>I377/H377</f>
        <v/>
      </c>
      <c r="K377">
        <f>H377*90</f>
        <v/>
      </c>
      <c r="M377">
        <f>L377/K377</f>
        <v/>
      </c>
    </row>
    <row r="378">
      <c r="A378" s="1" t="n">
        <v>377</v>
      </c>
      <c r="B378" s="2" t="inlineStr">
        <is>
          <t>Czechia</t>
        </is>
      </c>
      <c r="C378" s="2" t="inlineStr">
        <is>
          <t>Lukas Hornicek</t>
        </is>
      </c>
      <c r="D378" s="2" t="inlineStr">
        <is>
          <t>Guarda Redes</t>
        </is>
      </c>
      <c r="E378" s="2" t="inlineStr">
        <is>
          <t>SC Braga</t>
        </is>
      </c>
      <c r="F378">
        <f>VLOOKUP(E378,Clubes!B$2:D$438,2)</f>
        <v/>
      </c>
      <c r="G378">
        <f>VLOOKUP(E378,Clubes!B$2:D$438,3)</f>
        <v/>
      </c>
      <c r="H378" s="2" t="n">
        <v>34</v>
      </c>
      <c r="J378">
        <f>I378/H378</f>
        <v/>
      </c>
      <c r="K378">
        <f>H378*90</f>
        <v/>
      </c>
      <c r="M378">
        <f>L378/K378</f>
        <v/>
      </c>
    </row>
    <row r="379">
      <c r="A379" s="1" t="n">
        <v>378</v>
      </c>
      <c r="B379" s="2" t="inlineStr">
        <is>
          <t>Czechia</t>
        </is>
      </c>
      <c r="C379" s="2" t="inlineStr">
        <is>
          <t>Vladimír Coufal</t>
        </is>
      </c>
      <c r="D379" s="2" t="inlineStr">
        <is>
          <t>Defesa</t>
        </is>
      </c>
      <c r="E379" s="2" t="inlineStr">
        <is>
          <t>TSG Hoffenheim</t>
        </is>
      </c>
      <c r="F379">
        <f>VLOOKUP(E379,Clubes!B$2:D$438,2)</f>
        <v/>
      </c>
      <c r="G379">
        <f>VLOOKUP(E379,Clubes!B$2:D$438,3)</f>
        <v/>
      </c>
      <c r="H379" s="2" t="n">
        <v>30</v>
      </c>
      <c r="J379">
        <f>I379/H379</f>
        <v/>
      </c>
      <c r="K379">
        <f>H379*90</f>
        <v/>
      </c>
      <c r="M379">
        <f>L379/K379</f>
        <v/>
      </c>
    </row>
    <row r="380">
      <c r="A380" s="1" t="n">
        <v>379</v>
      </c>
      <c r="B380" s="2" t="inlineStr">
        <is>
          <t>Czechia</t>
        </is>
      </c>
      <c r="C380" s="2" t="inlineStr">
        <is>
          <t>David Doudera</t>
        </is>
      </c>
      <c r="D380" s="2" t="inlineStr">
        <is>
          <t>Defesa</t>
        </is>
      </c>
      <c r="E380" s="2" t="inlineStr">
        <is>
          <t>Slavia Praha</t>
        </is>
      </c>
      <c r="F380">
        <f>VLOOKUP(E380,Clubes!B$2:D$438,2)</f>
        <v/>
      </c>
      <c r="G380">
        <f>VLOOKUP(E380,Clubes!B$2:D$438,3)</f>
        <v/>
      </c>
      <c r="H380" s="2" t="n">
        <v>35</v>
      </c>
      <c r="J380">
        <f>I380/H380</f>
        <v/>
      </c>
      <c r="K380">
        <f>H380*90</f>
        <v/>
      </c>
      <c r="M380">
        <f>L380/K380</f>
        <v/>
      </c>
    </row>
    <row r="381">
      <c r="A381" s="1" t="n">
        <v>380</v>
      </c>
      <c r="B381" s="2" t="inlineStr">
        <is>
          <t>Czechia</t>
        </is>
      </c>
      <c r="C381" s="2" t="inlineStr">
        <is>
          <t>David Zima</t>
        </is>
      </c>
      <c r="D381" s="2" t="inlineStr">
        <is>
          <t>Defesa</t>
        </is>
      </c>
      <c r="E381" s="2" t="inlineStr">
        <is>
          <t>Slavia Praha</t>
        </is>
      </c>
      <c r="F381">
        <f>VLOOKUP(E381,Clubes!B$2:D$438,2)</f>
        <v/>
      </c>
      <c r="G381">
        <f>VLOOKUP(E381,Clubes!B$2:D$438,3)</f>
        <v/>
      </c>
      <c r="H381" s="2" t="n">
        <v>35</v>
      </c>
      <c r="J381">
        <f>I381/H381</f>
        <v/>
      </c>
      <c r="K381">
        <f>H381*90</f>
        <v/>
      </c>
      <c r="M381">
        <f>L381/K381</f>
        <v/>
      </c>
    </row>
    <row r="382">
      <c r="A382" s="1" t="n">
        <v>381</v>
      </c>
      <c r="B382" s="2" t="inlineStr">
        <is>
          <t>Czechia</t>
        </is>
      </c>
      <c r="C382" s="2" t="inlineStr">
        <is>
          <t>Tomás Holes</t>
        </is>
      </c>
      <c r="D382" s="2" t="inlineStr">
        <is>
          <t>Defesa</t>
        </is>
      </c>
      <c r="E382" s="2" t="inlineStr">
        <is>
          <t>Slavia Praha</t>
        </is>
      </c>
      <c r="F382">
        <f>VLOOKUP(E382,Clubes!B$2:D$438,2)</f>
        <v/>
      </c>
      <c r="G382">
        <f>VLOOKUP(E382,Clubes!B$2:D$438,3)</f>
        <v/>
      </c>
      <c r="H382" s="2" t="n">
        <v>35</v>
      </c>
      <c r="J382">
        <f>I382/H382</f>
        <v/>
      </c>
      <c r="K382">
        <f>H382*90</f>
        <v/>
      </c>
      <c r="M382">
        <f>L382/K382</f>
        <v/>
      </c>
    </row>
    <row r="383">
      <c r="A383" s="1" t="n">
        <v>382</v>
      </c>
      <c r="B383" s="2" t="inlineStr">
        <is>
          <t>Czechia</t>
        </is>
      </c>
      <c r="C383" s="2" t="inlineStr">
        <is>
          <t>Robin Hranác</t>
        </is>
      </c>
      <c r="D383" s="2" t="inlineStr">
        <is>
          <t>Defesa</t>
        </is>
      </c>
      <c r="E383" s="2" t="inlineStr">
        <is>
          <t>TSG Hoffenheim</t>
        </is>
      </c>
      <c r="F383">
        <f>VLOOKUP(E383,Clubes!B$2:D$438,2)</f>
        <v/>
      </c>
      <c r="G383">
        <f>VLOOKUP(E383,Clubes!B$2:D$438,3)</f>
        <v/>
      </c>
      <c r="H383" s="2" t="n">
        <v>30</v>
      </c>
      <c r="J383">
        <f>I383/H383</f>
        <v/>
      </c>
      <c r="K383">
        <f>H383*90</f>
        <v/>
      </c>
      <c r="M383">
        <f>L383/K383</f>
        <v/>
      </c>
    </row>
    <row r="384">
      <c r="A384" s="1" t="n">
        <v>383</v>
      </c>
      <c r="B384" s="2" t="inlineStr">
        <is>
          <t>Czechia</t>
        </is>
      </c>
      <c r="C384" s="2" t="inlineStr">
        <is>
          <t>Stepán Chaloupek</t>
        </is>
      </c>
      <c r="D384" s="2" t="inlineStr">
        <is>
          <t>Defesa</t>
        </is>
      </c>
      <c r="E384" s="2" t="inlineStr">
        <is>
          <t>Slavia Praha</t>
        </is>
      </c>
      <c r="F384">
        <f>VLOOKUP(E384,Clubes!B$2:D$438,2)</f>
        <v/>
      </c>
      <c r="G384">
        <f>VLOOKUP(E384,Clubes!B$2:D$438,3)</f>
        <v/>
      </c>
      <c r="H384" s="2" t="n">
        <v>35</v>
      </c>
      <c r="J384">
        <f>I384/H384</f>
        <v/>
      </c>
      <c r="K384">
        <f>H384*90</f>
        <v/>
      </c>
      <c r="M384">
        <f>L384/K384</f>
        <v/>
      </c>
    </row>
    <row r="385">
      <c r="A385" s="1" t="n">
        <v>384</v>
      </c>
      <c r="B385" s="2" t="inlineStr">
        <is>
          <t>Czechia</t>
        </is>
      </c>
      <c r="C385" s="2" t="inlineStr">
        <is>
          <t>Ladislav Krejci</t>
        </is>
      </c>
      <c r="D385" s="2" t="inlineStr">
        <is>
          <t>Defesa</t>
        </is>
      </c>
      <c r="E385" s="2" t="inlineStr">
        <is>
          <t>Wolverhampton</t>
        </is>
      </c>
      <c r="F385">
        <f>VLOOKUP(E385,Clubes!B$2:D$438,2)</f>
        <v/>
      </c>
      <c r="G385">
        <f>VLOOKUP(E385,Clubes!B$2:D$438,3)</f>
        <v/>
      </c>
      <c r="H385" s="2" t="n">
        <v>38</v>
      </c>
      <c r="J385">
        <f>I385/H385</f>
        <v/>
      </c>
      <c r="K385">
        <f>H385*90</f>
        <v/>
      </c>
      <c r="M385">
        <f>L385/K385</f>
        <v/>
      </c>
    </row>
    <row r="386">
      <c r="A386" s="1" t="n">
        <v>385</v>
      </c>
      <c r="B386" s="2" t="inlineStr">
        <is>
          <t>Czechia</t>
        </is>
      </c>
      <c r="C386" s="2" t="inlineStr">
        <is>
          <t>Jaroslav Zeleny</t>
        </is>
      </c>
      <c r="D386" s="2" t="inlineStr">
        <is>
          <t>Defesa</t>
        </is>
      </c>
      <c r="E386" s="2" t="inlineStr">
        <is>
          <t>Sparta Praha</t>
        </is>
      </c>
      <c r="F386">
        <f>VLOOKUP(E386,Clubes!B$2:D$438,2)</f>
        <v/>
      </c>
      <c r="G386">
        <f>VLOOKUP(E386,Clubes!B$2:D$438,3)</f>
        <v/>
      </c>
      <c r="H386" s="2" t="n">
        <v>35</v>
      </c>
      <c r="J386">
        <f>I386/H386</f>
        <v/>
      </c>
      <c r="K386">
        <f>H386*90</f>
        <v/>
      </c>
      <c r="M386">
        <f>L386/K386</f>
        <v/>
      </c>
    </row>
    <row r="387">
      <c r="A387" s="1" t="n">
        <v>386</v>
      </c>
      <c r="B387" s="2" t="inlineStr">
        <is>
          <t>Czechia</t>
        </is>
      </c>
      <c r="C387" s="2" t="inlineStr">
        <is>
          <t>David Jurásek</t>
        </is>
      </c>
      <c r="D387" s="2" t="inlineStr">
        <is>
          <t>Defesa</t>
        </is>
      </c>
      <c r="E387" s="2" t="inlineStr">
        <is>
          <t>Slavia Praha</t>
        </is>
      </c>
      <c r="F387">
        <f>VLOOKUP(E387,Clubes!B$2:D$438,2)</f>
        <v/>
      </c>
      <c r="G387">
        <f>VLOOKUP(E387,Clubes!B$2:D$438,3)</f>
        <v/>
      </c>
      <c r="H387" s="2" t="n">
        <v>35</v>
      </c>
      <c r="J387">
        <f>I387/H387</f>
        <v/>
      </c>
      <c r="K387">
        <f>H387*90</f>
        <v/>
      </c>
      <c r="M387">
        <f>L387/K387</f>
        <v/>
      </c>
    </row>
    <row r="388">
      <c r="A388" s="1" t="n">
        <v>387</v>
      </c>
      <c r="B388" s="2" t="inlineStr">
        <is>
          <t>Czechia</t>
        </is>
      </c>
      <c r="C388" s="2" t="inlineStr">
        <is>
          <t>Lukás Cerv</t>
        </is>
      </c>
      <c r="D388" s="2" t="inlineStr">
        <is>
          <t>Médio</t>
        </is>
      </c>
      <c r="E388" s="2" t="inlineStr">
        <is>
          <t>Viktoria Plzeň</t>
        </is>
      </c>
      <c r="F388">
        <f>VLOOKUP(E388,Clubes!B$2:D$438,2)</f>
        <v/>
      </c>
      <c r="G388">
        <f>VLOOKUP(E388,Clubes!B$2:D$438,3)</f>
        <v/>
      </c>
      <c r="H388" s="2" t="n">
        <v>35</v>
      </c>
      <c r="J388">
        <f>I388/H388</f>
        <v/>
      </c>
      <c r="K388">
        <f>H388*90</f>
        <v/>
      </c>
      <c r="M388">
        <f>L388/K388</f>
        <v/>
      </c>
    </row>
    <row r="389">
      <c r="A389" s="1" t="n">
        <v>388</v>
      </c>
      <c r="B389" s="2" t="inlineStr">
        <is>
          <t>Czechia</t>
        </is>
      </c>
      <c r="C389" s="2" t="inlineStr">
        <is>
          <t>Tomás Soucek</t>
        </is>
      </c>
      <c r="D389" s="2" t="inlineStr">
        <is>
          <t>Médio</t>
        </is>
      </c>
      <c r="E389" s="2" t="inlineStr">
        <is>
          <t>West Ham</t>
        </is>
      </c>
      <c r="F389">
        <f>VLOOKUP(E389,Clubes!B$2:D$438,2)</f>
        <v/>
      </c>
      <c r="G389">
        <f>VLOOKUP(E389,Clubes!B$2:D$438,3)</f>
        <v/>
      </c>
      <c r="H389" s="2" t="n">
        <v>38</v>
      </c>
      <c r="J389">
        <f>I389/H389</f>
        <v/>
      </c>
      <c r="K389">
        <f>H389*90</f>
        <v/>
      </c>
      <c r="M389">
        <f>L389/K389</f>
        <v/>
      </c>
    </row>
    <row r="390">
      <c r="A390" s="1" t="n">
        <v>389</v>
      </c>
      <c r="B390" s="2" t="inlineStr">
        <is>
          <t>Czechia</t>
        </is>
      </c>
      <c r="C390" s="2" t="inlineStr">
        <is>
          <t>Vladimir Darida</t>
        </is>
      </c>
      <c r="D390" s="2" t="inlineStr">
        <is>
          <t>Médio</t>
        </is>
      </c>
      <c r="E390" s="2" t="inlineStr">
        <is>
          <t>FC Hradec Králové</t>
        </is>
      </c>
      <c r="F390">
        <f>VLOOKUP(E390,Clubes!B$2:D$438,2)</f>
        <v/>
      </c>
      <c r="G390">
        <f>VLOOKUP(E390,Clubes!B$2:D$438,3)</f>
        <v/>
      </c>
      <c r="H390" s="2" t="n">
        <v>35</v>
      </c>
      <c r="J390">
        <f>I390/H390</f>
        <v/>
      </c>
      <c r="K390">
        <f>H390*90</f>
        <v/>
      </c>
      <c r="M390">
        <f>L390/K390</f>
        <v/>
      </c>
    </row>
    <row r="391">
      <c r="A391" s="1" t="n">
        <v>390</v>
      </c>
      <c r="B391" s="2" t="inlineStr">
        <is>
          <t>Czechia</t>
        </is>
      </c>
      <c r="C391" s="2" t="inlineStr">
        <is>
          <t>Michal Sadílek</t>
        </is>
      </c>
      <c r="D391" s="2" t="inlineStr">
        <is>
          <t>Médio</t>
        </is>
      </c>
      <c r="E391" s="2" t="inlineStr">
        <is>
          <t>Slavia Praha</t>
        </is>
      </c>
      <c r="F391">
        <f>VLOOKUP(E391,Clubes!B$2:D$438,2)</f>
        <v/>
      </c>
      <c r="G391">
        <f>VLOOKUP(E391,Clubes!B$2:D$438,3)</f>
        <v/>
      </c>
      <c r="H391" s="2" t="n">
        <v>35</v>
      </c>
      <c r="J391">
        <f>I391/H391</f>
        <v/>
      </c>
      <c r="K391">
        <f>H391*90</f>
        <v/>
      </c>
      <c r="M391">
        <f>L391/K391</f>
        <v/>
      </c>
    </row>
    <row r="392">
      <c r="A392" s="1" t="n">
        <v>391</v>
      </c>
      <c r="B392" s="2" t="inlineStr">
        <is>
          <t>Czechia</t>
        </is>
      </c>
      <c r="C392" s="2" t="inlineStr">
        <is>
          <t>Alexandr Sojka</t>
        </is>
      </c>
      <c r="D392" s="2" t="inlineStr">
        <is>
          <t>Médio</t>
        </is>
      </c>
      <c r="E392" s="2" t="inlineStr">
        <is>
          <t>Viktoria Plzeň</t>
        </is>
      </c>
      <c r="F392">
        <f>VLOOKUP(E392,Clubes!B$2:D$438,2)</f>
        <v/>
      </c>
      <c r="G392">
        <f>VLOOKUP(E392,Clubes!B$2:D$438,3)</f>
        <v/>
      </c>
      <c r="H392" s="2" t="n">
        <v>35</v>
      </c>
      <c r="J392">
        <f>I392/H392</f>
        <v/>
      </c>
      <c r="K392">
        <f>H392*90</f>
        <v/>
      </c>
      <c r="M392">
        <f>L392/K392</f>
        <v/>
      </c>
    </row>
    <row r="393">
      <c r="A393" s="1" t="n">
        <v>392</v>
      </c>
      <c r="B393" s="2" t="inlineStr">
        <is>
          <t>Czechia</t>
        </is>
      </c>
      <c r="C393" s="2" t="inlineStr">
        <is>
          <t>Hugo Sochurek</t>
        </is>
      </c>
      <c r="D393" s="2" t="inlineStr">
        <is>
          <t>Médio</t>
        </is>
      </c>
      <c r="E393" s="2" t="inlineStr">
        <is>
          <t>Sparta Praha</t>
        </is>
      </c>
      <c r="F393">
        <f>VLOOKUP(E393,Clubes!B$2:D$438,2)</f>
        <v/>
      </c>
      <c r="G393">
        <f>VLOOKUP(E393,Clubes!B$2:D$438,3)</f>
        <v/>
      </c>
      <c r="H393" s="2" t="n">
        <v>35</v>
      </c>
      <c r="J393">
        <f>I393/H393</f>
        <v/>
      </c>
      <c r="K393">
        <f>H393*90</f>
        <v/>
      </c>
      <c r="M393">
        <f>L393/K393</f>
        <v/>
      </c>
    </row>
    <row r="394">
      <c r="A394" s="1" t="n">
        <v>393</v>
      </c>
      <c r="B394" s="2" t="inlineStr">
        <is>
          <t>Czechia</t>
        </is>
      </c>
      <c r="C394" s="2" t="inlineStr">
        <is>
          <t>Pavel Sulc</t>
        </is>
      </c>
      <c r="D394" s="2" t="inlineStr">
        <is>
          <t>Médio</t>
        </is>
      </c>
      <c r="E394" s="2" t="inlineStr">
        <is>
          <t>Lyon</t>
        </is>
      </c>
      <c r="F394">
        <f>VLOOKUP(E394,Clubes!B$2:D$438,2)</f>
        <v/>
      </c>
      <c r="G394">
        <f>VLOOKUP(E394,Clubes!B$2:D$438,3)</f>
        <v/>
      </c>
      <c r="H394" s="2" t="n">
        <v>34</v>
      </c>
      <c r="J394">
        <f>I394/H394</f>
        <v/>
      </c>
      <c r="K394">
        <f>H394*90</f>
        <v/>
      </c>
      <c r="M394">
        <f>L394/K394</f>
        <v/>
      </c>
    </row>
    <row r="395">
      <c r="A395" s="1" t="n">
        <v>394</v>
      </c>
      <c r="B395" s="2" t="inlineStr">
        <is>
          <t>Czechia</t>
        </is>
      </c>
      <c r="C395" s="2" t="inlineStr">
        <is>
          <t>Denis Visinský</t>
        </is>
      </c>
      <c r="D395" s="2" t="inlineStr">
        <is>
          <t>Médio</t>
        </is>
      </c>
      <c r="E395" s="2" t="inlineStr">
        <is>
          <t>Viktoria Plzeň</t>
        </is>
      </c>
      <c r="F395">
        <f>VLOOKUP(E395,Clubes!B$2:D$438,2)</f>
        <v/>
      </c>
      <c r="G395">
        <f>VLOOKUP(E395,Clubes!B$2:D$438,3)</f>
        <v/>
      </c>
      <c r="H395" s="2" t="n">
        <v>35</v>
      </c>
      <c r="J395">
        <f>I395/H395</f>
        <v/>
      </c>
      <c r="K395">
        <f>H395*90</f>
        <v/>
      </c>
      <c r="M395">
        <f>L395/K395</f>
        <v/>
      </c>
    </row>
    <row r="396">
      <c r="A396" s="1" t="n">
        <v>395</v>
      </c>
      <c r="B396" s="2" t="inlineStr">
        <is>
          <t>Czechia</t>
        </is>
      </c>
      <c r="C396" s="2" t="inlineStr">
        <is>
          <t>Adam Hlozek</t>
        </is>
      </c>
      <c r="D396" s="2" t="inlineStr">
        <is>
          <t>Avançado</t>
        </is>
      </c>
      <c r="E396" s="2" t="inlineStr">
        <is>
          <t>TSG Hoffenheim</t>
        </is>
      </c>
      <c r="F396">
        <f>VLOOKUP(E396,Clubes!B$2:D$438,2)</f>
        <v/>
      </c>
      <c r="G396">
        <f>VLOOKUP(E396,Clubes!B$2:D$438,3)</f>
        <v/>
      </c>
      <c r="H396" s="2" t="n">
        <v>30</v>
      </c>
      <c r="J396">
        <f>I396/H396</f>
        <v/>
      </c>
      <c r="K396">
        <f>H396*90</f>
        <v/>
      </c>
      <c r="M396">
        <f>L396/K396</f>
        <v/>
      </c>
    </row>
    <row r="397">
      <c r="A397" s="1" t="n">
        <v>396</v>
      </c>
      <c r="B397" s="2" t="inlineStr">
        <is>
          <t>Czechia</t>
        </is>
      </c>
      <c r="C397" s="2" t="inlineStr">
        <is>
          <t>Patrik Schick</t>
        </is>
      </c>
      <c r="D397" s="2" t="inlineStr">
        <is>
          <t>Avançado</t>
        </is>
      </c>
      <c r="E397" s="2" t="inlineStr">
        <is>
          <t>Bayer Leverkusen</t>
        </is>
      </c>
      <c r="F397">
        <f>VLOOKUP(E397,Clubes!B$2:D$438,2)</f>
        <v/>
      </c>
      <c r="G397">
        <f>VLOOKUP(E397,Clubes!B$2:D$438,3)</f>
        <v/>
      </c>
      <c r="H397" s="2" t="n">
        <v>34</v>
      </c>
      <c r="J397">
        <f>I397/H397</f>
        <v/>
      </c>
      <c r="K397">
        <f>H397*90</f>
        <v/>
      </c>
      <c r="M397">
        <f>L397/K397</f>
        <v/>
      </c>
    </row>
    <row r="398">
      <c r="A398" s="1" t="n">
        <v>397</v>
      </c>
      <c r="B398" s="2" t="inlineStr">
        <is>
          <t>Czechia</t>
        </is>
      </c>
      <c r="C398" s="2" t="inlineStr">
        <is>
          <t>Jan Kuchta</t>
        </is>
      </c>
      <c r="D398" s="2" t="inlineStr">
        <is>
          <t>Avançado</t>
        </is>
      </c>
      <c r="E398" s="2" t="inlineStr">
        <is>
          <t>Sparta Praha</t>
        </is>
      </c>
      <c r="F398">
        <f>VLOOKUP(E398,Clubes!B$2:D$438,2)</f>
        <v/>
      </c>
      <c r="G398">
        <f>VLOOKUP(E398,Clubes!B$2:D$438,3)</f>
        <v/>
      </c>
      <c r="H398" s="2" t="n">
        <v>35</v>
      </c>
      <c r="J398">
        <f>I398/H398</f>
        <v/>
      </c>
      <c r="K398">
        <f>H398*90</f>
        <v/>
      </c>
      <c r="M398">
        <f>L398/K398</f>
        <v/>
      </c>
    </row>
    <row r="399">
      <c r="A399" s="1" t="n">
        <v>398</v>
      </c>
      <c r="B399" s="2" t="inlineStr">
        <is>
          <t>Czechia</t>
        </is>
      </c>
      <c r="C399" s="2" t="inlineStr">
        <is>
          <t>Mojmir Chytil</t>
        </is>
      </c>
      <c r="D399" s="2" t="inlineStr">
        <is>
          <t>Avançado</t>
        </is>
      </c>
      <c r="E399" s="2" t="inlineStr">
        <is>
          <t>Slavia Praha</t>
        </is>
      </c>
      <c r="F399">
        <f>VLOOKUP(E399,Clubes!B$2:D$438,2)</f>
        <v/>
      </c>
      <c r="G399">
        <f>VLOOKUP(E399,Clubes!B$2:D$438,3)</f>
        <v/>
      </c>
      <c r="H399" s="2" t="n">
        <v>35</v>
      </c>
      <c r="J399">
        <f>I399/H399</f>
        <v/>
      </c>
      <c r="K399">
        <f>H399*90</f>
        <v/>
      </c>
      <c r="M399">
        <f>L399/K399</f>
        <v/>
      </c>
    </row>
    <row r="400">
      <c r="A400" s="1" t="n">
        <v>399</v>
      </c>
      <c r="B400" s="2" t="inlineStr">
        <is>
          <t>Czechia</t>
        </is>
      </c>
      <c r="C400" s="2" t="inlineStr">
        <is>
          <t>Tomás Chory</t>
        </is>
      </c>
      <c r="D400" s="2" t="inlineStr">
        <is>
          <t>Avançado</t>
        </is>
      </c>
      <c r="E400" s="2" t="inlineStr">
        <is>
          <t>Slavia Praha</t>
        </is>
      </c>
      <c r="F400">
        <f>VLOOKUP(E400,Clubes!B$2:D$438,2)</f>
        <v/>
      </c>
      <c r="G400">
        <f>VLOOKUP(E400,Clubes!B$2:D$438,3)</f>
        <v/>
      </c>
      <c r="H400" s="2" t="n">
        <v>35</v>
      </c>
      <c r="J400">
        <f>I400/H400</f>
        <v/>
      </c>
      <c r="K400">
        <f>H400*90</f>
        <v/>
      </c>
      <c r="M400">
        <f>L400/K400</f>
        <v/>
      </c>
    </row>
    <row r="401">
      <c r="A401" s="1" t="n">
        <v>400</v>
      </c>
      <c r="B401" s="2" t="inlineStr">
        <is>
          <t>Czechia</t>
        </is>
      </c>
      <c r="C401" s="2" t="inlineStr">
        <is>
          <t>Lukas Provod</t>
        </is>
      </c>
      <c r="D401" s="2" t="inlineStr">
        <is>
          <t>Avançado</t>
        </is>
      </c>
      <c r="E401" s="2" t="inlineStr">
        <is>
          <t>Slavia Praha</t>
        </is>
      </c>
      <c r="F401">
        <f>VLOOKUP(E401,Clubes!B$2:D$438,2)</f>
        <v/>
      </c>
      <c r="G401">
        <f>VLOOKUP(E401,Clubes!B$2:D$438,3)</f>
        <v/>
      </c>
      <c r="H401" s="2" t="n">
        <v>35</v>
      </c>
      <c r="J401">
        <f>I401/H401</f>
        <v/>
      </c>
      <c r="K401">
        <f>H401*90</f>
        <v/>
      </c>
      <c r="M401">
        <f>L401/K401</f>
        <v/>
      </c>
    </row>
    <row r="402">
      <c r="A402" s="1" t="n">
        <v>401</v>
      </c>
      <c r="B402" s="2" t="inlineStr">
        <is>
          <t>Colombia</t>
        </is>
      </c>
      <c r="C402" s="2" t="inlineStr">
        <is>
          <t>David Ospina</t>
        </is>
      </c>
      <c r="D402" s="2" t="inlineStr">
        <is>
          <t>Guarda Redes</t>
        </is>
      </c>
      <c r="E402" s="2" t="inlineStr">
        <is>
          <t>Atlético Nacional</t>
        </is>
      </c>
      <c r="F402">
        <f>VLOOKUP(E402,Clubes!B$2:D$438,2)</f>
        <v/>
      </c>
      <c r="G402">
        <f>VLOOKUP(E402,Clubes!B$2:D$438,3)</f>
        <v/>
      </c>
      <c r="H402" s="2" t="n">
        <v>40</v>
      </c>
      <c r="J402">
        <f>I402/H402</f>
        <v/>
      </c>
      <c r="K402">
        <f>H402*90</f>
        <v/>
      </c>
      <c r="M402">
        <f>L402/K402</f>
        <v/>
      </c>
    </row>
    <row r="403">
      <c r="A403" s="1" t="n">
        <v>402</v>
      </c>
      <c r="B403" s="2" t="inlineStr">
        <is>
          <t>Colombia</t>
        </is>
      </c>
      <c r="C403" s="2" t="inlineStr">
        <is>
          <t>Camilo Vargas</t>
        </is>
      </c>
      <c r="D403" s="2" t="inlineStr">
        <is>
          <t>Guarda Redes</t>
        </is>
      </c>
      <c r="E403" s="2" t="inlineStr">
        <is>
          <t>Atlas</t>
        </is>
      </c>
      <c r="F403">
        <f>VLOOKUP(E403,Clubes!B$2:D$438,2)</f>
        <v/>
      </c>
      <c r="G403">
        <f>VLOOKUP(E403,Clubes!B$2:D$438,3)</f>
        <v/>
      </c>
      <c r="H403" s="2" t="n">
        <v>34</v>
      </c>
      <c r="J403">
        <f>I403/H403</f>
        <v/>
      </c>
      <c r="K403">
        <f>H403*90</f>
        <v/>
      </c>
      <c r="M403">
        <f>L403/K403</f>
        <v/>
      </c>
    </row>
    <row r="404">
      <c r="A404" s="1" t="n">
        <v>403</v>
      </c>
      <c r="B404" s="2" t="inlineStr">
        <is>
          <t>Colombia</t>
        </is>
      </c>
      <c r="C404" s="2" t="inlineStr">
        <is>
          <t>Alvaro Montero</t>
        </is>
      </c>
      <c r="D404" s="2" t="inlineStr">
        <is>
          <t>Guarda Redes</t>
        </is>
      </c>
      <c r="E404" s="2" t="inlineStr">
        <is>
          <t>Vélez Sarsfield</t>
        </is>
      </c>
      <c r="F404">
        <f>VLOOKUP(E404,Clubes!B$2:D$438,2)</f>
        <v/>
      </c>
      <c r="G404">
        <f>VLOOKUP(E404,Clubes!B$2:D$438,3)</f>
        <v/>
      </c>
      <c r="H404" s="2" t="n">
        <v>38</v>
      </c>
      <c r="J404">
        <f>I404/H404</f>
        <v/>
      </c>
      <c r="K404">
        <f>H404*90</f>
        <v/>
      </c>
      <c r="M404">
        <f>L404/K404</f>
        <v/>
      </c>
    </row>
    <row r="405">
      <c r="A405" s="1" t="n">
        <v>404</v>
      </c>
      <c r="B405" s="2" t="inlineStr">
        <is>
          <t>Colombia</t>
        </is>
      </c>
      <c r="C405" s="2" t="inlineStr">
        <is>
          <t>Daniel Muñoz</t>
        </is>
      </c>
      <c r="D405" s="2" t="inlineStr">
        <is>
          <t>Defesa</t>
        </is>
      </c>
      <c r="E405" s="2" t="inlineStr">
        <is>
          <t>Crystal Palace</t>
        </is>
      </c>
      <c r="F405">
        <f>VLOOKUP(E405,Clubes!B$2:D$438,2)</f>
        <v/>
      </c>
      <c r="G405">
        <f>VLOOKUP(E405,Clubes!B$2:D$438,3)</f>
        <v/>
      </c>
      <c r="H405" s="2" t="n">
        <v>38</v>
      </c>
      <c r="J405">
        <f>I405/H405</f>
        <v/>
      </c>
      <c r="K405">
        <f>H405*90</f>
        <v/>
      </c>
      <c r="M405">
        <f>L405/K405</f>
        <v/>
      </c>
    </row>
    <row r="406">
      <c r="A406" s="1" t="n">
        <v>405</v>
      </c>
      <c r="B406" s="2" t="inlineStr">
        <is>
          <t>Colombia</t>
        </is>
      </c>
      <c r="C406" s="2" t="inlineStr">
        <is>
          <t>Jhon Lucumí</t>
        </is>
      </c>
      <c r="D406" s="2" t="inlineStr">
        <is>
          <t>Defesa</t>
        </is>
      </c>
      <c r="E406" s="2" t="inlineStr">
        <is>
          <t>Bologna</t>
        </is>
      </c>
      <c r="F406">
        <f>VLOOKUP(E406,Clubes!B$2:D$438,2)</f>
        <v/>
      </c>
      <c r="G406">
        <f>VLOOKUP(E406,Clubes!B$2:D$438,3)</f>
        <v/>
      </c>
      <c r="H406" s="2" t="n">
        <v>38</v>
      </c>
      <c r="J406">
        <f>I406/H406</f>
        <v/>
      </c>
      <c r="K406">
        <f>H406*90</f>
        <v/>
      </c>
      <c r="M406">
        <f>L406/K406</f>
        <v/>
      </c>
    </row>
    <row r="407">
      <c r="A407" s="1" t="n">
        <v>406</v>
      </c>
      <c r="B407" s="2" t="inlineStr">
        <is>
          <t>Colombia</t>
        </is>
      </c>
      <c r="C407" s="2" t="inlineStr">
        <is>
          <t>Santiago Arias</t>
        </is>
      </c>
      <c r="D407" s="2" t="inlineStr">
        <is>
          <t>Defesa</t>
        </is>
      </c>
      <c r="E407" s="2" t="inlineStr">
        <is>
          <t>Independiente</t>
        </is>
      </c>
      <c r="F407">
        <f>VLOOKUP(E407,Clubes!B$2:D$438,2)</f>
        <v/>
      </c>
      <c r="G407">
        <f>VLOOKUP(E407,Clubes!B$2:D$438,3)</f>
        <v/>
      </c>
      <c r="H407" s="2" t="n">
        <v>32</v>
      </c>
      <c r="J407">
        <f>I407/H407</f>
        <v/>
      </c>
      <c r="K407">
        <f>H407*90</f>
        <v/>
      </c>
      <c r="M407">
        <f>L407/K407</f>
        <v/>
      </c>
    </row>
    <row r="408">
      <c r="A408" s="1" t="n">
        <v>407</v>
      </c>
      <c r="B408" s="2" t="inlineStr">
        <is>
          <t>Colombia</t>
        </is>
      </c>
      <c r="C408" s="2" t="inlineStr">
        <is>
          <t>Yerry Mina</t>
        </is>
      </c>
      <c r="D408" s="2" t="inlineStr">
        <is>
          <t>Defesa</t>
        </is>
      </c>
      <c r="E408" s="2" t="inlineStr">
        <is>
          <t>Cagliari</t>
        </is>
      </c>
      <c r="F408">
        <f>VLOOKUP(E408,Clubes!B$2:D$438,2)</f>
        <v/>
      </c>
      <c r="G408">
        <f>VLOOKUP(E408,Clubes!B$2:D$438,3)</f>
        <v/>
      </c>
      <c r="H408" s="2" t="n">
        <v>38</v>
      </c>
      <c r="J408">
        <f>I408/H408</f>
        <v/>
      </c>
      <c r="K408">
        <f>H408*90</f>
        <v/>
      </c>
      <c r="M408">
        <f>L408/K408</f>
        <v/>
      </c>
    </row>
    <row r="409">
      <c r="A409" s="1" t="n">
        <v>408</v>
      </c>
      <c r="B409" s="2" t="inlineStr">
        <is>
          <t>Colombia</t>
        </is>
      </c>
      <c r="C409" s="2" t="inlineStr">
        <is>
          <t>Johan Mojica</t>
        </is>
      </c>
      <c r="D409" s="2" t="inlineStr">
        <is>
          <t>Defesa</t>
        </is>
      </c>
      <c r="E409" s="2" t="inlineStr">
        <is>
          <t>Mallorca</t>
        </is>
      </c>
      <c r="F409">
        <f>VLOOKUP(E409,Clubes!B$2:D$438,2)</f>
        <v/>
      </c>
      <c r="G409">
        <f>VLOOKUP(E409,Clubes!B$2:D$438,3)</f>
        <v/>
      </c>
      <c r="H409" s="2" t="n">
        <v>38</v>
      </c>
      <c r="J409">
        <f>I409/H409</f>
        <v/>
      </c>
      <c r="K409">
        <f>H409*90</f>
        <v/>
      </c>
      <c r="M409">
        <f>L409/K409</f>
        <v/>
      </c>
    </row>
    <row r="410">
      <c r="A410" s="1" t="n">
        <v>409</v>
      </c>
      <c r="B410" s="2" t="inlineStr">
        <is>
          <t>Colombia</t>
        </is>
      </c>
      <c r="C410" s="2" t="inlineStr">
        <is>
          <t>Willer Ditta</t>
        </is>
      </c>
      <c r="D410" s="2" t="inlineStr">
        <is>
          <t>Defesa</t>
        </is>
      </c>
      <c r="E410" s="2" t="inlineStr">
        <is>
          <t>Cruz Azul</t>
        </is>
      </c>
      <c r="F410">
        <f>VLOOKUP(E410,Clubes!B$2:D$438,2)</f>
        <v/>
      </c>
      <c r="G410">
        <f>VLOOKUP(E410,Clubes!B$2:D$438,3)</f>
        <v/>
      </c>
      <c r="H410" s="2" t="n">
        <v>34</v>
      </c>
      <c r="J410">
        <f>I410/H410</f>
        <v/>
      </c>
      <c r="K410">
        <f>H410*90</f>
        <v/>
      </c>
      <c r="M410">
        <f>L410/K410</f>
        <v/>
      </c>
    </row>
    <row r="411">
      <c r="A411" s="1" t="n">
        <v>410</v>
      </c>
      <c r="B411" s="2" t="inlineStr">
        <is>
          <t>Colombia</t>
        </is>
      </c>
      <c r="C411" s="2" t="inlineStr">
        <is>
          <t>Deiver Machado</t>
        </is>
      </c>
      <c r="D411" s="2" t="inlineStr">
        <is>
          <t>Defesa</t>
        </is>
      </c>
      <c r="E411" s="2" t="inlineStr">
        <is>
          <t>Nantes</t>
        </is>
      </c>
      <c r="F411">
        <f>VLOOKUP(E411,Clubes!B$2:D$438,2)</f>
        <v/>
      </c>
      <c r="G411">
        <f>VLOOKUP(E411,Clubes!B$2:D$438,3)</f>
        <v/>
      </c>
      <c r="H411" s="2" t="n">
        <v>34</v>
      </c>
      <c r="J411">
        <f>I411/H411</f>
        <v/>
      </c>
      <c r="K411">
        <f>H411*90</f>
        <v/>
      </c>
      <c r="M411">
        <f>L411/K411</f>
        <v/>
      </c>
    </row>
    <row r="412">
      <c r="A412" s="1" t="n">
        <v>411</v>
      </c>
      <c r="B412" s="2" t="inlineStr">
        <is>
          <t>Colombia</t>
        </is>
      </c>
      <c r="C412" s="2" t="inlineStr">
        <is>
          <t>Davinson Sánchez</t>
        </is>
      </c>
      <c r="D412" s="2" t="inlineStr">
        <is>
          <t>Defesa</t>
        </is>
      </c>
      <c r="E412" s="2" t="inlineStr">
        <is>
          <t>Galatasaray</t>
        </is>
      </c>
      <c r="F412">
        <f>VLOOKUP(E412,Clubes!B$2:D$438,2)</f>
        <v/>
      </c>
      <c r="G412">
        <f>VLOOKUP(E412,Clubes!B$2:D$438,3)</f>
        <v/>
      </c>
      <c r="H412" s="2" t="n">
        <v>38</v>
      </c>
      <c r="J412">
        <f>I412/H412</f>
        <v/>
      </c>
      <c r="K412">
        <f>H412*90</f>
        <v/>
      </c>
      <c r="M412">
        <f>L412/K412</f>
        <v/>
      </c>
    </row>
    <row r="413">
      <c r="A413" s="1" t="n">
        <v>412</v>
      </c>
      <c r="B413" s="2" t="inlineStr">
        <is>
          <t>Colombia</t>
        </is>
      </c>
      <c r="C413" s="2" t="inlineStr">
        <is>
          <t>Kevin Castaño</t>
        </is>
      </c>
      <c r="D413" s="2" t="inlineStr">
        <is>
          <t>Médio</t>
        </is>
      </c>
      <c r="E413" s="2" t="inlineStr">
        <is>
          <t>River Plate</t>
        </is>
      </c>
      <c r="F413">
        <f>VLOOKUP(E413,Clubes!B$2:D$438,2)</f>
        <v/>
      </c>
      <c r="G413">
        <f>VLOOKUP(E413,Clubes!B$2:D$438,3)</f>
        <v/>
      </c>
      <c r="H413" s="2" t="n">
        <v>32</v>
      </c>
      <c r="J413">
        <f>I413/H413</f>
        <v/>
      </c>
      <c r="K413">
        <f>H413*90</f>
        <v/>
      </c>
      <c r="M413">
        <f>L413/K413</f>
        <v/>
      </c>
    </row>
    <row r="414">
      <c r="A414" s="1" t="n">
        <v>413</v>
      </c>
      <c r="B414" s="2" t="inlineStr">
        <is>
          <t>Colombia</t>
        </is>
      </c>
      <c r="C414" s="2" t="inlineStr">
        <is>
          <t>Richard Ríos</t>
        </is>
      </c>
      <c r="D414" s="2" t="inlineStr">
        <is>
          <t>Médio</t>
        </is>
      </c>
      <c r="E414" s="2" t="inlineStr">
        <is>
          <t>Benfica</t>
        </is>
      </c>
      <c r="F414">
        <f>VLOOKUP(E414,Clubes!B$2:D$438,2)</f>
        <v/>
      </c>
      <c r="G414">
        <f>VLOOKUP(E414,Clubes!B$2:D$438,3)</f>
        <v/>
      </c>
      <c r="H414" s="2" t="n">
        <v>34</v>
      </c>
      <c r="J414">
        <f>I414/H414</f>
        <v/>
      </c>
      <c r="K414">
        <f>H414*90</f>
        <v/>
      </c>
      <c r="M414">
        <f>L414/K414</f>
        <v/>
      </c>
    </row>
    <row r="415">
      <c r="A415" s="1" t="n">
        <v>414</v>
      </c>
      <c r="B415" s="2" t="inlineStr">
        <is>
          <t>Colombia</t>
        </is>
      </c>
      <c r="C415" s="2" t="inlineStr">
        <is>
          <t>James Rodríguez</t>
        </is>
      </c>
      <c r="D415" s="2" t="inlineStr">
        <is>
          <t>Médio</t>
        </is>
      </c>
      <c r="E415" s="2" t="inlineStr">
        <is>
          <t>Minnesota United</t>
        </is>
      </c>
      <c r="F415">
        <f>VLOOKUP(E415,Clubes!B$2:D$438,2)</f>
        <v/>
      </c>
      <c r="G415">
        <f>VLOOKUP(E415,Clubes!B$2:D$438,3)</f>
        <v/>
      </c>
      <c r="H415" s="2" t="n">
        <v>34</v>
      </c>
      <c r="J415">
        <f>I415/H415</f>
        <v/>
      </c>
      <c r="K415">
        <f>H415*90</f>
        <v/>
      </c>
      <c r="M415">
        <f>L415/K415</f>
        <v/>
      </c>
    </row>
    <row r="416">
      <c r="A416" s="1" t="n">
        <v>415</v>
      </c>
      <c r="B416" s="2" t="inlineStr">
        <is>
          <t>Colombia</t>
        </is>
      </c>
      <c r="C416" s="2" t="inlineStr">
        <is>
          <t>Gustavo Puerta</t>
        </is>
      </c>
      <c r="D416" s="2" t="inlineStr">
        <is>
          <t>Médio</t>
        </is>
      </c>
      <c r="E416" s="2" t="inlineStr">
        <is>
          <t>Racing Santander</t>
        </is>
      </c>
      <c r="F416">
        <f>VLOOKUP(E416,Clubes!B$2:D$438,2)</f>
        <v/>
      </c>
      <c r="G416">
        <f>VLOOKUP(E416,Clubes!B$2:D$438,3)</f>
        <v/>
      </c>
      <c r="H416" s="2" t="n">
        <v>34</v>
      </c>
      <c r="J416">
        <f>I416/H416</f>
        <v/>
      </c>
      <c r="K416">
        <f>H416*90</f>
        <v/>
      </c>
      <c r="M416">
        <f>L416/K416</f>
        <v/>
      </c>
    </row>
    <row r="417">
      <c r="A417" s="1" t="n">
        <v>416</v>
      </c>
      <c r="B417" s="2" t="inlineStr">
        <is>
          <t>Colombia</t>
        </is>
      </c>
      <c r="C417" s="2" t="inlineStr">
        <is>
          <t>Juan Portilla</t>
        </is>
      </c>
      <c r="D417" s="2" t="inlineStr">
        <is>
          <t>Médio</t>
        </is>
      </c>
      <c r="E417" s="2" t="inlineStr">
        <is>
          <t>Athletico Paranaense</t>
        </is>
      </c>
      <c r="F417">
        <f>VLOOKUP(E417,Clubes!B$2:D$438,2)</f>
        <v/>
      </c>
      <c r="G417">
        <f>VLOOKUP(E417,Clubes!B$2:D$438,3)</f>
        <v/>
      </c>
      <c r="H417" s="2" t="n">
        <v>38</v>
      </c>
      <c r="J417">
        <f>I417/H417</f>
        <v/>
      </c>
      <c r="K417">
        <f>H417*90</f>
        <v/>
      </c>
      <c r="M417">
        <f>L417/K417</f>
        <v/>
      </c>
    </row>
    <row r="418">
      <c r="A418" s="1" t="n">
        <v>417</v>
      </c>
      <c r="B418" s="2" t="inlineStr">
        <is>
          <t>Colombia</t>
        </is>
      </c>
      <c r="C418" s="2" t="inlineStr">
        <is>
          <t>Jefferson Lerma</t>
        </is>
      </c>
      <c r="D418" s="2" t="inlineStr">
        <is>
          <t>Médio</t>
        </is>
      </c>
      <c r="E418" s="2" t="inlineStr">
        <is>
          <t>Crystal Palace</t>
        </is>
      </c>
      <c r="F418">
        <f>VLOOKUP(E418,Clubes!B$2:D$438,2)</f>
        <v/>
      </c>
      <c r="G418">
        <f>VLOOKUP(E418,Clubes!B$2:D$438,3)</f>
        <v/>
      </c>
      <c r="H418" s="2" t="n">
        <v>38</v>
      </c>
      <c r="J418">
        <f>I418/H418</f>
        <v/>
      </c>
      <c r="K418">
        <f>H418*90</f>
        <v/>
      </c>
      <c r="M418">
        <f>L418/K418</f>
        <v/>
      </c>
    </row>
    <row r="419">
      <c r="A419" s="1" t="n">
        <v>418</v>
      </c>
      <c r="B419" s="2" t="inlineStr">
        <is>
          <t>Colombia</t>
        </is>
      </c>
      <c r="C419" s="2" t="inlineStr">
        <is>
          <t>Luis Díaz</t>
        </is>
      </c>
      <c r="D419" s="2" t="inlineStr">
        <is>
          <t>Avançado</t>
        </is>
      </c>
      <c r="E419" s="2" t="inlineStr">
        <is>
          <t>Bayern München</t>
        </is>
      </c>
      <c r="F419">
        <f>VLOOKUP(E419,Clubes!B$2:D$438,2)</f>
        <v/>
      </c>
      <c r="G419">
        <f>VLOOKUP(E419,Clubes!B$2:D$438,3)</f>
        <v/>
      </c>
      <c r="H419" s="2" t="n">
        <v>34</v>
      </c>
      <c r="J419">
        <f>I419/H419</f>
        <v/>
      </c>
      <c r="K419">
        <f>H419*90</f>
        <v/>
      </c>
      <c r="M419">
        <f>L419/K419</f>
        <v/>
      </c>
    </row>
    <row r="420">
      <c r="A420" s="1" t="n">
        <v>419</v>
      </c>
      <c r="B420" s="2" t="inlineStr">
        <is>
          <t>Colombia</t>
        </is>
      </c>
      <c r="C420" s="2" t="inlineStr">
        <is>
          <t>Jorge Carrascal</t>
        </is>
      </c>
      <c r="D420" s="2" t="inlineStr">
        <is>
          <t>Avançado</t>
        </is>
      </c>
      <c r="E420" s="2" t="inlineStr">
        <is>
          <t>Flamengo</t>
        </is>
      </c>
      <c r="F420">
        <f>VLOOKUP(E420,Clubes!B$2:D$438,2)</f>
        <v/>
      </c>
      <c r="G420">
        <f>VLOOKUP(E420,Clubes!B$2:D$438,3)</f>
        <v/>
      </c>
      <c r="H420" s="2" t="n">
        <v>38</v>
      </c>
      <c r="J420">
        <f>I420/H420</f>
        <v/>
      </c>
      <c r="K420">
        <f>H420*90</f>
        <v/>
      </c>
      <c r="M420">
        <f>L420/K420</f>
        <v/>
      </c>
    </row>
    <row r="421">
      <c r="A421" s="1" t="n">
        <v>420</v>
      </c>
      <c r="B421" s="2" t="inlineStr">
        <is>
          <t>Colombia</t>
        </is>
      </c>
      <c r="C421" s="2" t="inlineStr">
        <is>
          <t>Jhon Córdoba</t>
        </is>
      </c>
      <c r="D421" s="2" t="inlineStr">
        <is>
          <t>Avançado</t>
        </is>
      </c>
      <c r="E421" s="2" t="inlineStr">
        <is>
          <t>FK Krasnodar</t>
        </is>
      </c>
      <c r="F421">
        <f>VLOOKUP(E421,Clubes!B$2:D$438,2)</f>
        <v/>
      </c>
      <c r="G421">
        <f>VLOOKUP(E421,Clubes!B$2:D$438,3)</f>
        <v/>
      </c>
      <c r="H421" s="2" t="n">
        <v>30</v>
      </c>
      <c r="J421">
        <f>I421/H421</f>
        <v/>
      </c>
      <c r="K421">
        <f>H421*90</f>
        <v/>
      </c>
      <c r="M421">
        <f>L421/K421</f>
        <v/>
      </c>
    </row>
    <row r="422">
      <c r="A422" s="1" t="n">
        <v>421</v>
      </c>
      <c r="B422" s="2" t="inlineStr">
        <is>
          <t>Colombia</t>
        </is>
      </c>
      <c r="C422" s="2" t="inlineStr">
        <is>
          <t>Jhon Arias</t>
        </is>
      </c>
      <c r="D422" s="2" t="inlineStr">
        <is>
          <t>Avançado</t>
        </is>
      </c>
      <c r="E422" s="2" t="inlineStr">
        <is>
          <t>Palmeiras</t>
        </is>
      </c>
      <c r="F422">
        <f>VLOOKUP(E422,Clubes!B$2:D$438,2)</f>
        <v/>
      </c>
      <c r="G422">
        <f>VLOOKUP(E422,Clubes!B$2:D$438,3)</f>
        <v/>
      </c>
      <c r="H422" s="2" t="n">
        <v>38</v>
      </c>
      <c r="J422">
        <f>I422/H422</f>
        <v/>
      </c>
      <c r="K422">
        <f>H422*90</f>
        <v/>
      </c>
      <c r="M422">
        <f>L422/K422</f>
        <v/>
      </c>
    </row>
    <row r="423">
      <c r="A423" s="1" t="n">
        <v>422</v>
      </c>
      <c r="B423" s="2" t="inlineStr">
        <is>
          <t>Colombia</t>
        </is>
      </c>
      <c r="C423" s="2" t="inlineStr">
        <is>
          <t>Cucho Hernández</t>
        </is>
      </c>
      <c r="D423" s="2" t="inlineStr">
        <is>
          <t>Avançado</t>
        </is>
      </c>
      <c r="E423" s="2" t="inlineStr">
        <is>
          <t>Real Betis</t>
        </is>
      </c>
      <c r="F423">
        <f>VLOOKUP(E423,Clubes!B$2:D$438,2)</f>
        <v/>
      </c>
      <c r="G423">
        <f>VLOOKUP(E423,Clubes!B$2:D$438,3)</f>
        <v/>
      </c>
      <c r="H423" s="2" t="n">
        <v>34</v>
      </c>
      <c r="J423">
        <f>I423/H423</f>
        <v/>
      </c>
      <c r="K423">
        <f>H423*90</f>
        <v/>
      </c>
      <c r="M423">
        <f>L423/K423</f>
        <v/>
      </c>
    </row>
    <row r="424">
      <c r="A424" s="1" t="n">
        <v>423</v>
      </c>
      <c r="B424" s="2" t="inlineStr">
        <is>
          <t>Colombia</t>
        </is>
      </c>
      <c r="C424" s="2" t="inlineStr">
        <is>
          <t>Juanfer Quintero</t>
        </is>
      </c>
      <c r="D424" s="2" t="inlineStr">
        <is>
          <t>Avançado</t>
        </is>
      </c>
      <c r="E424" s="2" t="inlineStr">
        <is>
          <t>River Plate</t>
        </is>
      </c>
      <c r="F424">
        <f>VLOOKUP(E424,Clubes!B$2:D$438,2)</f>
        <v/>
      </c>
      <c r="G424">
        <f>VLOOKUP(E424,Clubes!B$2:D$438,3)</f>
        <v/>
      </c>
      <c r="H424" s="2" t="n">
        <v>32</v>
      </c>
      <c r="J424">
        <f>I424/H424</f>
        <v/>
      </c>
      <c r="K424">
        <f>H424*90</f>
        <v/>
      </c>
      <c r="M424">
        <f>L424/K424</f>
        <v/>
      </c>
    </row>
    <row r="425">
      <c r="A425" s="1" t="n">
        <v>424</v>
      </c>
      <c r="B425" s="2" t="inlineStr">
        <is>
          <t>Colombia</t>
        </is>
      </c>
      <c r="C425" s="2" t="inlineStr">
        <is>
          <t>Jaminton Campaz</t>
        </is>
      </c>
      <c r="D425" s="2" t="inlineStr">
        <is>
          <t>Avançado</t>
        </is>
      </c>
      <c r="E425" s="2" t="inlineStr">
        <is>
          <t>Rosario Central</t>
        </is>
      </c>
      <c r="F425">
        <f>VLOOKUP(E425,Clubes!B$2:D$438,2)</f>
        <v/>
      </c>
      <c r="G425">
        <f>VLOOKUP(E425,Clubes!B$2:D$438,3)</f>
        <v/>
      </c>
      <c r="H425" s="2" t="n">
        <v>32</v>
      </c>
      <c r="J425">
        <f>I425/H425</f>
        <v/>
      </c>
      <c r="K425">
        <f>H425*90</f>
        <v/>
      </c>
      <c r="M425">
        <f>L425/K425</f>
        <v/>
      </c>
    </row>
    <row r="426">
      <c r="A426" s="1" t="n">
        <v>425</v>
      </c>
      <c r="B426" s="2" t="inlineStr">
        <is>
          <t>Colombia</t>
        </is>
      </c>
      <c r="C426" s="2" t="inlineStr">
        <is>
          <t>Luis Suárez</t>
        </is>
      </c>
      <c r="D426" s="2" t="inlineStr">
        <is>
          <t>Avançado</t>
        </is>
      </c>
      <c r="E426" s="2" t="inlineStr">
        <is>
          <t>Sporting</t>
        </is>
      </c>
      <c r="F426">
        <f>VLOOKUP(E426,Clubes!B$2:D$438,2)</f>
        <v/>
      </c>
      <c r="G426">
        <f>VLOOKUP(E426,Clubes!B$2:D$438,3)</f>
        <v/>
      </c>
      <c r="H426" s="2" t="n">
        <v>34</v>
      </c>
      <c r="J426">
        <f>I426/H426</f>
        <v/>
      </c>
      <c r="K426">
        <f>H426*90</f>
        <v/>
      </c>
      <c r="M426">
        <f>L426/K426</f>
        <v/>
      </c>
    </row>
    <row r="427">
      <c r="A427" s="1" t="n">
        <v>426</v>
      </c>
      <c r="B427" s="2" t="inlineStr">
        <is>
          <t>Colombia</t>
        </is>
      </c>
      <c r="C427" s="2" t="inlineStr">
        <is>
          <t>Andrés Gómez</t>
        </is>
      </c>
      <c r="D427" s="2" t="inlineStr">
        <is>
          <t>Avançado</t>
        </is>
      </c>
      <c r="E427" s="2" t="inlineStr">
        <is>
          <t>Vasco</t>
        </is>
      </c>
      <c r="F427">
        <f>VLOOKUP(E427,Clubes!B$2:D$438,2)</f>
        <v/>
      </c>
      <c r="G427">
        <f>VLOOKUP(E427,Clubes!B$2:D$438,3)</f>
        <v/>
      </c>
      <c r="H427" s="2" t="n">
        <v>38</v>
      </c>
      <c r="J427">
        <f>I427/H427</f>
        <v/>
      </c>
      <c r="K427">
        <f>H427*90</f>
        <v/>
      </c>
      <c r="M427">
        <f>L427/K427</f>
        <v/>
      </c>
    </row>
    <row r="428">
      <c r="A428" s="1" t="n">
        <v>427</v>
      </c>
      <c r="B428" s="2" t="inlineStr">
        <is>
          <t>Korea Republic</t>
        </is>
      </c>
      <c r="C428" s="2" t="inlineStr">
        <is>
          <t>Kim Seung-gyu</t>
        </is>
      </c>
      <c r="D428" s="2" t="inlineStr">
        <is>
          <t>Guarda Redes</t>
        </is>
      </c>
      <c r="E428" s="2" t="inlineStr">
        <is>
          <t>FC Tokyo</t>
        </is>
      </c>
      <c r="F428">
        <f>VLOOKUP(E428,Clubes!B$2:D$438,2)</f>
        <v/>
      </c>
      <c r="G428">
        <f>VLOOKUP(E428,Clubes!B$2:D$438,3)</f>
        <v/>
      </c>
      <c r="H428" s="2" t="n">
        <v>38</v>
      </c>
      <c r="J428">
        <f>I428/H428</f>
        <v/>
      </c>
      <c r="K428">
        <f>H428*90</f>
        <v/>
      </c>
      <c r="M428">
        <f>L428/K428</f>
        <v/>
      </c>
    </row>
    <row r="429">
      <c r="A429" s="1" t="n">
        <v>428</v>
      </c>
      <c r="B429" s="2" t="inlineStr">
        <is>
          <t>Korea Republic</t>
        </is>
      </c>
      <c r="C429" s="2" t="inlineStr">
        <is>
          <t>Song Bum-keun</t>
        </is>
      </c>
      <c r="D429" s="2" t="inlineStr">
        <is>
          <t>Guarda Redes</t>
        </is>
      </c>
      <c r="E429" s="2" t="inlineStr">
        <is>
          <t>Jeonbuk Motors</t>
        </is>
      </c>
      <c r="F429">
        <f>VLOOKUP(E429,Clubes!B$2:D$438,2)</f>
        <v/>
      </c>
      <c r="G429">
        <f>VLOOKUP(E429,Clubes!B$2:D$438,3)</f>
        <v/>
      </c>
      <c r="H429" s="2" t="n">
        <v>38</v>
      </c>
      <c r="J429">
        <f>I429/H429</f>
        <v/>
      </c>
      <c r="K429">
        <f>H429*90</f>
        <v/>
      </c>
      <c r="M429">
        <f>L429/K429</f>
        <v/>
      </c>
    </row>
    <row r="430">
      <c r="A430" s="1" t="n">
        <v>429</v>
      </c>
      <c r="B430" s="2" t="inlineStr">
        <is>
          <t>Korea Republic</t>
        </is>
      </c>
      <c r="C430" s="2" t="inlineStr">
        <is>
          <t>Jo Hyeon-woo</t>
        </is>
      </c>
      <c r="D430" s="2" t="inlineStr">
        <is>
          <t>Guarda Redes</t>
        </is>
      </c>
      <c r="E430" s="2" t="inlineStr">
        <is>
          <t>Ulsan Hyundai</t>
        </is>
      </c>
      <c r="F430">
        <f>VLOOKUP(E430,Clubes!B$2:D$438,2)</f>
        <v/>
      </c>
      <c r="G430">
        <f>VLOOKUP(E430,Clubes!B$2:D$438,3)</f>
        <v/>
      </c>
      <c r="H430" s="2" t="n">
        <v>30</v>
      </c>
      <c r="J430">
        <f>I430/H430</f>
        <v/>
      </c>
      <c r="K430">
        <f>H430*90</f>
        <v/>
      </c>
      <c r="M430">
        <f>L430/K430</f>
        <v/>
      </c>
    </row>
    <row r="431">
      <c r="A431" s="1" t="n">
        <v>430</v>
      </c>
      <c r="B431" s="2" t="inlineStr">
        <is>
          <t>Korea Republic</t>
        </is>
      </c>
      <c r="C431" s="2" t="inlineStr">
        <is>
          <t>Kim Moon-hwan</t>
        </is>
      </c>
      <c r="D431" s="2" t="inlineStr">
        <is>
          <t>Defesa</t>
        </is>
      </c>
      <c r="E431" s="2" t="inlineStr">
        <is>
          <t>Daejeon Hana Citizen</t>
        </is>
      </c>
      <c r="F431">
        <f>VLOOKUP(E431,Clubes!B$2:D$438,2)</f>
        <v/>
      </c>
      <c r="G431">
        <f>VLOOKUP(E431,Clubes!B$2:D$438,3)</f>
        <v/>
      </c>
      <c r="H431" s="2" t="n">
        <v>38</v>
      </c>
      <c r="J431">
        <f>I431/H431</f>
        <v/>
      </c>
      <c r="K431">
        <f>H431*90</f>
        <v/>
      </c>
      <c r="M431">
        <f>L431/K431</f>
        <v/>
      </c>
    </row>
    <row r="432">
      <c r="A432" s="1" t="n">
        <v>431</v>
      </c>
      <c r="B432" s="2" t="inlineStr">
        <is>
          <t>Korea Republic</t>
        </is>
      </c>
      <c r="C432" s="2" t="inlineStr">
        <is>
          <t>Seol Young-woo</t>
        </is>
      </c>
      <c r="D432" s="2" t="inlineStr">
        <is>
          <t>Defesa</t>
        </is>
      </c>
      <c r="E432" s="2" t="inlineStr">
        <is>
          <t>Crvena Zvezda</t>
        </is>
      </c>
      <c r="F432">
        <f>VLOOKUP(E432,Clubes!B$2:D$438,2)</f>
        <v/>
      </c>
      <c r="G432">
        <f>VLOOKUP(E432,Clubes!B$2:D$438,3)</f>
        <v/>
      </c>
      <c r="H432" s="2" t="n">
        <v>37</v>
      </c>
      <c r="J432">
        <f>I432/H432</f>
        <v/>
      </c>
      <c r="K432">
        <f>H432*90</f>
        <v/>
      </c>
      <c r="M432">
        <f>L432/K432</f>
        <v/>
      </c>
    </row>
    <row r="433">
      <c r="A433" s="1" t="n">
        <v>432</v>
      </c>
      <c r="B433" s="2" t="inlineStr">
        <is>
          <t>Korea Republic</t>
        </is>
      </c>
      <c r="C433" s="2" t="inlineStr">
        <is>
          <t>Lee Han-beom</t>
        </is>
      </c>
      <c r="D433" s="2" t="inlineStr">
        <is>
          <t>Defesa</t>
        </is>
      </c>
      <c r="E433" s="2" t="inlineStr">
        <is>
          <t>Midtjylland</t>
        </is>
      </c>
      <c r="F433">
        <f>VLOOKUP(E433,Clubes!B$2:D$438,2)</f>
        <v/>
      </c>
      <c r="G433">
        <f>VLOOKUP(E433,Clubes!B$2:D$438,3)</f>
        <v/>
      </c>
      <c r="H433" s="2" t="n">
        <v>32</v>
      </c>
      <c r="J433">
        <f>I433/H433</f>
        <v/>
      </c>
      <c r="K433">
        <f>H433*90</f>
        <v/>
      </c>
      <c r="M433">
        <f>L433/K433</f>
        <v/>
      </c>
    </row>
    <row r="434">
      <c r="A434" s="1" t="n">
        <v>433</v>
      </c>
      <c r="B434" s="2" t="inlineStr">
        <is>
          <t>Korea Republic</t>
        </is>
      </c>
      <c r="C434" s="2" t="inlineStr">
        <is>
          <t>Lee Gi-Hyuk</t>
        </is>
      </c>
      <c r="D434" s="2" t="inlineStr">
        <is>
          <t>Defesa</t>
        </is>
      </c>
      <c r="E434" s="2" t="inlineStr">
        <is>
          <t>Gangwon</t>
        </is>
      </c>
      <c r="F434">
        <f>VLOOKUP(E434,Clubes!B$2:D$438,2)</f>
        <v/>
      </c>
      <c r="G434">
        <f>VLOOKUP(E434,Clubes!B$2:D$438,3)</f>
        <v/>
      </c>
      <c r="H434" s="2" t="n">
        <v>38</v>
      </c>
      <c r="J434">
        <f>I434/H434</f>
        <v/>
      </c>
      <c r="K434">
        <f>H434*90</f>
        <v/>
      </c>
      <c r="M434">
        <f>L434/K434</f>
        <v/>
      </c>
    </row>
    <row r="435">
      <c r="A435" s="1" t="n">
        <v>434</v>
      </c>
      <c r="B435" s="2" t="inlineStr">
        <is>
          <t>Korea Republic</t>
        </is>
      </c>
      <c r="C435" s="2" t="inlineStr">
        <is>
          <t>Kim Min-jae</t>
        </is>
      </c>
      <c r="D435" s="2" t="inlineStr">
        <is>
          <t>Defesa</t>
        </is>
      </c>
      <c r="E435" s="2" t="inlineStr">
        <is>
          <t>Bayern München</t>
        </is>
      </c>
      <c r="F435">
        <f>VLOOKUP(E435,Clubes!B$2:D$438,2)</f>
        <v/>
      </c>
      <c r="G435">
        <f>VLOOKUP(E435,Clubes!B$2:D$438,3)</f>
        <v/>
      </c>
      <c r="H435" s="2" t="n">
        <v>34</v>
      </c>
      <c r="J435">
        <f>I435/H435</f>
        <v/>
      </c>
      <c r="K435">
        <f>H435*90</f>
        <v/>
      </c>
      <c r="M435">
        <f>L435/K435</f>
        <v/>
      </c>
    </row>
    <row r="436">
      <c r="A436" s="1" t="n">
        <v>435</v>
      </c>
      <c r="B436" s="2" t="inlineStr">
        <is>
          <t>Korea Republic</t>
        </is>
      </c>
      <c r="C436" s="2" t="inlineStr">
        <is>
          <t>Kim Tae-hyeon</t>
        </is>
      </c>
      <c r="D436" s="2" t="inlineStr">
        <is>
          <t>Defesa</t>
        </is>
      </c>
      <c r="E436" s="2" t="inlineStr">
        <is>
          <t>Kashima Antlers</t>
        </is>
      </c>
      <c r="F436">
        <f>VLOOKUP(E436,Clubes!B$2:D$438,2)</f>
        <v/>
      </c>
      <c r="G436">
        <f>VLOOKUP(E436,Clubes!B$2:D$438,3)</f>
        <v/>
      </c>
      <c r="H436" s="2" t="n">
        <v>38</v>
      </c>
      <c r="J436">
        <f>I436/H436</f>
        <v/>
      </c>
      <c r="K436">
        <f>H436*90</f>
        <v/>
      </c>
      <c r="M436">
        <f>L436/K436</f>
        <v/>
      </c>
    </row>
    <row r="437">
      <c r="A437" s="1" t="n">
        <v>436</v>
      </c>
      <c r="B437" s="2" t="inlineStr">
        <is>
          <t>Korea Republic</t>
        </is>
      </c>
      <c r="C437" s="2" t="inlineStr">
        <is>
          <t>Cho Wije</t>
        </is>
      </c>
      <c r="D437" s="2" t="inlineStr">
        <is>
          <t>Defesa</t>
        </is>
      </c>
      <c r="E437" s="2" t="inlineStr">
        <is>
          <t>Jeonbuk Motors</t>
        </is>
      </c>
      <c r="F437">
        <f>VLOOKUP(E437,Clubes!B$2:D$438,2)</f>
        <v/>
      </c>
      <c r="G437">
        <f>VLOOKUP(E437,Clubes!B$2:D$438,3)</f>
        <v/>
      </c>
      <c r="H437" s="2" t="n">
        <v>38</v>
      </c>
      <c r="J437">
        <f>I437/H437</f>
        <v/>
      </c>
      <c r="K437">
        <f>H437*90</f>
        <v/>
      </c>
      <c r="M437">
        <f>L437/K437</f>
        <v/>
      </c>
    </row>
    <row r="438">
      <c r="A438" s="1" t="n">
        <v>437</v>
      </c>
      <c r="B438" s="2" t="inlineStr">
        <is>
          <t>Korea Republic</t>
        </is>
      </c>
      <c r="C438" s="2" t="inlineStr">
        <is>
          <t>Lee Tae-seok</t>
        </is>
      </c>
      <c r="D438" s="2" t="inlineStr">
        <is>
          <t>Defesa</t>
        </is>
      </c>
      <c r="E438" s="2" t="inlineStr">
        <is>
          <t>Austria Wien</t>
        </is>
      </c>
      <c r="F438">
        <f>VLOOKUP(E438,Clubes!B$2:D$438,2)</f>
        <v/>
      </c>
      <c r="G438">
        <f>VLOOKUP(E438,Clubes!B$2:D$438,3)</f>
        <v/>
      </c>
      <c r="H438" s="2" t="n">
        <v>32</v>
      </c>
      <c r="J438">
        <f>I438/H438</f>
        <v/>
      </c>
      <c r="K438">
        <f>H438*90</f>
        <v/>
      </c>
      <c r="M438">
        <f>L438/K438</f>
        <v/>
      </c>
    </row>
    <row r="439">
      <c r="A439" s="1" t="n">
        <v>438</v>
      </c>
      <c r="B439" s="2" t="inlineStr">
        <is>
          <t>Korea Republic</t>
        </is>
      </c>
      <c r="C439" s="2" t="inlineStr">
        <is>
          <t>Park Jin-seob</t>
        </is>
      </c>
      <c r="D439" s="2" t="inlineStr">
        <is>
          <t>Médio</t>
        </is>
      </c>
      <c r="E439" s="2" t="inlineStr">
        <is>
          <t>Zhejiang FC</t>
        </is>
      </c>
      <c r="F439">
        <f>VLOOKUP(E439,Clubes!B$2:D$438,2)</f>
        <v/>
      </c>
      <c r="G439">
        <f>VLOOKUP(E439,Clubes!B$2:D$438,3)</f>
        <v/>
      </c>
      <c r="H439" s="2" t="n">
        <v>30</v>
      </c>
      <c r="J439">
        <f>I439/H439</f>
        <v/>
      </c>
      <c r="K439">
        <f>H439*90</f>
        <v/>
      </c>
      <c r="M439">
        <f>L439/K439</f>
        <v/>
      </c>
    </row>
    <row r="440">
      <c r="A440" s="1" t="n">
        <v>439</v>
      </c>
      <c r="B440" s="2" t="inlineStr">
        <is>
          <t>Korea Republic</t>
        </is>
      </c>
      <c r="C440" s="2" t="inlineStr">
        <is>
          <t>Hwang In-beom</t>
        </is>
      </c>
      <c r="D440" s="2" t="inlineStr">
        <is>
          <t>Médio</t>
        </is>
      </c>
      <c r="E440" s="2" t="inlineStr">
        <is>
          <t>Feyenoord</t>
        </is>
      </c>
      <c r="F440">
        <f>VLOOKUP(E440,Clubes!B$2:D$438,2)</f>
        <v/>
      </c>
      <c r="G440">
        <f>VLOOKUP(E440,Clubes!B$2:D$438,3)</f>
        <v/>
      </c>
      <c r="H440" s="2" t="n">
        <v>40</v>
      </c>
      <c r="J440">
        <f>I440/H440</f>
        <v/>
      </c>
      <c r="K440">
        <f>H440*90</f>
        <v/>
      </c>
      <c r="M440">
        <f>L440/K440</f>
        <v/>
      </c>
    </row>
    <row r="441">
      <c r="A441" s="1" t="n">
        <v>440</v>
      </c>
      <c r="B441" s="2" t="inlineStr">
        <is>
          <t>Korea Republic</t>
        </is>
      </c>
      <c r="C441" s="2" t="inlineStr">
        <is>
          <t>Paik Seung-ho</t>
        </is>
      </c>
      <c r="D441" s="2" t="inlineStr">
        <is>
          <t>Médio</t>
        </is>
      </c>
      <c r="E441" s="2" t="inlineStr">
        <is>
          <t>Birmingham City</t>
        </is>
      </c>
      <c r="F441">
        <f>VLOOKUP(E441,Clubes!B$2:D$438,2)</f>
        <v/>
      </c>
      <c r="G441">
        <f>VLOOKUP(E441,Clubes!B$2:D$438,3)</f>
        <v/>
      </c>
      <c r="H441" s="2" t="n">
        <v>46</v>
      </c>
      <c r="J441">
        <f>I441/H441</f>
        <v/>
      </c>
      <c r="K441">
        <f>H441*90</f>
        <v/>
      </c>
      <c r="M441">
        <f>L441/K441</f>
        <v/>
      </c>
    </row>
    <row r="442">
      <c r="A442" s="1" t="n">
        <v>441</v>
      </c>
      <c r="B442" s="2" t="inlineStr">
        <is>
          <t>Korea Republic</t>
        </is>
      </c>
      <c r="C442" s="2" t="inlineStr">
        <is>
          <t>Kim Jin-gyu</t>
        </is>
      </c>
      <c r="D442" s="2" t="inlineStr">
        <is>
          <t>Médio</t>
        </is>
      </c>
      <c r="E442" s="2" t="inlineStr">
        <is>
          <t>Jeonbuk Motors</t>
        </is>
      </c>
      <c r="F442">
        <f>VLOOKUP(E442,Clubes!B$2:D$438,2)</f>
        <v/>
      </c>
      <c r="G442">
        <f>VLOOKUP(E442,Clubes!B$2:D$438,3)</f>
        <v/>
      </c>
      <c r="H442" s="2" t="n">
        <v>38</v>
      </c>
      <c r="J442">
        <f>I442/H442</f>
        <v/>
      </c>
      <c r="K442">
        <f>H442*90</f>
        <v/>
      </c>
      <c r="M442">
        <f>L442/K442</f>
        <v/>
      </c>
    </row>
    <row r="443">
      <c r="A443" s="1" t="n">
        <v>442</v>
      </c>
      <c r="B443" s="2" t="inlineStr">
        <is>
          <t>Korea Republic</t>
        </is>
      </c>
      <c r="C443" s="2" t="inlineStr">
        <is>
          <t>Lee Jae-sung</t>
        </is>
      </c>
      <c r="D443" s="2" t="inlineStr">
        <is>
          <t>Médio</t>
        </is>
      </c>
      <c r="E443" s="2" t="inlineStr">
        <is>
          <t>Mainz</t>
        </is>
      </c>
      <c r="F443">
        <f>VLOOKUP(E443,Clubes!B$2:D$438,2)</f>
        <v/>
      </c>
      <c r="G443">
        <f>VLOOKUP(E443,Clubes!B$2:D$438,3)</f>
        <v/>
      </c>
      <c r="H443" s="2" t="n">
        <v>34</v>
      </c>
      <c r="J443">
        <f>I443/H443</f>
        <v/>
      </c>
      <c r="K443">
        <f>H443*90</f>
        <v/>
      </c>
      <c r="M443">
        <f>L443/K443</f>
        <v/>
      </c>
    </row>
    <row r="444">
      <c r="A444" s="1" t="n">
        <v>443</v>
      </c>
      <c r="B444" s="2" t="inlineStr">
        <is>
          <t>Korea Republic</t>
        </is>
      </c>
      <c r="C444" s="2" t="inlineStr">
        <is>
          <t>Bae Jun-ho</t>
        </is>
      </c>
      <c r="D444" s="2" t="inlineStr">
        <is>
          <t>Médio</t>
        </is>
      </c>
      <c r="E444" s="2" t="inlineStr">
        <is>
          <t>Stoke City</t>
        </is>
      </c>
      <c r="F444">
        <f>VLOOKUP(E444,Clubes!B$2:D$438,2)</f>
        <v/>
      </c>
      <c r="G444">
        <f>VLOOKUP(E444,Clubes!B$2:D$438,3)</f>
        <v/>
      </c>
      <c r="H444" s="2" t="n">
        <v>46</v>
      </c>
      <c r="J444">
        <f>I444/H444</f>
        <v/>
      </c>
      <c r="K444">
        <f>H444*90</f>
        <v/>
      </c>
      <c r="M444">
        <f>L444/K444</f>
        <v/>
      </c>
    </row>
    <row r="445">
      <c r="A445" s="1" t="n">
        <v>444</v>
      </c>
      <c r="B445" s="2" t="inlineStr">
        <is>
          <t>Korea Republic</t>
        </is>
      </c>
      <c r="C445" s="2" t="inlineStr">
        <is>
          <t>Jens Castrop</t>
        </is>
      </c>
      <c r="D445" s="2" t="inlineStr">
        <is>
          <t>Médio</t>
        </is>
      </c>
      <c r="E445" s="2" t="inlineStr">
        <is>
          <t>Borussia M´gladbach</t>
        </is>
      </c>
      <c r="F445">
        <f>VLOOKUP(E445,Clubes!B$2:D$438,2)</f>
        <v/>
      </c>
      <c r="G445">
        <f>VLOOKUP(E445,Clubes!B$2:D$438,3)</f>
        <v/>
      </c>
      <c r="H445" s="2" t="n">
        <v>34</v>
      </c>
      <c r="J445">
        <f>I445/H445</f>
        <v/>
      </c>
      <c r="K445">
        <f>H445*90</f>
        <v/>
      </c>
      <c r="M445">
        <f>L445/K445</f>
        <v/>
      </c>
    </row>
    <row r="446">
      <c r="A446" s="1" t="n">
        <v>445</v>
      </c>
      <c r="B446" s="2" t="inlineStr">
        <is>
          <t>Korea Republic</t>
        </is>
      </c>
      <c r="C446" s="2" t="inlineStr">
        <is>
          <t>Lee Dong-gyeong</t>
        </is>
      </c>
      <c r="D446" s="2" t="inlineStr">
        <is>
          <t>Médio</t>
        </is>
      </c>
      <c r="E446" s="2" t="inlineStr">
        <is>
          <t>Ulsan Hyundai</t>
        </is>
      </c>
      <c r="F446">
        <f>VLOOKUP(E446,Clubes!B$2:D$438,2)</f>
        <v/>
      </c>
      <c r="G446">
        <f>VLOOKUP(E446,Clubes!B$2:D$438,3)</f>
        <v/>
      </c>
      <c r="H446" s="2" t="n">
        <v>30</v>
      </c>
      <c r="J446">
        <f>I446/H446</f>
        <v/>
      </c>
      <c r="K446">
        <f>H446*90</f>
        <v/>
      </c>
      <c r="M446">
        <f>L446/K446</f>
        <v/>
      </c>
    </row>
    <row r="447">
      <c r="A447" s="1" t="n">
        <v>446</v>
      </c>
      <c r="B447" s="2" t="inlineStr">
        <is>
          <t>Korea Republic</t>
        </is>
      </c>
      <c r="C447" s="2" t="inlineStr">
        <is>
          <t>Lee Kang-in</t>
        </is>
      </c>
      <c r="D447" s="2" t="inlineStr">
        <is>
          <t>Avançado</t>
        </is>
      </c>
      <c r="E447" s="2" t="inlineStr">
        <is>
          <t>PSG</t>
        </is>
      </c>
      <c r="F447">
        <f>VLOOKUP(E447,Clubes!B$2:D$438,2)</f>
        <v/>
      </c>
      <c r="G447">
        <f>VLOOKUP(E447,Clubes!B$2:D$438,3)</f>
        <v/>
      </c>
      <c r="H447" s="2" t="n">
        <v>46</v>
      </c>
      <c r="J447">
        <f>I447/H447</f>
        <v/>
      </c>
      <c r="K447">
        <f>H447*90</f>
        <v/>
      </c>
      <c r="M447">
        <f>L447/K447</f>
        <v/>
      </c>
    </row>
    <row r="448">
      <c r="A448" s="1" t="n">
        <v>447</v>
      </c>
      <c r="B448" s="2" t="inlineStr">
        <is>
          <t>Korea Republic</t>
        </is>
      </c>
      <c r="C448" s="2" t="inlineStr">
        <is>
          <t>Yang Hyun-jun</t>
        </is>
      </c>
      <c r="D448" s="2" t="inlineStr">
        <is>
          <t>Avançado</t>
        </is>
      </c>
      <c r="E448" s="2" t="inlineStr">
        <is>
          <t>Celtic</t>
        </is>
      </c>
      <c r="F448">
        <f>VLOOKUP(E448,Clubes!B$2:D$438,2)</f>
        <v/>
      </c>
      <c r="G448">
        <f>VLOOKUP(E448,Clubes!B$2:D$438,3)</f>
        <v/>
      </c>
      <c r="H448" s="2" t="n">
        <v>38</v>
      </c>
      <c r="J448">
        <f>I448/H448</f>
        <v/>
      </c>
      <c r="K448">
        <f>H448*90</f>
        <v/>
      </c>
      <c r="M448">
        <f>L448/K448</f>
        <v/>
      </c>
    </row>
    <row r="449">
      <c r="A449" s="1" t="n">
        <v>448</v>
      </c>
      <c r="B449" s="2" t="inlineStr">
        <is>
          <t>Korea Republic</t>
        </is>
      </c>
      <c r="C449" s="2" t="inlineStr">
        <is>
          <t>Cho Gue-sung</t>
        </is>
      </c>
      <c r="D449" s="2" t="inlineStr">
        <is>
          <t>Avançado</t>
        </is>
      </c>
      <c r="E449" s="2" t="inlineStr">
        <is>
          <t>Midtjylland</t>
        </is>
      </c>
      <c r="F449">
        <f>VLOOKUP(E449,Clubes!B$2:D$438,2)</f>
        <v/>
      </c>
      <c r="G449">
        <f>VLOOKUP(E449,Clubes!B$2:D$438,3)</f>
        <v/>
      </c>
      <c r="H449" s="2" t="n">
        <v>32</v>
      </c>
      <c r="J449">
        <f>I449/H449</f>
        <v/>
      </c>
      <c r="K449">
        <f>H449*90</f>
        <v/>
      </c>
      <c r="M449">
        <f>L449/K449</f>
        <v/>
      </c>
    </row>
    <row r="450">
      <c r="A450" s="1" t="n">
        <v>449</v>
      </c>
      <c r="B450" s="2" t="inlineStr">
        <is>
          <t>Korea Republic</t>
        </is>
      </c>
      <c r="C450" s="2" t="inlineStr">
        <is>
          <t>Hwang Hee-chan</t>
        </is>
      </c>
      <c r="D450" s="2" t="inlineStr">
        <is>
          <t>Avançado</t>
        </is>
      </c>
      <c r="E450" s="2" t="inlineStr">
        <is>
          <t>Wolverhampton</t>
        </is>
      </c>
      <c r="F450">
        <f>VLOOKUP(E450,Clubes!B$2:D$438,2)</f>
        <v/>
      </c>
      <c r="G450">
        <f>VLOOKUP(E450,Clubes!B$2:D$438,3)</f>
        <v/>
      </c>
      <c r="H450" s="2" t="n">
        <v>38</v>
      </c>
      <c r="J450">
        <f>I450/H450</f>
        <v/>
      </c>
      <c r="K450">
        <f>H450*90</f>
        <v/>
      </c>
      <c r="M450">
        <f>L450/K450</f>
        <v/>
      </c>
    </row>
    <row r="451">
      <c r="A451" s="1" t="n">
        <v>450</v>
      </c>
      <c r="B451" s="2" t="inlineStr">
        <is>
          <t>Korea Republic</t>
        </is>
      </c>
      <c r="C451" s="2" t="inlineStr">
        <is>
          <t>Oh Hyun-gyu</t>
        </is>
      </c>
      <c r="D451" s="2" t="inlineStr">
        <is>
          <t>Avançado</t>
        </is>
      </c>
      <c r="E451" s="2" t="inlineStr">
        <is>
          <t>Besiktas</t>
        </is>
      </c>
      <c r="F451">
        <f>VLOOKUP(E451,Clubes!B$2:D$438,2)</f>
        <v/>
      </c>
      <c r="G451">
        <f>VLOOKUP(E451,Clubes!B$2:D$438,3)</f>
        <v/>
      </c>
      <c r="H451" s="2" t="n">
        <v>34</v>
      </c>
      <c r="J451">
        <f>I451/H451</f>
        <v/>
      </c>
      <c r="K451">
        <f>H451*90</f>
        <v/>
      </c>
      <c r="M451">
        <f>L451/K451</f>
        <v/>
      </c>
    </row>
    <row r="452">
      <c r="A452" s="1" t="n">
        <v>451</v>
      </c>
      <c r="B452" s="2" t="inlineStr">
        <is>
          <t>Korea Republic</t>
        </is>
      </c>
      <c r="C452" s="2" t="inlineStr">
        <is>
          <t>Son Heung-min</t>
        </is>
      </c>
      <c r="D452" s="2" t="inlineStr">
        <is>
          <t>Avançado</t>
        </is>
      </c>
      <c r="E452" s="2" t="inlineStr">
        <is>
          <t>Los Angeles FC</t>
        </is>
      </c>
      <c r="F452">
        <f>VLOOKUP(E452,Clubes!B$2:D$438,2)</f>
        <v/>
      </c>
      <c r="G452">
        <f>VLOOKUP(E452,Clubes!B$2:D$438,3)</f>
        <v/>
      </c>
      <c r="H452" s="2" t="n">
        <v>34</v>
      </c>
      <c r="J452">
        <f>I452/H452</f>
        <v/>
      </c>
      <c r="K452">
        <f>H452*90</f>
        <v/>
      </c>
      <c r="M452">
        <f>L452/K452</f>
        <v/>
      </c>
    </row>
    <row r="453">
      <c r="A453" s="1" t="n">
        <v>452</v>
      </c>
      <c r="B453" s="2" t="inlineStr">
        <is>
          <t>Korea Republic</t>
        </is>
      </c>
      <c r="C453" s="2" t="inlineStr">
        <is>
          <t>Eom Ji-sung</t>
        </is>
      </c>
      <c r="D453" s="2" t="inlineStr">
        <is>
          <t>Avançado</t>
        </is>
      </c>
      <c r="E453" s="2" t="inlineStr">
        <is>
          <t>Swansea City</t>
        </is>
      </c>
      <c r="F453">
        <f>VLOOKUP(E453,Clubes!B$2:D$438,2)</f>
        <v/>
      </c>
      <c r="G453">
        <f>VLOOKUP(E453,Clubes!B$2:D$438,3)</f>
        <v/>
      </c>
      <c r="H453" s="2" t="n">
        <v>46</v>
      </c>
      <c r="J453">
        <f>I453/H453</f>
        <v/>
      </c>
      <c r="K453">
        <f>H453*90</f>
        <v/>
      </c>
      <c r="M453">
        <f>L453/K453</f>
        <v/>
      </c>
    </row>
    <row r="454">
      <c r="A454" s="1" t="n">
        <v>453</v>
      </c>
      <c r="B454" s="2" t="inlineStr">
        <is>
          <t>Côte d'Ivoire</t>
        </is>
      </c>
      <c r="C454" s="2" t="inlineStr">
        <is>
          <t>Yahia Fofana</t>
        </is>
      </c>
      <c r="D454" s="2" t="inlineStr">
        <is>
          <t>Guarda Redes</t>
        </is>
      </c>
      <c r="E454" s="2" t="inlineStr">
        <is>
          <t>Caykur Rizespor</t>
        </is>
      </c>
      <c r="F454">
        <f>VLOOKUP(E454,Clubes!B$2:D$438,2)</f>
        <v/>
      </c>
      <c r="G454">
        <f>VLOOKUP(E454,Clubes!B$2:D$438,3)</f>
        <v/>
      </c>
      <c r="H454" s="2" t="n">
        <v>34</v>
      </c>
      <c r="J454">
        <f>I454/H454</f>
        <v/>
      </c>
      <c r="K454">
        <f>H454*90</f>
        <v/>
      </c>
      <c r="M454">
        <f>L454/K454</f>
        <v/>
      </c>
    </row>
    <row r="455">
      <c r="A455" s="1" t="n">
        <v>454</v>
      </c>
      <c r="B455" s="2" t="inlineStr">
        <is>
          <t>Côte d'Ivoire</t>
        </is>
      </c>
      <c r="C455" s="2" t="inlineStr">
        <is>
          <t>Mohamed Koné</t>
        </is>
      </c>
      <c r="D455" s="2" t="inlineStr">
        <is>
          <t>Guarda Redes</t>
        </is>
      </c>
      <c r="E455" s="2" t="inlineStr">
        <is>
          <t>Charleroi</t>
        </is>
      </c>
      <c r="F455">
        <f>VLOOKUP(E455,Clubes!B$2:D$438,2)</f>
        <v/>
      </c>
      <c r="G455">
        <f>VLOOKUP(E455,Clubes!B$2:D$438,3)</f>
        <v/>
      </c>
      <c r="H455" s="2" t="n">
        <v>40</v>
      </c>
      <c r="J455">
        <f>I455/H455</f>
        <v/>
      </c>
      <c r="K455">
        <f>H455*90</f>
        <v/>
      </c>
      <c r="M455">
        <f>L455/K455</f>
        <v/>
      </c>
    </row>
    <row r="456">
      <c r="A456" s="1" t="n">
        <v>455</v>
      </c>
      <c r="B456" s="2" t="inlineStr">
        <is>
          <t>Côte d'Ivoire</t>
        </is>
      </c>
      <c r="C456" s="2" t="inlineStr">
        <is>
          <t>Alban Lafont</t>
        </is>
      </c>
      <c r="D456" s="2" t="inlineStr">
        <is>
          <t>Guarda Redes</t>
        </is>
      </c>
      <c r="E456" s="2" t="inlineStr">
        <is>
          <t>Panathinaikos</t>
        </is>
      </c>
      <c r="F456">
        <f>VLOOKUP(E456,Clubes!B$2:D$438,2)</f>
        <v/>
      </c>
      <c r="G456">
        <f>VLOOKUP(E456,Clubes!B$2:D$438,3)</f>
        <v/>
      </c>
      <c r="H456" s="2" t="n">
        <v>36</v>
      </c>
      <c r="J456">
        <f>I456/H456</f>
        <v/>
      </c>
      <c r="K456">
        <f>H456*90</f>
        <v/>
      </c>
      <c r="M456">
        <f>L456/K456</f>
        <v/>
      </c>
    </row>
    <row r="457">
      <c r="A457" s="1" t="n">
        <v>456</v>
      </c>
      <c r="B457" s="2" t="inlineStr">
        <is>
          <t>Côte d'Ivoire</t>
        </is>
      </c>
      <c r="C457" s="2" t="inlineStr">
        <is>
          <t>Guéla Doué</t>
        </is>
      </c>
      <c r="D457" s="2" t="inlineStr">
        <is>
          <t>Defesa</t>
        </is>
      </c>
      <c r="E457" s="2" t="inlineStr">
        <is>
          <t>Strasbourg</t>
        </is>
      </c>
      <c r="F457">
        <f>VLOOKUP(E457,Clubes!B$2:D$438,2)</f>
        <v/>
      </c>
      <c r="G457">
        <f>VLOOKUP(E457,Clubes!B$2:D$438,3)</f>
        <v/>
      </c>
      <c r="H457" s="2" t="n">
        <v>34</v>
      </c>
      <c r="J457">
        <f>I457/H457</f>
        <v/>
      </c>
      <c r="K457">
        <f>H457*90</f>
        <v/>
      </c>
      <c r="M457">
        <f>L457/K457</f>
        <v/>
      </c>
    </row>
    <row r="458">
      <c r="A458" s="1" t="n">
        <v>457</v>
      </c>
      <c r="B458" s="2" t="inlineStr">
        <is>
          <t>Côte d'Ivoire</t>
        </is>
      </c>
      <c r="C458" s="2" t="inlineStr">
        <is>
          <t>Ousmane Diomande</t>
        </is>
      </c>
      <c r="D458" s="2" t="inlineStr">
        <is>
          <t>Defesa</t>
        </is>
      </c>
      <c r="E458" s="2" t="inlineStr">
        <is>
          <t>Sporting</t>
        </is>
      </c>
      <c r="F458">
        <f>VLOOKUP(E458,Clubes!B$2:D$438,2)</f>
        <v/>
      </c>
      <c r="G458">
        <f>VLOOKUP(E458,Clubes!B$2:D$438,3)</f>
        <v/>
      </c>
      <c r="H458" s="2" t="n">
        <v>34</v>
      </c>
      <c r="J458">
        <f>I458/H458</f>
        <v/>
      </c>
      <c r="K458">
        <f>H458*90</f>
        <v/>
      </c>
      <c r="M458">
        <f>L458/K458</f>
        <v/>
      </c>
    </row>
    <row r="459">
      <c r="A459" s="1" t="n">
        <v>458</v>
      </c>
      <c r="B459" s="2" t="inlineStr">
        <is>
          <t>Côte d'Ivoire</t>
        </is>
      </c>
      <c r="C459" s="2" t="inlineStr">
        <is>
          <t>Wilfried Singo</t>
        </is>
      </c>
      <c r="D459" s="2" t="inlineStr">
        <is>
          <t>Defesa</t>
        </is>
      </c>
      <c r="E459" s="2" t="inlineStr">
        <is>
          <t>Galatasaray</t>
        </is>
      </c>
      <c r="F459">
        <f>VLOOKUP(E459,Clubes!B$2:D$438,2)</f>
        <v/>
      </c>
      <c r="G459">
        <f>VLOOKUP(E459,Clubes!B$2:D$438,3)</f>
        <v/>
      </c>
      <c r="H459" s="2" t="n">
        <v>38</v>
      </c>
      <c r="J459">
        <f>I459/H459</f>
        <v/>
      </c>
      <c r="K459">
        <f>H459*90</f>
        <v/>
      </c>
      <c r="M459">
        <f>L459/K459</f>
        <v/>
      </c>
    </row>
    <row r="460">
      <c r="A460" s="1" t="n">
        <v>459</v>
      </c>
      <c r="B460" s="2" t="inlineStr">
        <is>
          <t>Côte d'Ivoire</t>
        </is>
      </c>
      <c r="C460" s="2" t="inlineStr">
        <is>
          <t>Odilon Kossounou</t>
        </is>
      </c>
      <c r="D460" s="2" t="inlineStr">
        <is>
          <t>Defesa</t>
        </is>
      </c>
      <c r="E460" s="2" t="inlineStr">
        <is>
          <t>Atalanta</t>
        </is>
      </c>
      <c r="F460">
        <f>VLOOKUP(E460,Clubes!B$2:D$438,2)</f>
        <v/>
      </c>
      <c r="G460">
        <f>VLOOKUP(E460,Clubes!B$2:D$438,3)</f>
        <v/>
      </c>
      <c r="H460" s="2" t="n">
        <v>38</v>
      </c>
      <c r="J460">
        <f>I460/H460</f>
        <v/>
      </c>
      <c r="K460">
        <f>H460*90</f>
        <v/>
      </c>
      <c r="M460">
        <f>L460/K460</f>
        <v/>
      </c>
    </row>
    <row r="461">
      <c r="A461" s="1" t="n">
        <v>460</v>
      </c>
      <c r="B461" s="2" t="inlineStr">
        <is>
          <t>Côte d'Ivoire</t>
        </is>
      </c>
      <c r="C461" s="2" t="inlineStr">
        <is>
          <t>Emmanuel Agbadou</t>
        </is>
      </c>
      <c r="D461" s="2" t="inlineStr">
        <is>
          <t>Defesa</t>
        </is>
      </c>
      <c r="E461" s="2" t="inlineStr">
        <is>
          <t>Besiktas</t>
        </is>
      </c>
      <c r="F461">
        <f>VLOOKUP(E461,Clubes!B$2:D$438,2)</f>
        <v/>
      </c>
      <c r="G461">
        <f>VLOOKUP(E461,Clubes!B$2:D$438,3)</f>
        <v/>
      </c>
      <c r="H461" s="2" t="n">
        <v>34</v>
      </c>
      <c r="J461">
        <f>I461/H461</f>
        <v/>
      </c>
      <c r="K461">
        <f>H461*90</f>
        <v/>
      </c>
      <c r="M461">
        <f>L461/K461</f>
        <v/>
      </c>
    </row>
    <row r="462">
      <c r="A462" s="1" t="n">
        <v>461</v>
      </c>
      <c r="B462" s="2" t="inlineStr">
        <is>
          <t>Côte d'Ivoire</t>
        </is>
      </c>
      <c r="C462" s="2" t="inlineStr">
        <is>
          <t>Evan Ndicka</t>
        </is>
      </c>
      <c r="D462" s="2" t="inlineStr">
        <is>
          <t>Defesa</t>
        </is>
      </c>
      <c r="E462" s="2" t="inlineStr">
        <is>
          <t>Roma</t>
        </is>
      </c>
      <c r="F462">
        <f>VLOOKUP(E462,Clubes!B$2:D$438,2)</f>
        <v/>
      </c>
      <c r="G462">
        <f>VLOOKUP(E462,Clubes!B$2:D$438,3)</f>
        <v/>
      </c>
      <c r="H462" s="2" t="n">
        <v>38</v>
      </c>
      <c r="J462">
        <f>I462/H462</f>
        <v/>
      </c>
      <c r="K462">
        <f>H462*90</f>
        <v/>
      </c>
      <c r="M462">
        <f>L462/K462</f>
        <v/>
      </c>
    </row>
    <row r="463">
      <c r="A463" s="1" t="n">
        <v>462</v>
      </c>
      <c r="B463" s="2" t="inlineStr">
        <is>
          <t>Côte d'Ivoire</t>
        </is>
      </c>
      <c r="C463" s="2" t="inlineStr">
        <is>
          <t>Ghislain Konan</t>
        </is>
      </c>
      <c r="D463" s="2" t="inlineStr">
        <is>
          <t>Defesa</t>
        </is>
      </c>
      <c r="E463" s="2" t="inlineStr">
        <is>
          <t>Gil Vicente</t>
        </is>
      </c>
      <c r="F463">
        <f>VLOOKUP(E463,Clubes!B$2:D$438,2)</f>
        <v/>
      </c>
      <c r="G463">
        <f>VLOOKUP(E463,Clubes!B$2:D$438,3)</f>
        <v/>
      </c>
      <c r="H463" s="2" t="n">
        <v>34</v>
      </c>
      <c r="J463">
        <f>I463/H463</f>
        <v/>
      </c>
      <c r="K463">
        <f>H463*90</f>
        <v/>
      </c>
      <c r="M463">
        <f>L463/K463</f>
        <v/>
      </c>
    </row>
    <row r="464">
      <c r="A464" s="1" t="n">
        <v>463</v>
      </c>
      <c r="B464" s="2" t="inlineStr">
        <is>
          <t>Côte d'Ivoire</t>
        </is>
      </c>
      <c r="C464" s="2" t="inlineStr">
        <is>
          <t>Christopher Operi</t>
        </is>
      </c>
      <c r="D464" s="2" t="inlineStr">
        <is>
          <t>Defesa</t>
        </is>
      </c>
      <c r="E464" s="2" t="inlineStr">
        <is>
          <t>Basaksehir</t>
        </is>
      </c>
      <c r="F464">
        <f>VLOOKUP(E464,Clubes!B$2:D$438,2)</f>
        <v/>
      </c>
      <c r="G464">
        <f>VLOOKUP(E464,Clubes!B$2:D$438,3)</f>
        <v/>
      </c>
      <c r="H464" s="2" t="n">
        <v>34</v>
      </c>
      <c r="J464">
        <f>I464/H464</f>
        <v/>
      </c>
      <c r="K464">
        <f>H464*90</f>
        <v/>
      </c>
      <c r="M464">
        <f>L464/K464</f>
        <v/>
      </c>
    </row>
    <row r="465">
      <c r="A465" s="1" t="n">
        <v>464</v>
      </c>
      <c r="B465" s="2" t="inlineStr">
        <is>
          <t>Côte d'Ivoire</t>
        </is>
      </c>
      <c r="C465" s="2" t="inlineStr">
        <is>
          <t>Ibrahim Sangaré</t>
        </is>
      </c>
      <c r="D465" s="2" t="inlineStr">
        <is>
          <t>Médio</t>
        </is>
      </c>
      <c r="E465" s="2" t="inlineStr">
        <is>
          <t>Nottingham Forest</t>
        </is>
      </c>
      <c r="F465">
        <f>VLOOKUP(E465,Clubes!B$2:D$438,2)</f>
        <v/>
      </c>
      <c r="G465">
        <f>VLOOKUP(E465,Clubes!B$2:D$438,3)</f>
        <v/>
      </c>
      <c r="H465" s="2" t="n">
        <v>38</v>
      </c>
      <c r="J465">
        <f>I465/H465</f>
        <v/>
      </c>
      <c r="K465">
        <f>H465*90</f>
        <v/>
      </c>
      <c r="M465">
        <f>L465/K465</f>
        <v/>
      </c>
    </row>
    <row r="466">
      <c r="A466" s="1" t="n">
        <v>465</v>
      </c>
      <c r="B466" s="2" t="inlineStr">
        <is>
          <t>Côte d'Ivoire</t>
        </is>
      </c>
      <c r="C466" s="2" t="inlineStr">
        <is>
          <t>Christ Oulaï</t>
        </is>
      </c>
      <c r="D466" s="2" t="inlineStr">
        <is>
          <t>Médio</t>
        </is>
      </c>
      <c r="E466" s="2" t="inlineStr">
        <is>
          <t>Trabzonspor</t>
        </is>
      </c>
      <c r="F466">
        <f>VLOOKUP(E466,Clubes!B$2:D$438,2)</f>
        <v/>
      </c>
      <c r="G466">
        <f>VLOOKUP(E466,Clubes!B$2:D$438,3)</f>
        <v/>
      </c>
      <c r="H466" s="2" t="n">
        <v>34</v>
      </c>
      <c r="J466">
        <f>I466/H466</f>
        <v/>
      </c>
      <c r="K466">
        <f>H466*90</f>
        <v/>
      </c>
      <c r="M466">
        <f>L466/K466</f>
        <v/>
      </c>
    </row>
    <row r="467">
      <c r="A467" s="1" t="n">
        <v>466</v>
      </c>
      <c r="B467" s="2" t="inlineStr">
        <is>
          <t>Côte d'Ivoire</t>
        </is>
      </c>
      <c r="C467" s="2" t="inlineStr">
        <is>
          <t>Jean-Michaël Seri</t>
        </is>
      </c>
      <c r="D467" s="2" t="inlineStr">
        <is>
          <t>Médio</t>
        </is>
      </c>
      <c r="E467" s="2" t="inlineStr">
        <is>
          <t>Maribor</t>
        </is>
      </c>
      <c r="F467">
        <f>VLOOKUP(E467,Clubes!B$2:D$438,2)</f>
        <v/>
      </c>
      <c r="G467">
        <f>VLOOKUP(E467,Clubes!B$2:D$438,3)</f>
        <v/>
      </c>
      <c r="H467" s="2" t="n">
        <v>36</v>
      </c>
      <c r="J467">
        <f>I467/H467</f>
        <v/>
      </c>
      <c r="K467">
        <f>H467*90</f>
        <v/>
      </c>
      <c r="M467">
        <f>L467/K467</f>
        <v/>
      </c>
    </row>
    <row r="468">
      <c r="A468" s="1" t="n">
        <v>467</v>
      </c>
      <c r="B468" s="2" t="inlineStr">
        <is>
          <t>Côte d'Ivoire</t>
        </is>
      </c>
      <c r="C468" s="2" t="inlineStr">
        <is>
          <t>Seko Fofana</t>
        </is>
      </c>
      <c r="D468" s="2" t="inlineStr">
        <is>
          <t>Médio</t>
        </is>
      </c>
      <c r="E468" s="2" t="inlineStr">
        <is>
          <t>FC Porto</t>
        </is>
      </c>
      <c r="F468">
        <f>VLOOKUP(E468,Clubes!B$2:D$438,2)</f>
        <v/>
      </c>
      <c r="G468">
        <f>VLOOKUP(E468,Clubes!B$2:D$438,3)</f>
        <v/>
      </c>
      <c r="H468" s="2" t="n">
        <v>34</v>
      </c>
      <c r="J468">
        <f>I468/H468</f>
        <v/>
      </c>
      <c r="K468">
        <f>H468*90</f>
        <v/>
      </c>
      <c r="M468">
        <f>L468/K468</f>
        <v/>
      </c>
    </row>
    <row r="469">
      <c r="A469" s="1" t="n">
        <v>468</v>
      </c>
      <c r="B469" s="2" t="inlineStr">
        <is>
          <t>Côte d'Ivoire</t>
        </is>
      </c>
      <c r="C469" s="2" t="inlineStr">
        <is>
          <t>Franck Kessié</t>
        </is>
      </c>
      <c r="D469" s="2" t="inlineStr">
        <is>
          <t>Médio</t>
        </is>
      </c>
      <c r="E469" s="2" t="inlineStr">
        <is>
          <t>Al-Ahli Jeddah</t>
        </is>
      </c>
      <c r="F469">
        <f>VLOOKUP(E469,Clubes!B$2:D$438,2)</f>
        <v/>
      </c>
      <c r="G469">
        <f>VLOOKUP(E469,Clubes!B$2:D$438,3)</f>
        <v/>
      </c>
      <c r="H469" s="2" t="n">
        <v>34</v>
      </c>
      <c r="J469">
        <f>I469/H469</f>
        <v/>
      </c>
      <c r="K469">
        <f>H469*90</f>
        <v/>
      </c>
      <c r="M469">
        <f>L469/K469</f>
        <v/>
      </c>
    </row>
    <row r="470">
      <c r="A470" s="1" t="n">
        <v>469</v>
      </c>
      <c r="B470" s="2" t="inlineStr">
        <is>
          <t>Côte d'Ivoire</t>
        </is>
      </c>
      <c r="C470" s="2" t="inlineStr">
        <is>
          <t>Simon Adingra</t>
        </is>
      </c>
      <c r="D470" s="2" t="inlineStr">
        <is>
          <t>Avançado</t>
        </is>
      </c>
      <c r="E470" s="2" t="inlineStr">
        <is>
          <t>Monaco</t>
        </is>
      </c>
      <c r="F470">
        <f>VLOOKUP(E470,Clubes!B$2:D$438,2)</f>
        <v/>
      </c>
      <c r="G470">
        <f>VLOOKUP(E470,Clubes!B$2:D$438,3)</f>
        <v/>
      </c>
      <c r="H470" s="2" t="n">
        <v>34</v>
      </c>
      <c r="J470">
        <f>I470/H470</f>
        <v/>
      </c>
      <c r="K470">
        <f>H470*90</f>
        <v/>
      </c>
      <c r="M470">
        <f>L470/K470</f>
        <v/>
      </c>
    </row>
    <row r="471">
      <c r="A471" s="1" t="n">
        <v>470</v>
      </c>
      <c r="B471" s="2" t="inlineStr">
        <is>
          <t>Côte d'Ivoire</t>
        </is>
      </c>
      <c r="C471" s="2" t="inlineStr">
        <is>
          <t>Amad Diallo</t>
        </is>
      </c>
      <c r="D471" s="2" t="inlineStr">
        <is>
          <t>Avançado</t>
        </is>
      </c>
      <c r="E471" s="2" t="inlineStr">
        <is>
          <t>Manchester United</t>
        </is>
      </c>
      <c r="F471">
        <f>VLOOKUP(E471,Clubes!B$2:D$438,2)</f>
        <v/>
      </c>
      <c r="G471">
        <f>VLOOKUP(E471,Clubes!B$2:D$438,3)</f>
        <v/>
      </c>
      <c r="H471" s="2" t="n">
        <v>38</v>
      </c>
      <c r="J471">
        <f>I471/H471</f>
        <v/>
      </c>
      <c r="K471">
        <f>H471*90</f>
        <v/>
      </c>
      <c r="M471">
        <f>L471/K471</f>
        <v/>
      </c>
    </row>
    <row r="472">
      <c r="A472" s="1" t="n">
        <v>471</v>
      </c>
      <c r="B472" s="2" t="inlineStr">
        <is>
          <t>Côte d'Ivoire</t>
        </is>
      </c>
      <c r="C472" s="2" t="inlineStr">
        <is>
          <t>Nicolas Pépé</t>
        </is>
      </c>
      <c r="D472" s="2" t="inlineStr">
        <is>
          <t>Avançado</t>
        </is>
      </c>
      <c r="E472" s="2" t="inlineStr">
        <is>
          <t>Villarreal</t>
        </is>
      </c>
      <c r="F472">
        <f>VLOOKUP(E472,Clubes!B$2:D$438,2)</f>
        <v/>
      </c>
      <c r="G472">
        <f>VLOOKUP(E472,Clubes!B$2:D$438,3)</f>
        <v/>
      </c>
      <c r="H472" s="2" t="n">
        <v>38</v>
      </c>
      <c r="J472">
        <f>I472/H472</f>
        <v/>
      </c>
      <c r="K472">
        <f>H472*90</f>
        <v/>
      </c>
      <c r="M472">
        <f>L472/K472</f>
        <v/>
      </c>
    </row>
    <row r="473">
      <c r="A473" s="1" t="n">
        <v>472</v>
      </c>
      <c r="B473" s="2" t="inlineStr">
        <is>
          <t>Côte d'Ivoire</t>
        </is>
      </c>
      <c r="C473" s="2" t="inlineStr">
        <is>
          <t>Ange-Yoan Bonny</t>
        </is>
      </c>
      <c r="D473" s="2" t="inlineStr">
        <is>
          <t>Avançado</t>
        </is>
      </c>
      <c r="E473" s="2" t="inlineStr">
        <is>
          <t>Internazionale</t>
        </is>
      </c>
      <c r="F473">
        <f>VLOOKUP(E473,Clubes!B$2:D$438,2)</f>
        <v/>
      </c>
      <c r="G473">
        <f>VLOOKUP(E473,Clubes!B$2:D$438,3)</f>
        <v/>
      </c>
      <c r="H473" s="2" t="n">
        <v>38</v>
      </c>
      <c r="J473">
        <f>I473/H473</f>
        <v/>
      </c>
      <c r="K473">
        <f>H473*90</f>
        <v/>
      </c>
      <c r="M473">
        <f>L473/K473</f>
        <v/>
      </c>
    </row>
    <row r="474">
      <c r="A474" s="1" t="n">
        <v>473</v>
      </c>
      <c r="B474" s="2" t="inlineStr">
        <is>
          <t>Côte d'Ivoire</t>
        </is>
      </c>
      <c r="C474" s="2" t="inlineStr">
        <is>
          <t>Elye Wahi</t>
        </is>
      </c>
      <c r="D474" s="2" t="inlineStr">
        <is>
          <t>Avançado</t>
        </is>
      </c>
      <c r="E474" s="2" t="inlineStr">
        <is>
          <t>Nice</t>
        </is>
      </c>
      <c r="F474">
        <f>VLOOKUP(E474,Clubes!B$2:D$438,2)</f>
        <v/>
      </c>
      <c r="G474">
        <f>VLOOKUP(E474,Clubes!B$2:D$438,3)</f>
        <v/>
      </c>
      <c r="H474" s="2" t="n">
        <v>34</v>
      </c>
      <c r="J474">
        <f>I474/H474</f>
        <v/>
      </c>
      <c r="K474">
        <f>H474*90</f>
        <v/>
      </c>
      <c r="M474">
        <f>L474/K474</f>
        <v/>
      </c>
    </row>
    <row r="475">
      <c r="A475" s="1" t="n">
        <v>474</v>
      </c>
      <c r="B475" s="2" t="inlineStr">
        <is>
          <t>Côte d'Ivoire</t>
        </is>
      </c>
      <c r="C475" s="2" t="inlineStr">
        <is>
          <t>Oumar Diakité</t>
        </is>
      </c>
      <c r="D475" s="2" t="inlineStr">
        <is>
          <t>Avançado</t>
        </is>
      </c>
      <c r="E475" s="2" t="inlineStr">
        <is>
          <t>Cercle Brugge</t>
        </is>
      </c>
      <c r="F475">
        <f>VLOOKUP(E475,Clubes!B$2:D$438,2)</f>
        <v/>
      </c>
      <c r="G475">
        <f>VLOOKUP(E475,Clubes!B$2:D$438,3)</f>
        <v/>
      </c>
      <c r="H475" s="2" t="n">
        <v>40</v>
      </c>
      <c r="J475">
        <f>I475/H475</f>
        <v/>
      </c>
      <c r="K475">
        <f>H475*90</f>
        <v/>
      </c>
      <c r="M475">
        <f>L475/K475</f>
        <v/>
      </c>
    </row>
    <row r="476">
      <c r="A476" s="1" t="n">
        <v>475</v>
      </c>
      <c r="B476" s="2" t="inlineStr">
        <is>
          <t>Côte d'Ivoire</t>
        </is>
      </c>
      <c r="C476" s="2" t="inlineStr">
        <is>
          <t>Evann Guessand</t>
        </is>
      </c>
      <c r="D476" s="2" t="inlineStr">
        <is>
          <t>Avançado</t>
        </is>
      </c>
      <c r="E476" s="2" t="inlineStr">
        <is>
          <t>Crystal Palace</t>
        </is>
      </c>
      <c r="F476">
        <f>VLOOKUP(E476,Clubes!B$2:D$438,2)</f>
        <v/>
      </c>
      <c r="G476">
        <f>VLOOKUP(E476,Clubes!B$2:D$438,3)</f>
        <v/>
      </c>
      <c r="H476" s="2" t="n">
        <v>38</v>
      </c>
      <c r="J476">
        <f>I476/H476</f>
        <v/>
      </c>
      <c r="K476">
        <f>H476*90</f>
        <v/>
      </c>
      <c r="M476">
        <f>L476/K476</f>
        <v/>
      </c>
    </row>
    <row r="477">
      <c r="A477" s="1" t="n">
        <v>476</v>
      </c>
      <c r="B477" s="2" t="inlineStr">
        <is>
          <t>Côte d'Ivoire</t>
        </is>
      </c>
      <c r="C477" s="2" t="inlineStr">
        <is>
          <t>Yan Diomande</t>
        </is>
      </c>
      <c r="D477" s="2" t="inlineStr">
        <is>
          <t>Avançado</t>
        </is>
      </c>
      <c r="E477" s="2" t="inlineStr">
        <is>
          <t>RB Leipzig</t>
        </is>
      </c>
      <c r="F477">
        <f>VLOOKUP(E477,Clubes!B$2:D$438,2)</f>
        <v/>
      </c>
      <c r="G477">
        <f>VLOOKUP(E477,Clubes!B$2:D$438,3)</f>
        <v/>
      </c>
      <c r="H477" s="2" t="n">
        <v>34</v>
      </c>
      <c r="J477">
        <f>I477/H477</f>
        <v/>
      </c>
      <c r="K477">
        <f>H477*90</f>
        <v/>
      </c>
      <c r="M477">
        <f>L477/K477</f>
        <v/>
      </c>
    </row>
    <row r="478">
      <c r="A478" s="1" t="n">
        <v>477</v>
      </c>
      <c r="B478" s="2" t="inlineStr">
        <is>
          <t>Côte d'Ivoire</t>
        </is>
      </c>
      <c r="C478" s="2" t="inlineStr">
        <is>
          <t>Bazoumana Touré</t>
        </is>
      </c>
      <c r="D478" s="2" t="inlineStr">
        <is>
          <t>Avançado</t>
        </is>
      </c>
      <c r="E478" s="2" t="inlineStr">
        <is>
          <t>TSG Hoffenheim</t>
        </is>
      </c>
      <c r="F478">
        <f>VLOOKUP(E478,Clubes!B$2:D$438,2)</f>
        <v/>
      </c>
      <c r="G478">
        <f>VLOOKUP(E478,Clubes!B$2:D$438,3)</f>
        <v/>
      </c>
      <c r="H478" s="2" t="n">
        <v>30</v>
      </c>
      <c r="J478">
        <f>I478/H478</f>
        <v/>
      </c>
      <c r="K478">
        <f>H478*90</f>
        <v/>
      </c>
      <c r="M478">
        <f>L478/K478</f>
        <v/>
      </c>
    </row>
    <row r="479">
      <c r="A479" s="1" t="n">
        <v>478</v>
      </c>
      <c r="B479" s="2" t="inlineStr">
        <is>
          <t>Côte d'Ivoire</t>
        </is>
      </c>
      <c r="C479" s="2" t="inlineStr">
        <is>
          <t>Parfait Guiagon</t>
        </is>
      </c>
      <c r="D479" s="2" t="inlineStr">
        <is>
          <t>Avançado</t>
        </is>
      </c>
      <c r="E479" s="2" t="inlineStr">
        <is>
          <t>Charleroi</t>
        </is>
      </c>
      <c r="F479">
        <f>VLOOKUP(E479,Clubes!B$2:D$438,2)</f>
        <v/>
      </c>
      <c r="G479">
        <f>VLOOKUP(E479,Clubes!B$2:D$438,3)</f>
        <v/>
      </c>
      <c r="H479" s="2" t="n">
        <v>40</v>
      </c>
      <c r="J479">
        <f>I479/H479</f>
        <v/>
      </c>
      <c r="K479">
        <f>H479*90</f>
        <v/>
      </c>
      <c r="M479">
        <f>L479/K479</f>
        <v/>
      </c>
    </row>
    <row r="480">
      <c r="A480" s="1" t="n">
        <v>479</v>
      </c>
      <c r="B480" s="2" t="inlineStr">
        <is>
          <t>Croatia</t>
        </is>
      </c>
      <c r="C480" s="2" t="inlineStr">
        <is>
          <t>Dominik Livakovic</t>
        </is>
      </c>
      <c r="D480" s="2" t="inlineStr">
        <is>
          <t>Guarda Redes</t>
        </is>
      </c>
      <c r="E480" s="2" t="inlineStr">
        <is>
          <t>Dinamo Zagreb</t>
        </is>
      </c>
      <c r="F480">
        <f>VLOOKUP(E480,Clubes!B$2:D$438,2)</f>
        <v/>
      </c>
      <c r="G480">
        <f>VLOOKUP(E480,Clubes!B$2:D$438,3)</f>
        <v/>
      </c>
      <c r="H480" s="2" t="n">
        <v>36</v>
      </c>
      <c r="J480">
        <f>I480/H480</f>
        <v/>
      </c>
      <c r="K480">
        <f>H480*90</f>
        <v/>
      </c>
      <c r="M480">
        <f>L480/K480</f>
        <v/>
      </c>
    </row>
    <row r="481">
      <c r="A481" s="1" t="n">
        <v>480</v>
      </c>
      <c r="B481" s="2" t="inlineStr">
        <is>
          <t>Croatia</t>
        </is>
      </c>
      <c r="C481" s="2" t="inlineStr">
        <is>
          <t>Ivor Pandur</t>
        </is>
      </c>
      <c r="D481" s="2" t="inlineStr">
        <is>
          <t>Guarda Redes</t>
        </is>
      </c>
      <c r="E481" s="2" t="inlineStr">
        <is>
          <t>Hull City</t>
        </is>
      </c>
      <c r="F481">
        <f>VLOOKUP(E481,Clubes!B$2:D$438,2)</f>
        <v/>
      </c>
      <c r="G481">
        <f>VLOOKUP(E481,Clubes!B$2:D$438,3)</f>
        <v/>
      </c>
      <c r="H481" s="2" t="n">
        <v>46</v>
      </c>
      <c r="J481">
        <f>I481/H481</f>
        <v/>
      </c>
      <c r="K481">
        <f>H481*90</f>
        <v/>
      </c>
      <c r="M481">
        <f>L481/K481</f>
        <v/>
      </c>
    </row>
    <row r="482">
      <c r="A482" s="1" t="n">
        <v>481</v>
      </c>
      <c r="B482" s="2" t="inlineStr">
        <is>
          <t>Croatia</t>
        </is>
      </c>
      <c r="C482" s="2" t="inlineStr">
        <is>
          <t>Dominik Kotarski</t>
        </is>
      </c>
      <c r="D482" s="2" t="inlineStr">
        <is>
          <t>Guarda Redes</t>
        </is>
      </c>
      <c r="E482" s="2" t="inlineStr">
        <is>
          <t>FC Kobenhavn</t>
        </is>
      </c>
      <c r="F482">
        <f>VLOOKUP(E482,Clubes!B$2:D$438,2)</f>
        <v/>
      </c>
      <c r="G482">
        <f>VLOOKUP(E482,Clubes!B$2:D$438,3)</f>
        <v/>
      </c>
      <c r="H482" s="2" t="n">
        <v>32</v>
      </c>
      <c r="J482">
        <f>I482/H482</f>
        <v/>
      </c>
      <c r="K482">
        <f>H482*90</f>
        <v/>
      </c>
      <c r="M482">
        <f>L482/K482</f>
        <v/>
      </c>
    </row>
    <row r="483">
      <c r="A483" s="1" t="n">
        <v>482</v>
      </c>
      <c r="B483" s="2" t="inlineStr">
        <is>
          <t>Croatia</t>
        </is>
      </c>
      <c r="C483" s="2" t="inlineStr">
        <is>
          <t>Josip Stanisic</t>
        </is>
      </c>
      <c r="D483" s="2" t="inlineStr">
        <is>
          <t>Defesa</t>
        </is>
      </c>
      <c r="E483" s="2" t="inlineStr">
        <is>
          <t>Bayern München</t>
        </is>
      </c>
      <c r="F483">
        <f>VLOOKUP(E483,Clubes!B$2:D$438,2)</f>
        <v/>
      </c>
      <c r="G483">
        <f>VLOOKUP(E483,Clubes!B$2:D$438,3)</f>
        <v/>
      </c>
      <c r="H483" s="2" t="n">
        <v>34</v>
      </c>
      <c r="J483">
        <f>I483/H483</f>
        <v/>
      </c>
      <c r="K483">
        <f>H483*90</f>
        <v/>
      </c>
      <c r="M483">
        <f>L483/K483</f>
        <v/>
      </c>
    </row>
    <row r="484">
      <c r="A484" s="1" t="n">
        <v>483</v>
      </c>
      <c r="B484" s="2" t="inlineStr">
        <is>
          <t>Croatia</t>
        </is>
      </c>
      <c r="C484" s="2" t="inlineStr">
        <is>
          <t>Marin Pongracic</t>
        </is>
      </c>
      <c r="D484" s="2" t="inlineStr">
        <is>
          <t>Defesa</t>
        </is>
      </c>
      <c r="E484" s="2" t="inlineStr">
        <is>
          <t>Fiorentina</t>
        </is>
      </c>
      <c r="F484">
        <f>VLOOKUP(E484,Clubes!B$2:D$438,2)</f>
        <v/>
      </c>
      <c r="G484">
        <f>VLOOKUP(E484,Clubes!B$2:D$438,3)</f>
        <v/>
      </c>
      <c r="H484" s="2" t="n">
        <v>40</v>
      </c>
      <c r="J484">
        <f>I484/H484</f>
        <v/>
      </c>
      <c r="K484">
        <f>H484*90</f>
        <v/>
      </c>
      <c r="M484">
        <f>L484/K484</f>
        <v/>
      </c>
    </row>
    <row r="485">
      <c r="A485" s="1" t="n">
        <v>484</v>
      </c>
      <c r="B485" s="2" t="inlineStr">
        <is>
          <t>Croatia</t>
        </is>
      </c>
      <c r="C485" s="2" t="inlineStr">
        <is>
          <t>Josko Gvardiol</t>
        </is>
      </c>
      <c r="D485" s="2" t="inlineStr">
        <is>
          <t>Defesa</t>
        </is>
      </c>
      <c r="E485" s="2" t="inlineStr">
        <is>
          <t>Manchester City</t>
        </is>
      </c>
      <c r="F485">
        <f>VLOOKUP(E485,Clubes!B$2:D$438,2)</f>
        <v/>
      </c>
      <c r="G485">
        <f>VLOOKUP(E485,Clubes!B$2:D$438,3)</f>
        <v/>
      </c>
      <c r="H485" s="2" t="n">
        <v>38</v>
      </c>
      <c r="J485">
        <f>I485/H485</f>
        <v/>
      </c>
      <c r="K485">
        <f>H485*90</f>
        <v/>
      </c>
      <c r="M485">
        <f>L485/K485</f>
        <v/>
      </c>
    </row>
    <row r="486">
      <c r="A486" s="1" t="n">
        <v>485</v>
      </c>
      <c r="B486" s="2" t="inlineStr">
        <is>
          <t>Croatia</t>
        </is>
      </c>
      <c r="C486" s="2" t="inlineStr">
        <is>
          <t>Duje Caleta-Car</t>
        </is>
      </c>
      <c r="D486" s="2" t="inlineStr">
        <is>
          <t>Defesa</t>
        </is>
      </c>
      <c r="E486" s="2" t="inlineStr">
        <is>
          <t>Real Sociedad</t>
        </is>
      </c>
      <c r="F486">
        <f>VLOOKUP(E486,Clubes!B$2:D$438,2)</f>
        <v/>
      </c>
      <c r="G486">
        <f>VLOOKUP(E486,Clubes!B$2:D$438,3)</f>
        <v/>
      </c>
      <c r="H486" s="2" t="n">
        <v>38</v>
      </c>
      <c r="J486">
        <f>I486/H486</f>
        <v/>
      </c>
      <c r="K486">
        <f>H486*90</f>
        <v/>
      </c>
      <c r="M486">
        <f>L486/K486</f>
        <v/>
      </c>
    </row>
    <row r="487">
      <c r="A487" s="1" t="n">
        <v>486</v>
      </c>
      <c r="B487" s="2" t="inlineStr">
        <is>
          <t>Croatia</t>
        </is>
      </c>
      <c r="C487" s="2" t="inlineStr">
        <is>
          <t>Josip Sutalo</t>
        </is>
      </c>
      <c r="D487" s="2" t="inlineStr">
        <is>
          <t>Defesa</t>
        </is>
      </c>
      <c r="E487" s="2" t="inlineStr">
        <is>
          <t>Ajax</t>
        </is>
      </c>
      <c r="F487">
        <f>VLOOKUP(E487,Clubes!B$2:D$438,2)</f>
        <v/>
      </c>
      <c r="G487">
        <f>VLOOKUP(E487,Clubes!B$2:D$438,3)</f>
        <v/>
      </c>
      <c r="H487" s="2" t="n">
        <v>34</v>
      </c>
      <c r="J487">
        <f>I487/H487</f>
        <v/>
      </c>
      <c r="K487">
        <f>H487*90</f>
        <v/>
      </c>
      <c r="M487">
        <f>L487/K487</f>
        <v/>
      </c>
    </row>
    <row r="488">
      <c r="A488" s="1" t="n">
        <v>487</v>
      </c>
      <c r="B488" s="2" t="inlineStr">
        <is>
          <t>Croatia</t>
        </is>
      </c>
      <c r="C488" s="2" t="inlineStr">
        <is>
          <t>Luka Vuskovic</t>
        </is>
      </c>
      <c r="D488" s="2" t="inlineStr">
        <is>
          <t>Defesa</t>
        </is>
      </c>
      <c r="E488" s="2" t="inlineStr">
        <is>
          <t>Hamburger SV</t>
        </is>
      </c>
      <c r="F488">
        <f>VLOOKUP(E488,Clubes!B$2:D$438,2)</f>
        <v/>
      </c>
      <c r="G488">
        <f>VLOOKUP(E488,Clubes!B$2:D$438,3)</f>
        <v/>
      </c>
      <c r="H488" s="2" t="n">
        <v>34</v>
      </c>
      <c r="J488">
        <f>I488/H488</f>
        <v/>
      </c>
      <c r="K488">
        <f>H488*90</f>
        <v/>
      </c>
      <c r="M488">
        <f>L488/K488</f>
        <v/>
      </c>
    </row>
    <row r="489">
      <c r="A489" s="1" t="n">
        <v>488</v>
      </c>
      <c r="B489" s="2" t="inlineStr">
        <is>
          <t>Croatia</t>
        </is>
      </c>
      <c r="C489" s="2" t="inlineStr">
        <is>
          <t>Martin Erlic</t>
        </is>
      </c>
      <c r="D489" s="2" t="inlineStr">
        <is>
          <t>Defesa</t>
        </is>
      </c>
      <c r="E489" s="2" t="inlineStr">
        <is>
          <t>Midtjylland</t>
        </is>
      </c>
      <c r="F489">
        <f>VLOOKUP(E489,Clubes!B$2:D$438,2)</f>
        <v/>
      </c>
      <c r="G489">
        <f>VLOOKUP(E489,Clubes!B$2:D$438,3)</f>
        <v/>
      </c>
      <c r="H489" s="2" t="n">
        <v>32</v>
      </c>
      <c r="J489">
        <f>I489/H489</f>
        <v/>
      </c>
      <c r="K489">
        <f>H489*90</f>
        <v/>
      </c>
      <c r="M489">
        <f>L489/K489</f>
        <v/>
      </c>
    </row>
    <row r="490">
      <c r="A490" s="1" t="n">
        <v>489</v>
      </c>
      <c r="B490" s="2" t="inlineStr">
        <is>
          <t>Croatia</t>
        </is>
      </c>
      <c r="C490" s="2" t="inlineStr">
        <is>
          <t>Nikola Moro</t>
        </is>
      </c>
      <c r="D490" s="2" t="inlineStr">
        <is>
          <t>Médio</t>
        </is>
      </c>
      <c r="E490" s="2" t="inlineStr">
        <is>
          <t>Bologna</t>
        </is>
      </c>
      <c r="F490">
        <f>VLOOKUP(E490,Clubes!B$2:D$438,2)</f>
        <v/>
      </c>
      <c r="G490">
        <f>VLOOKUP(E490,Clubes!B$2:D$438,3)</f>
        <v/>
      </c>
      <c r="H490" s="2" t="n">
        <v>38</v>
      </c>
      <c r="J490">
        <f>I490/H490</f>
        <v/>
      </c>
      <c r="K490">
        <f>H490*90</f>
        <v/>
      </c>
      <c r="M490">
        <f>L490/K490</f>
        <v/>
      </c>
    </row>
    <row r="491">
      <c r="A491" s="1" t="n">
        <v>490</v>
      </c>
      <c r="B491" s="2" t="inlineStr">
        <is>
          <t>Croatia</t>
        </is>
      </c>
      <c r="C491" s="2" t="inlineStr">
        <is>
          <t>Mateo Kovacic</t>
        </is>
      </c>
      <c r="D491" s="2" t="inlineStr">
        <is>
          <t>Médio</t>
        </is>
      </c>
      <c r="E491" s="2" t="inlineStr">
        <is>
          <t>Manchester City</t>
        </is>
      </c>
      <c r="F491">
        <f>VLOOKUP(E491,Clubes!B$2:D$438,2)</f>
        <v/>
      </c>
      <c r="G491">
        <f>VLOOKUP(E491,Clubes!B$2:D$438,3)</f>
        <v/>
      </c>
      <c r="H491" s="2" t="n">
        <v>38</v>
      </c>
      <c r="J491">
        <f>I491/H491</f>
        <v/>
      </c>
      <c r="K491">
        <f>H491*90</f>
        <v/>
      </c>
      <c r="M491">
        <f>L491/K491</f>
        <v/>
      </c>
    </row>
    <row r="492">
      <c r="A492" s="1" t="n">
        <v>491</v>
      </c>
      <c r="B492" s="2" t="inlineStr">
        <is>
          <t>Croatia</t>
        </is>
      </c>
      <c r="C492" s="2" t="inlineStr">
        <is>
          <t>Luka Modrić</t>
        </is>
      </c>
      <c r="D492" s="2" t="inlineStr">
        <is>
          <t>Médio</t>
        </is>
      </c>
      <c r="E492" s="2" t="inlineStr">
        <is>
          <t>Milan</t>
        </is>
      </c>
      <c r="F492">
        <f>VLOOKUP(E492,Clubes!B$2:D$438,2)</f>
        <v/>
      </c>
      <c r="G492">
        <f>VLOOKUP(E492,Clubes!B$2:D$438,3)</f>
        <v/>
      </c>
      <c r="H492" s="2" t="n">
        <v>38</v>
      </c>
      <c r="J492">
        <f>I492/H492</f>
        <v/>
      </c>
      <c r="K492">
        <f>H492*90</f>
        <v/>
      </c>
      <c r="M492">
        <f>L492/K492</f>
        <v/>
      </c>
    </row>
    <row r="493">
      <c r="A493" s="1" t="n">
        <v>492</v>
      </c>
      <c r="B493" s="2" t="inlineStr">
        <is>
          <t>Croatia</t>
        </is>
      </c>
      <c r="C493" s="2" t="inlineStr">
        <is>
          <t>Nikola Vlasic</t>
        </is>
      </c>
      <c r="D493" s="2" t="inlineStr">
        <is>
          <t>Médio</t>
        </is>
      </c>
      <c r="E493" s="2" t="inlineStr">
        <is>
          <t>Torino</t>
        </is>
      </c>
      <c r="F493">
        <f>VLOOKUP(E493,Clubes!B$2:D$438,2)</f>
        <v/>
      </c>
      <c r="G493">
        <f>VLOOKUP(E493,Clubes!B$2:D$438,3)</f>
        <v/>
      </c>
      <c r="H493" s="2" t="n">
        <v>38</v>
      </c>
      <c r="J493">
        <f>I493/H493</f>
        <v/>
      </c>
      <c r="K493">
        <f>H493*90</f>
        <v/>
      </c>
      <c r="M493">
        <f>L493/K493</f>
        <v/>
      </c>
    </row>
    <row r="494">
      <c r="A494" s="1" t="n">
        <v>493</v>
      </c>
      <c r="B494" s="2" t="inlineStr">
        <is>
          <t>Croatia</t>
        </is>
      </c>
      <c r="C494" s="2" t="inlineStr">
        <is>
          <t>Mario Pasalic</t>
        </is>
      </c>
      <c r="D494" s="2" t="inlineStr">
        <is>
          <t>Médio</t>
        </is>
      </c>
      <c r="E494" s="2" t="inlineStr">
        <is>
          <t>Atalanta</t>
        </is>
      </c>
      <c r="F494">
        <f>VLOOKUP(E494,Clubes!B$2:D$438,2)</f>
        <v/>
      </c>
      <c r="G494">
        <f>VLOOKUP(E494,Clubes!B$2:D$438,3)</f>
        <v/>
      </c>
      <c r="H494" s="2" t="n">
        <v>38</v>
      </c>
      <c r="J494">
        <f>I494/H494</f>
        <v/>
      </c>
      <c r="K494">
        <f>H494*90</f>
        <v/>
      </c>
      <c r="M494">
        <f>L494/K494</f>
        <v/>
      </c>
    </row>
    <row r="495">
      <c r="A495" s="1" t="n">
        <v>494</v>
      </c>
      <c r="B495" s="2" t="inlineStr">
        <is>
          <t>Croatia</t>
        </is>
      </c>
      <c r="C495" s="2" t="inlineStr">
        <is>
          <t>Martin Baturina</t>
        </is>
      </c>
      <c r="D495" s="2" t="inlineStr">
        <is>
          <t>Médio</t>
        </is>
      </c>
      <c r="E495" s="2" t="inlineStr">
        <is>
          <t>Como 1907</t>
        </is>
      </c>
      <c r="F495">
        <f>VLOOKUP(E495,Clubes!B$2:D$438,2)</f>
        <v/>
      </c>
      <c r="G495">
        <f>VLOOKUP(E495,Clubes!B$2:D$438,3)</f>
        <v/>
      </c>
      <c r="H495" s="2" t="n">
        <v>38</v>
      </c>
      <c r="J495">
        <f>I495/H495</f>
        <v/>
      </c>
      <c r="K495">
        <f>H495*90</f>
        <v/>
      </c>
      <c r="M495">
        <f>L495/K495</f>
        <v/>
      </c>
    </row>
    <row r="496">
      <c r="A496" s="1" t="n">
        <v>495</v>
      </c>
      <c r="B496" s="2" t="inlineStr">
        <is>
          <t>Croatia</t>
        </is>
      </c>
      <c r="C496" s="2" t="inlineStr">
        <is>
          <t>Petar Sucic</t>
        </is>
      </c>
      <c r="D496" s="2" t="inlineStr">
        <is>
          <t>Médio</t>
        </is>
      </c>
      <c r="E496" s="2" t="inlineStr">
        <is>
          <t>Internazionale</t>
        </is>
      </c>
      <c r="F496">
        <f>VLOOKUP(E496,Clubes!B$2:D$438,2)</f>
        <v/>
      </c>
      <c r="G496">
        <f>VLOOKUP(E496,Clubes!B$2:D$438,3)</f>
        <v/>
      </c>
      <c r="H496" s="2" t="n">
        <v>38</v>
      </c>
      <c r="J496">
        <f>I496/H496</f>
        <v/>
      </c>
      <c r="K496">
        <f>H496*90</f>
        <v/>
      </c>
      <c r="M496">
        <f>L496/K496</f>
        <v/>
      </c>
    </row>
    <row r="497">
      <c r="A497" s="1" t="n">
        <v>496</v>
      </c>
      <c r="B497" s="2" t="inlineStr">
        <is>
          <t>Croatia</t>
        </is>
      </c>
      <c r="C497" s="2" t="inlineStr">
        <is>
          <t>Kristijan Jakic</t>
        </is>
      </c>
      <c r="D497" s="2" t="inlineStr">
        <is>
          <t>Médio</t>
        </is>
      </c>
      <c r="E497" s="2" t="inlineStr">
        <is>
          <t>FC Augsburg</t>
        </is>
      </c>
      <c r="F497">
        <f>VLOOKUP(E497,Clubes!B$2:D$438,2)</f>
        <v/>
      </c>
      <c r="G497">
        <f>VLOOKUP(E497,Clubes!B$2:D$438,3)</f>
        <v/>
      </c>
      <c r="H497" s="2" t="n">
        <v>34</v>
      </c>
      <c r="J497">
        <f>I497/H497</f>
        <v/>
      </c>
      <c r="K497">
        <f>H497*90</f>
        <v/>
      </c>
      <c r="M497">
        <f>L497/K497</f>
        <v/>
      </c>
    </row>
    <row r="498">
      <c r="A498" s="1" t="n">
        <v>497</v>
      </c>
      <c r="B498" s="2" t="inlineStr">
        <is>
          <t>Croatia</t>
        </is>
      </c>
      <c r="C498" s="2" t="inlineStr">
        <is>
          <t>Luka Sucic</t>
        </is>
      </c>
      <c r="D498" s="2" t="inlineStr">
        <is>
          <t>Médio</t>
        </is>
      </c>
      <c r="E498" s="2" t="inlineStr">
        <is>
          <t>Real Sociedad</t>
        </is>
      </c>
      <c r="F498">
        <f>VLOOKUP(E498,Clubes!B$2:D$438,2)</f>
        <v/>
      </c>
      <c r="G498">
        <f>VLOOKUP(E498,Clubes!B$2:D$438,3)</f>
        <v/>
      </c>
      <c r="H498" s="2" t="n">
        <v>38</v>
      </c>
      <c r="J498">
        <f>I498/H498</f>
        <v/>
      </c>
      <c r="K498">
        <f>H498*90</f>
        <v/>
      </c>
      <c r="M498">
        <f>L498/K498</f>
        <v/>
      </c>
    </row>
    <row r="499">
      <c r="A499" s="1" t="n">
        <v>498</v>
      </c>
      <c r="B499" s="2" t="inlineStr">
        <is>
          <t>Croatia</t>
        </is>
      </c>
      <c r="C499" s="2" t="inlineStr">
        <is>
          <t>Andrej Kramaric</t>
        </is>
      </c>
      <c r="D499" s="2" t="inlineStr">
        <is>
          <t>Avançado</t>
        </is>
      </c>
      <c r="E499" s="2" t="inlineStr">
        <is>
          <t>TSG Hoffenheim</t>
        </is>
      </c>
      <c r="F499">
        <f>VLOOKUP(E499,Clubes!B$2:D$438,2)</f>
        <v/>
      </c>
      <c r="G499">
        <f>VLOOKUP(E499,Clubes!B$2:D$438,3)</f>
        <v/>
      </c>
      <c r="H499" s="2" t="n">
        <v>30</v>
      </c>
      <c r="J499">
        <f>I499/H499</f>
        <v/>
      </c>
      <c r="K499">
        <f>H499*90</f>
        <v/>
      </c>
      <c r="M499">
        <f>L499/K499</f>
        <v/>
      </c>
    </row>
    <row r="500">
      <c r="A500" s="1" t="n">
        <v>499</v>
      </c>
      <c r="B500" s="2" t="inlineStr">
        <is>
          <t>Croatia</t>
        </is>
      </c>
      <c r="C500" s="2" t="inlineStr">
        <is>
          <t>Ante Budimir</t>
        </is>
      </c>
      <c r="D500" s="2" t="inlineStr">
        <is>
          <t>Avançado</t>
        </is>
      </c>
      <c r="E500" s="2" t="inlineStr">
        <is>
          <t>Osasuna</t>
        </is>
      </c>
      <c r="F500">
        <f>VLOOKUP(E500,Clubes!B$2:D$438,2)</f>
        <v/>
      </c>
      <c r="G500">
        <f>VLOOKUP(E500,Clubes!B$2:D$438,3)</f>
        <v/>
      </c>
      <c r="H500" s="2" t="n">
        <v>38</v>
      </c>
      <c r="J500">
        <f>I500/H500</f>
        <v/>
      </c>
      <c r="K500">
        <f>H500*90</f>
        <v/>
      </c>
      <c r="M500">
        <f>L500/K500</f>
        <v/>
      </c>
    </row>
    <row r="501">
      <c r="A501" s="1" t="n">
        <v>500</v>
      </c>
      <c r="B501" s="2" t="inlineStr">
        <is>
          <t>Croatia</t>
        </is>
      </c>
      <c r="C501" s="2" t="inlineStr">
        <is>
          <t>Ivan Perisic</t>
        </is>
      </c>
      <c r="D501" s="2" t="inlineStr">
        <is>
          <t>Avançado</t>
        </is>
      </c>
      <c r="E501" s="2" t="inlineStr">
        <is>
          <t>PSV</t>
        </is>
      </c>
      <c r="F501">
        <f>VLOOKUP(E501,Clubes!B$2:D$438,2)</f>
        <v/>
      </c>
      <c r="G501">
        <f>VLOOKUP(E501,Clubes!B$2:D$438,3)</f>
        <v/>
      </c>
      <c r="H501" s="2" t="n">
        <v>46</v>
      </c>
      <c r="J501">
        <f>I501/H501</f>
        <v/>
      </c>
      <c r="K501">
        <f>H501*90</f>
        <v/>
      </c>
      <c r="M501">
        <f>L501/K501</f>
        <v/>
      </c>
    </row>
    <row r="502">
      <c r="A502" s="1" t="n">
        <v>501</v>
      </c>
      <c r="B502" s="2" t="inlineStr">
        <is>
          <t>Croatia</t>
        </is>
      </c>
      <c r="C502" s="2" t="inlineStr">
        <is>
          <t>Toni Fruk</t>
        </is>
      </c>
      <c r="D502" s="2" t="inlineStr">
        <is>
          <t>Avançado</t>
        </is>
      </c>
      <c r="E502" s="2" t="inlineStr">
        <is>
          <t>HNK Rijeka</t>
        </is>
      </c>
      <c r="F502">
        <f>VLOOKUP(E502,Clubes!B$2:D$438,2)</f>
        <v/>
      </c>
      <c r="G502">
        <f>VLOOKUP(E502,Clubes!B$2:D$438,3)</f>
        <v/>
      </c>
      <c r="H502" s="2" t="n">
        <v>38</v>
      </c>
      <c r="J502">
        <f>I502/H502</f>
        <v/>
      </c>
      <c r="K502">
        <f>H502*90</f>
        <v/>
      </c>
      <c r="M502">
        <f>L502/K502</f>
        <v/>
      </c>
    </row>
    <row r="503">
      <c r="A503" s="1" t="n">
        <v>502</v>
      </c>
      <c r="B503" s="2" t="inlineStr">
        <is>
          <t>Croatia</t>
        </is>
      </c>
      <c r="C503" s="2" t="inlineStr">
        <is>
          <t>Igor Matanovic</t>
        </is>
      </c>
      <c r="D503" s="2" t="inlineStr">
        <is>
          <t>Avançado</t>
        </is>
      </c>
      <c r="E503" s="2" t="inlineStr">
        <is>
          <t>SC Freiburg</t>
        </is>
      </c>
      <c r="F503">
        <f>VLOOKUP(E503,Clubes!B$2:D$438,2)</f>
        <v/>
      </c>
      <c r="G503">
        <f>VLOOKUP(E503,Clubes!B$2:D$438,3)</f>
        <v/>
      </c>
      <c r="H503" s="2" t="n">
        <v>38</v>
      </c>
      <c r="J503">
        <f>I503/H503</f>
        <v/>
      </c>
      <c r="K503">
        <f>H503*90</f>
        <v/>
      </c>
      <c r="M503">
        <f>L503/K503</f>
        <v/>
      </c>
    </row>
    <row r="504">
      <c r="A504" s="1" t="n">
        <v>503</v>
      </c>
      <c r="B504" s="2" t="inlineStr">
        <is>
          <t>Croatia</t>
        </is>
      </c>
      <c r="C504" s="2" t="inlineStr">
        <is>
          <t>Marco Pasalic</t>
        </is>
      </c>
      <c r="D504" s="2" t="inlineStr">
        <is>
          <t>Avançado</t>
        </is>
      </c>
      <c r="E504" s="2" t="inlineStr">
        <is>
          <t>Orlando City</t>
        </is>
      </c>
      <c r="F504">
        <f>VLOOKUP(E504,Clubes!B$2:D$438,2)</f>
        <v/>
      </c>
      <c r="G504">
        <f>VLOOKUP(E504,Clubes!B$2:D$438,3)</f>
        <v/>
      </c>
      <c r="H504" s="2" t="n">
        <v>34</v>
      </c>
      <c r="J504">
        <f>I504/H504</f>
        <v/>
      </c>
      <c r="K504">
        <f>H504*90</f>
        <v/>
      </c>
      <c r="M504">
        <f>L504/K504</f>
        <v/>
      </c>
    </row>
    <row r="505">
      <c r="A505" s="1" t="n">
        <v>504</v>
      </c>
      <c r="B505" s="2" t="inlineStr">
        <is>
          <t>Croatia</t>
        </is>
      </c>
      <c r="C505" s="2" t="inlineStr">
        <is>
          <t>Petar Musa</t>
        </is>
      </c>
      <c r="D505" s="2" t="inlineStr">
        <is>
          <t>Avançado</t>
        </is>
      </c>
      <c r="E505" s="2" t="inlineStr">
        <is>
          <t>FC Dallas</t>
        </is>
      </c>
      <c r="F505">
        <f>VLOOKUP(E505,Clubes!B$2:D$438,2)</f>
        <v/>
      </c>
      <c r="G505">
        <f>VLOOKUP(E505,Clubes!B$2:D$438,3)</f>
        <v/>
      </c>
      <c r="H505" s="2" t="n">
        <v>34</v>
      </c>
      <c r="J505">
        <f>I505/H505</f>
        <v/>
      </c>
      <c r="K505">
        <f>H505*90</f>
        <v/>
      </c>
      <c r="M505">
        <f>L505/K505</f>
        <v/>
      </c>
    </row>
    <row r="506">
      <c r="A506" s="1" t="n">
        <v>505</v>
      </c>
      <c r="B506" s="2" t="inlineStr">
        <is>
          <t>Curaçao</t>
        </is>
      </c>
      <c r="C506" s="2" t="inlineStr">
        <is>
          <t>Eloy Room</t>
        </is>
      </c>
      <c r="D506" s="2" t="inlineStr">
        <is>
          <t>Guarda Redes</t>
        </is>
      </c>
      <c r="E506" s="2" t="inlineStr">
        <is>
          <t>Miami FC</t>
        </is>
      </c>
      <c r="F506">
        <f>VLOOKUP(E506,Clubes!B$2:D$438,2)</f>
        <v/>
      </c>
      <c r="G506">
        <f>VLOOKUP(E506,Clubes!B$2:D$438,3)</f>
        <v/>
      </c>
      <c r="H506" s="2" t="n">
        <v>30</v>
      </c>
      <c r="J506">
        <f>I506/H506</f>
        <v/>
      </c>
      <c r="K506">
        <f>H506*90</f>
        <v/>
      </c>
      <c r="M506">
        <f>L506/K506</f>
        <v/>
      </c>
    </row>
    <row r="507">
      <c r="A507" s="1" t="n">
        <v>506</v>
      </c>
      <c r="B507" s="2" t="inlineStr">
        <is>
          <t>Curaçao</t>
        </is>
      </c>
      <c r="C507" s="2" t="inlineStr">
        <is>
          <t>Tyrick Bodak</t>
        </is>
      </c>
      <c r="D507" s="2" t="inlineStr">
        <is>
          <t>Guarda Redes</t>
        </is>
      </c>
      <c r="E507" s="2" t="inlineStr">
        <is>
          <t>Telstar</t>
        </is>
      </c>
      <c r="F507">
        <f>VLOOKUP(E507,Clubes!B$2:D$438,2)</f>
        <v/>
      </c>
      <c r="G507">
        <f>VLOOKUP(E507,Clubes!B$2:D$438,3)</f>
        <v/>
      </c>
      <c r="H507" s="2" t="n">
        <v>38</v>
      </c>
      <c r="J507">
        <f>I507/H507</f>
        <v/>
      </c>
      <c r="K507">
        <f>H507*90</f>
        <v/>
      </c>
      <c r="M507">
        <f>L507/K507</f>
        <v/>
      </c>
    </row>
    <row r="508">
      <c r="A508" s="1" t="n">
        <v>507</v>
      </c>
      <c r="B508" s="2" t="inlineStr">
        <is>
          <t>Curaçao</t>
        </is>
      </c>
      <c r="C508" s="2" t="inlineStr">
        <is>
          <t>Trevor Doornbusch</t>
        </is>
      </c>
      <c r="D508" s="2" t="inlineStr">
        <is>
          <t>Guarda Redes</t>
        </is>
      </c>
      <c r="E508" s="2" t="inlineStr">
        <is>
          <t>VVV-Venlo</t>
        </is>
      </c>
      <c r="F508">
        <f>VLOOKUP(E508,Clubes!B$2:D$438,2)</f>
        <v/>
      </c>
      <c r="G508">
        <f>VLOOKUP(E508,Clubes!B$2:D$438,3)</f>
        <v/>
      </c>
      <c r="H508" s="2" t="n">
        <v>32</v>
      </c>
      <c r="J508">
        <f>I508/H508</f>
        <v/>
      </c>
      <c r="K508">
        <f>H508*90</f>
        <v/>
      </c>
      <c r="M508">
        <f>L508/K508</f>
        <v/>
      </c>
    </row>
    <row r="509">
      <c r="A509" s="1" t="n">
        <v>508</v>
      </c>
      <c r="B509" s="2" t="inlineStr">
        <is>
          <t>Curaçao</t>
        </is>
      </c>
      <c r="C509" s="2" t="inlineStr">
        <is>
          <t>Shurandy Sambo</t>
        </is>
      </c>
      <c r="D509" s="2" t="inlineStr">
        <is>
          <t>Defesa</t>
        </is>
      </c>
      <c r="E509" s="2" t="inlineStr">
        <is>
          <t>Sparta Rotterdam</t>
        </is>
      </c>
      <c r="F509">
        <f>VLOOKUP(E509,Clubes!B$2:D$438,2)</f>
        <v/>
      </c>
      <c r="G509">
        <f>VLOOKUP(E509,Clubes!B$2:D$438,3)</f>
        <v/>
      </c>
      <c r="H509" s="2" t="n">
        <v>34</v>
      </c>
      <c r="J509">
        <f>I509/H509</f>
        <v/>
      </c>
      <c r="K509">
        <f>H509*90</f>
        <v/>
      </c>
      <c r="M509">
        <f>L509/K509</f>
        <v/>
      </c>
    </row>
    <row r="510">
      <c r="A510" s="1" t="n">
        <v>509</v>
      </c>
      <c r="B510" s="2" t="inlineStr">
        <is>
          <t>Curaçao</t>
        </is>
      </c>
      <c r="C510" s="2" t="inlineStr">
        <is>
          <t>Jurien Gaari</t>
        </is>
      </c>
      <c r="D510" s="2" t="inlineStr">
        <is>
          <t>Defesa</t>
        </is>
      </c>
      <c r="E510" s="2" t="inlineStr">
        <is>
          <t>Abha Club</t>
        </is>
      </c>
      <c r="F510">
        <f>VLOOKUP(E510,Clubes!B$2:D$438,2)</f>
        <v/>
      </c>
      <c r="G510">
        <f>VLOOKUP(E510,Clubes!B$2:D$438,3)</f>
        <v/>
      </c>
      <c r="H510" s="2" t="n">
        <v>34</v>
      </c>
      <c r="J510">
        <f>I510/H510</f>
        <v/>
      </c>
      <c r="K510">
        <f>H510*90</f>
        <v/>
      </c>
      <c r="M510">
        <f>L510/K510</f>
        <v/>
      </c>
    </row>
    <row r="511">
      <c r="A511" s="1" t="n">
        <v>510</v>
      </c>
      <c r="B511" s="2" t="inlineStr">
        <is>
          <t>Curaçao</t>
        </is>
      </c>
      <c r="C511" s="2" t="inlineStr">
        <is>
          <t>Roshon van Eijma</t>
        </is>
      </c>
      <c r="D511" s="2" t="inlineStr">
        <is>
          <t>Defesa</t>
        </is>
      </c>
      <c r="E511" s="2" t="inlineStr">
        <is>
          <t>RKC Waalwijk</t>
        </is>
      </c>
      <c r="F511">
        <f>VLOOKUP(E511,Clubes!B$2:D$438,2)</f>
        <v/>
      </c>
      <c r="G511">
        <f>VLOOKUP(E511,Clubes!B$2:D$438,3)</f>
        <v/>
      </c>
      <c r="H511" s="2" t="n">
        <v>32</v>
      </c>
      <c r="J511">
        <f>I511/H511</f>
        <v/>
      </c>
      <c r="K511">
        <f>H511*90</f>
        <v/>
      </c>
      <c r="M511">
        <f>L511/K511</f>
        <v/>
      </c>
    </row>
    <row r="512">
      <c r="A512" s="1" t="n">
        <v>511</v>
      </c>
      <c r="B512" s="2" t="inlineStr">
        <is>
          <t>Curaçao</t>
        </is>
      </c>
      <c r="C512" s="2" t="inlineStr">
        <is>
          <t>Sherell Floranus</t>
        </is>
      </c>
      <c r="D512" s="2" t="inlineStr">
        <is>
          <t>Defesa</t>
        </is>
      </c>
      <c r="E512" s="2" t="inlineStr">
        <is>
          <t>Zwolle</t>
        </is>
      </c>
      <c r="F512">
        <f>VLOOKUP(E512,Clubes!B$2:D$438,2)</f>
        <v/>
      </c>
      <c r="G512">
        <f>VLOOKUP(E512,Clubes!B$2:D$438,3)</f>
        <v/>
      </c>
      <c r="H512" s="2" t="n">
        <v>34</v>
      </c>
      <c r="J512">
        <f>I512/H512</f>
        <v/>
      </c>
      <c r="K512">
        <f>H512*90</f>
        <v/>
      </c>
      <c r="M512">
        <f>L512/K512</f>
        <v/>
      </c>
    </row>
    <row r="513">
      <c r="A513" s="1" t="n">
        <v>512</v>
      </c>
      <c r="B513" s="2" t="inlineStr">
        <is>
          <t>Curaçao</t>
        </is>
      </c>
      <c r="C513" s="2" t="inlineStr">
        <is>
          <t>Ar’jany Martha</t>
        </is>
      </c>
      <c r="D513" s="2" t="inlineStr">
        <is>
          <t>Defesa</t>
        </is>
      </c>
      <c r="E513" s="2" t="inlineStr">
        <is>
          <t>Rotherham</t>
        </is>
      </c>
      <c r="F513">
        <f>VLOOKUP(E513,Clubes!B$2:D$438,2)</f>
        <v/>
      </c>
      <c r="G513">
        <f>VLOOKUP(E513,Clubes!B$2:D$438,3)</f>
        <v/>
      </c>
      <c r="H513" s="2" t="n">
        <v>46</v>
      </c>
      <c r="J513">
        <f>I513/H513</f>
        <v/>
      </c>
      <c r="K513">
        <f>H513*90</f>
        <v/>
      </c>
      <c r="M513">
        <f>L513/K513</f>
        <v/>
      </c>
    </row>
    <row r="514">
      <c r="A514" s="1" t="n">
        <v>513</v>
      </c>
      <c r="B514" s="2" t="inlineStr">
        <is>
          <t>Curaçao</t>
        </is>
      </c>
      <c r="C514" s="2" t="inlineStr">
        <is>
          <t>Armando Obispo</t>
        </is>
      </c>
      <c r="D514" s="2" t="inlineStr">
        <is>
          <t>Defesa</t>
        </is>
      </c>
      <c r="E514" s="2" t="inlineStr">
        <is>
          <t>PSV</t>
        </is>
      </c>
      <c r="F514">
        <f>VLOOKUP(E514,Clubes!B$2:D$438,2)</f>
        <v/>
      </c>
      <c r="G514">
        <f>VLOOKUP(E514,Clubes!B$2:D$438,3)</f>
        <v/>
      </c>
      <c r="H514" s="2" t="n">
        <v>46</v>
      </c>
      <c r="J514">
        <f>I514/H514</f>
        <v/>
      </c>
      <c r="K514">
        <f>H514*90</f>
        <v/>
      </c>
      <c r="M514">
        <f>L514/K514</f>
        <v/>
      </c>
    </row>
    <row r="515">
      <c r="A515" s="1" t="n">
        <v>514</v>
      </c>
      <c r="B515" s="2" t="inlineStr">
        <is>
          <t>Curaçao</t>
        </is>
      </c>
      <c r="C515" s="2" t="inlineStr">
        <is>
          <t>Joshua Brenet</t>
        </is>
      </c>
      <c r="D515" s="2" t="inlineStr">
        <is>
          <t>Defesa</t>
        </is>
      </c>
      <c r="E515" s="2" t="inlineStr">
        <is>
          <t>Kayserispor</t>
        </is>
      </c>
      <c r="F515">
        <f>VLOOKUP(E515,Clubes!B$2:D$438,2)</f>
        <v/>
      </c>
      <c r="G515">
        <f>VLOOKUP(E515,Clubes!B$2:D$438,3)</f>
        <v/>
      </c>
      <c r="H515" s="2" t="n">
        <v>34</v>
      </c>
      <c r="J515">
        <f>I515/H515</f>
        <v/>
      </c>
      <c r="K515">
        <f>H515*90</f>
        <v/>
      </c>
      <c r="M515">
        <f>L515/K515</f>
        <v/>
      </c>
    </row>
    <row r="516">
      <c r="A516" s="1" t="n">
        <v>515</v>
      </c>
      <c r="B516" s="2" t="inlineStr">
        <is>
          <t>Curaçao</t>
        </is>
      </c>
      <c r="C516" s="2" t="inlineStr">
        <is>
          <t>Riechedly Bazoer</t>
        </is>
      </c>
      <c r="D516" s="2" t="inlineStr">
        <is>
          <t>Defesa</t>
        </is>
      </c>
      <c r="E516" s="2" t="inlineStr">
        <is>
          <t>Konyaspor</t>
        </is>
      </c>
      <c r="F516">
        <f>VLOOKUP(E516,Clubes!B$2:D$438,2)</f>
        <v/>
      </c>
      <c r="G516">
        <f>VLOOKUP(E516,Clubes!B$2:D$438,3)</f>
        <v/>
      </c>
      <c r="H516" s="2" t="n">
        <v>34</v>
      </c>
      <c r="J516">
        <f>I516/H516</f>
        <v/>
      </c>
      <c r="K516">
        <f>H516*90</f>
        <v/>
      </c>
      <c r="M516">
        <f>L516/K516</f>
        <v/>
      </c>
    </row>
    <row r="517">
      <c r="A517" s="1" t="n">
        <v>516</v>
      </c>
      <c r="B517" s="2" t="inlineStr">
        <is>
          <t>Curaçao</t>
        </is>
      </c>
      <c r="C517" s="2" t="inlineStr">
        <is>
          <t>Deveron Fonville</t>
        </is>
      </c>
      <c r="D517" s="2" t="inlineStr">
        <is>
          <t>Defesa</t>
        </is>
      </c>
      <c r="E517" s="2" t="inlineStr">
        <is>
          <t>NEC</t>
        </is>
      </c>
      <c r="F517">
        <f>VLOOKUP(E517,Clubes!B$2:D$438,2)</f>
        <v/>
      </c>
      <c r="G517">
        <f>VLOOKUP(E517,Clubes!B$2:D$438,3)</f>
        <v/>
      </c>
      <c r="H517" s="2" t="n">
        <v>26</v>
      </c>
      <c r="J517">
        <f>I517/H517</f>
        <v/>
      </c>
      <c r="K517">
        <f>H517*90</f>
        <v/>
      </c>
      <c r="M517">
        <f>L517/K517</f>
        <v/>
      </c>
    </row>
    <row r="518">
      <c r="A518" s="1" t="n">
        <v>517</v>
      </c>
      <c r="B518" s="2" t="inlineStr">
        <is>
          <t>Curaçao</t>
        </is>
      </c>
      <c r="C518" s="2" t="inlineStr">
        <is>
          <t>Godfried Roemeratoe</t>
        </is>
      </c>
      <c r="D518" s="2" t="inlineStr">
        <is>
          <t>Médio</t>
        </is>
      </c>
      <c r="E518" s="2" t="inlineStr">
        <is>
          <t>RKC Waalwijk</t>
        </is>
      </c>
      <c r="F518">
        <f>VLOOKUP(E518,Clubes!B$2:D$438,2)</f>
        <v/>
      </c>
      <c r="G518">
        <f>VLOOKUP(E518,Clubes!B$2:D$438,3)</f>
        <v/>
      </c>
      <c r="H518" s="2" t="n">
        <v>32</v>
      </c>
      <c r="J518">
        <f>I518/H518</f>
        <v/>
      </c>
      <c r="K518">
        <f>H518*90</f>
        <v/>
      </c>
      <c r="M518">
        <f>L518/K518</f>
        <v/>
      </c>
    </row>
    <row r="519">
      <c r="A519" s="1" t="n">
        <v>518</v>
      </c>
      <c r="B519" s="2" t="inlineStr">
        <is>
          <t>Curaçao</t>
        </is>
      </c>
      <c r="C519" s="2" t="inlineStr">
        <is>
          <t>Juninho Bacuna</t>
        </is>
      </c>
      <c r="D519" s="2" t="inlineStr">
        <is>
          <t>Médio</t>
        </is>
      </c>
      <c r="E519" s="2" t="inlineStr">
        <is>
          <t>FC Volendam</t>
        </is>
      </c>
      <c r="F519">
        <f>VLOOKUP(E519,Clubes!B$2:D$438,2)</f>
        <v/>
      </c>
      <c r="G519">
        <f>VLOOKUP(E519,Clubes!B$2:D$438,3)</f>
        <v/>
      </c>
      <c r="H519" s="2" t="n">
        <v>34</v>
      </c>
      <c r="J519">
        <f>I519/H519</f>
        <v/>
      </c>
      <c r="K519">
        <f>H519*90</f>
        <v/>
      </c>
      <c r="M519">
        <f>L519/K519</f>
        <v/>
      </c>
    </row>
    <row r="520">
      <c r="A520" s="1" t="n">
        <v>519</v>
      </c>
      <c r="B520" s="2" t="inlineStr">
        <is>
          <t>Curaçao</t>
        </is>
      </c>
      <c r="C520" s="2" t="inlineStr">
        <is>
          <t>Livano Comenencia</t>
        </is>
      </c>
      <c r="D520" s="2" t="inlineStr">
        <is>
          <t>Médio</t>
        </is>
      </c>
      <c r="E520" s="2" t="inlineStr">
        <is>
          <t>FC Zurich</t>
        </is>
      </c>
      <c r="F520">
        <f>VLOOKUP(E520,Clubes!B$2:D$438,2)</f>
        <v/>
      </c>
      <c r="G520">
        <f>VLOOKUP(E520,Clubes!B$2:D$438,3)</f>
        <v/>
      </c>
      <c r="H520" s="2" t="n">
        <v>38</v>
      </c>
      <c r="J520">
        <f>I520/H520</f>
        <v/>
      </c>
      <c r="K520">
        <f>H520*90</f>
        <v/>
      </c>
      <c r="M520">
        <f>L520/K520</f>
        <v/>
      </c>
    </row>
    <row r="521">
      <c r="A521" s="1" t="n">
        <v>520</v>
      </c>
      <c r="B521" s="2" t="inlineStr">
        <is>
          <t>Curaçao</t>
        </is>
      </c>
      <c r="C521" s="2" t="inlineStr">
        <is>
          <t>Leandro Bacuna</t>
        </is>
      </c>
      <c r="D521" s="2" t="inlineStr">
        <is>
          <t>Médio</t>
        </is>
      </c>
      <c r="E521" s="2" t="inlineStr">
        <is>
          <t>Igdir FK</t>
        </is>
      </c>
      <c r="F521">
        <f>VLOOKUP(E521,Clubes!B$2:D$438,2)</f>
        <v/>
      </c>
      <c r="G521">
        <f>VLOOKUP(E521,Clubes!B$2:D$438,3)</f>
        <v/>
      </c>
      <c r="H521" s="2" t="n">
        <v>38</v>
      </c>
      <c r="J521">
        <f>I521/H521</f>
        <v/>
      </c>
      <c r="K521">
        <f>H521*90</f>
        <v/>
      </c>
      <c r="M521">
        <f>L521/K521</f>
        <v/>
      </c>
    </row>
    <row r="522">
      <c r="A522" s="1" t="n">
        <v>521</v>
      </c>
      <c r="B522" s="2" t="inlineStr">
        <is>
          <t>Curaçao</t>
        </is>
      </c>
      <c r="C522" s="2" t="inlineStr">
        <is>
          <t>Tyrese Noslin</t>
        </is>
      </c>
      <c r="D522" s="2" t="inlineStr">
        <is>
          <t>Médio</t>
        </is>
      </c>
      <c r="E522" s="2" t="inlineStr">
        <is>
          <t>Telstar</t>
        </is>
      </c>
      <c r="F522">
        <f>VLOOKUP(E522,Clubes!B$2:D$438,2)</f>
        <v/>
      </c>
      <c r="G522">
        <f>VLOOKUP(E522,Clubes!B$2:D$438,3)</f>
        <v/>
      </c>
      <c r="H522" s="2" t="n">
        <v>38</v>
      </c>
      <c r="J522">
        <f>I522/H522</f>
        <v/>
      </c>
      <c r="K522">
        <f>H522*90</f>
        <v/>
      </c>
      <c r="M522">
        <f>L522/K522</f>
        <v/>
      </c>
    </row>
    <row r="523">
      <c r="A523" s="1" t="n">
        <v>522</v>
      </c>
      <c r="B523" s="2" t="inlineStr">
        <is>
          <t>Curaçao</t>
        </is>
      </c>
      <c r="C523" s="2" t="inlineStr">
        <is>
          <t>Kevin Felida</t>
        </is>
      </c>
      <c r="D523" s="2" t="inlineStr">
        <is>
          <t>Médio</t>
        </is>
      </c>
      <c r="E523" s="2" t="inlineStr">
        <is>
          <t>Den Bosch</t>
        </is>
      </c>
      <c r="F523">
        <f>VLOOKUP(E523,Clubes!B$2:D$438,2)</f>
        <v/>
      </c>
      <c r="G523">
        <f>VLOOKUP(E523,Clubes!B$2:D$438,3)</f>
        <v/>
      </c>
      <c r="H523" s="2" t="n">
        <v>38</v>
      </c>
      <c r="J523">
        <f>I523/H523</f>
        <v/>
      </c>
      <c r="K523">
        <f>H523*90</f>
        <v/>
      </c>
      <c r="M523">
        <f>L523/K523</f>
        <v/>
      </c>
    </row>
    <row r="524">
      <c r="A524" s="1" t="n">
        <v>523</v>
      </c>
      <c r="B524" s="2" t="inlineStr">
        <is>
          <t>Curaçao</t>
        </is>
      </c>
      <c r="C524" s="2" t="inlineStr">
        <is>
          <t>Jurgen Locadia</t>
        </is>
      </c>
      <c r="D524" s="2" t="inlineStr">
        <is>
          <t>Avançado</t>
        </is>
      </c>
      <c r="E524" s="2" t="inlineStr">
        <is>
          <t>Miami FC</t>
        </is>
      </c>
      <c r="F524">
        <f>VLOOKUP(E524,Clubes!B$2:D$438,2)</f>
        <v/>
      </c>
      <c r="G524">
        <f>VLOOKUP(E524,Clubes!B$2:D$438,3)</f>
        <v/>
      </c>
      <c r="H524" s="2" t="n">
        <v>30</v>
      </c>
      <c r="J524">
        <f>I524/H524</f>
        <v/>
      </c>
      <c r="K524">
        <f>H524*90</f>
        <v/>
      </c>
      <c r="M524">
        <f>L524/K524</f>
        <v/>
      </c>
    </row>
    <row r="525">
      <c r="A525" s="1" t="n">
        <v>524</v>
      </c>
      <c r="B525" s="2" t="inlineStr">
        <is>
          <t>Curaçao</t>
        </is>
      </c>
      <c r="C525" s="2" t="inlineStr">
        <is>
          <t>Jeremy Antonisse</t>
        </is>
      </c>
      <c r="D525" s="2" t="inlineStr">
        <is>
          <t>Avançado</t>
        </is>
      </c>
      <c r="E525" s="2" t="inlineStr">
        <is>
          <t>Kifisias</t>
        </is>
      </c>
      <c r="F525">
        <f>VLOOKUP(E525,Clubes!B$2:D$438,2)</f>
        <v/>
      </c>
      <c r="G525">
        <f>VLOOKUP(E525,Clubes!B$2:D$438,3)</f>
        <v/>
      </c>
      <c r="H525" s="2" t="n">
        <v>36</v>
      </c>
      <c r="J525">
        <f>I525/H525</f>
        <v/>
      </c>
      <c r="K525">
        <f>H525*90</f>
        <v/>
      </c>
      <c r="M525">
        <f>L525/K525</f>
        <v/>
      </c>
    </row>
    <row r="526">
      <c r="A526" s="1" t="n">
        <v>525</v>
      </c>
      <c r="B526" s="2" t="inlineStr">
        <is>
          <t>Curaçao</t>
        </is>
      </c>
      <c r="C526" s="2" t="inlineStr">
        <is>
          <t>Sontje Hansen</t>
        </is>
      </c>
      <c r="D526" s="2" t="inlineStr">
        <is>
          <t>Avançado</t>
        </is>
      </c>
      <c r="E526" s="2" t="inlineStr">
        <is>
          <t>Middlesbrough</t>
        </is>
      </c>
      <c r="F526">
        <f>VLOOKUP(E526,Clubes!B$2:D$438,2)</f>
        <v/>
      </c>
      <c r="G526">
        <f>VLOOKUP(E526,Clubes!B$2:D$438,3)</f>
        <v/>
      </c>
      <c r="H526" s="2" t="n">
        <v>46</v>
      </c>
      <c r="J526">
        <f>I526/H526</f>
        <v/>
      </c>
      <c r="K526">
        <f>H526*90</f>
        <v/>
      </c>
      <c r="M526">
        <f>L526/K526</f>
        <v/>
      </c>
    </row>
    <row r="527">
      <c r="A527" s="1" t="n">
        <v>526</v>
      </c>
      <c r="B527" s="2" t="inlineStr">
        <is>
          <t>Curaçao</t>
        </is>
      </c>
      <c r="C527" s="2" t="inlineStr">
        <is>
          <t>Kenji Gorré</t>
        </is>
      </c>
      <c r="D527" s="2" t="inlineStr">
        <is>
          <t>Avançado</t>
        </is>
      </c>
      <c r="E527" s="2" t="inlineStr">
        <is>
          <t>Maccabi Haifa</t>
        </is>
      </c>
      <c r="F527">
        <f>VLOOKUP(E527,Clubes!B$2:D$438,2)</f>
        <v/>
      </c>
      <c r="G527">
        <f>VLOOKUP(E527,Clubes!B$2:D$438,3)</f>
        <v/>
      </c>
      <c r="H527" s="2" t="n">
        <v>36</v>
      </c>
      <c r="J527">
        <f>I527/H527</f>
        <v/>
      </c>
      <c r="K527">
        <f>H527*90</f>
        <v/>
      </c>
      <c r="M527">
        <f>L527/K527</f>
        <v/>
      </c>
    </row>
    <row r="528">
      <c r="A528" s="1" t="n">
        <v>527</v>
      </c>
      <c r="B528" s="2" t="inlineStr">
        <is>
          <t>Curaçao</t>
        </is>
      </c>
      <c r="C528" s="2" t="inlineStr">
        <is>
          <t>Jearl Margaritha</t>
        </is>
      </c>
      <c r="D528" s="2" t="inlineStr">
        <is>
          <t>Avançado</t>
        </is>
      </c>
      <c r="E528" s="2" t="inlineStr">
        <is>
          <t>Sportkring Beveren</t>
        </is>
      </c>
      <c r="F528">
        <f>VLOOKUP(E528,Clubes!B$2:D$438,2)</f>
        <v/>
      </c>
      <c r="G528">
        <f>VLOOKUP(E528,Clubes!B$2:D$438,3)</f>
        <v/>
      </c>
      <c r="H528" s="2" t="n">
        <v>30</v>
      </c>
      <c r="J528">
        <f>I528/H528</f>
        <v/>
      </c>
      <c r="K528">
        <f>H528*90</f>
        <v/>
      </c>
      <c r="M528">
        <f>L528/K528</f>
        <v/>
      </c>
    </row>
    <row r="529">
      <c r="A529" s="1" t="n">
        <v>528</v>
      </c>
      <c r="B529" s="2" t="inlineStr">
        <is>
          <t>Curaçao</t>
        </is>
      </c>
      <c r="C529" s="2" t="inlineStr">
        <is>
          <t>Brandley Kuwas</t>
        </is>
      </c>
      <c r="D529" s="2" t="inlineStr">
        <is>
          <t>Avançado</t>
        </is>
      </c>
      <c r="E529" s="2" t="inlineStr">
        <is>
          <t>FC Volendam</t>
        </is>
      </c>
      <c r="F529">
        <f>VLOOKUP(E529,Clubes!B$2:D$438,2)</f>
        <v/>
      </c>
      <c r="G529">
        <f>VLOOKUP(E529,Clubes!B$2:D$438,3)</f>
        <v/>
      </c>
      <c r="H529" s="2" t="n">
        <v>34</v>
      </c>
      <c r="J529">
        <f>I529/H529</f>
        <v/>
      </c>
      <c r="K529">
        <f>H529*90</f>
        <v/>
      </c>
      <c r="M529">
        <f>L529/K529</f>
        <v/>
      </c>
    </row>
    <row r="530">
      <c r="A530" s="1" t="n">
        <v>529</v>
      </c>
      <c r="B530" s="2" t="inlineStr">
        <is>
          <t>Curaçao</t>
        </is>
      </c>
      <c r="C530" s="2" t="inlineStr">
        <is>
          <t>Gervane Kastaneer</t>
        </is>
      </c>
      <c r="D530" s="2" t="inlineStr">
        <is>
          <t>Avançado</t>
        </is>
      </c>
      <c r="E530" s="2" t="inlineStr">
        <is>
          <t>Terengganu FC</t>
        </is>
      </c>
      <c r="F530">
        <f>VLOOKUP(E530,Clubes!B$2:D$438,2)</f>
        <v/>
      </c>
      <c r="G530">
        <f>VLOOKUP(E530,Clubes!B$2:D$438,3)</f>
        <v/>
      </c>
      <c r="H530" s="2" t="n">
        <v>38</v>
      </c>
      <c r="J530">
        <f>I530/H530</f>
        <v/>
      </c>
      <c r="K530">
        <f>H530*90</f>
        <v/>
      </c>
      <c r="M530">
        <f>L530/K530</f>
        <v/>
      </c>
    </row>
    <row r="531">
      <c r="A531" s="1" t="n">
        <v>530</v>
      </c>
      <c r="B531" s="2" t="inlineStr">
        <is>
          <t>Curaçao</t>
        </is>
      </c>
      <c r="C531" s="2" t="inlineStr">
        <is>
          <t>Tahith Chong</t>
        </is>
      </c>
      <c r="D531" s="2" t="inlineStr">
        <is>
          <t>Avançado</t>
        </is>
      </c>
      <c r="E531" s="2" t="inlineStr">
        <is>
          <t>Sheffield United</t>
        </is>
      </c>
      <c r="F531">
        <f>VLOOKUP(E531,Clubes!B$2:D$438,2)</f>
        <v/>
      </c>
      <c r="G531">
        <f>VLOOKUP(E531,Clubes!B$2:D$438,3)</f>
        <v/>
      </c>
      <c r="H531" s="2" t="n">
        <v>46</v>
      </c>
      <c r="J531">
        <f>I531/H531</f>
        <v/>
      </c>
      <c r="K531">
        <f>H531*90</f>
        <v/>
      </c>
      <c r="M531">
        <f>L531/K531</f>
        <v/>
      </c>
    </row>
    <row r="532">
      <c r="A532" s="1" t="n">
        <v>531</v>
      </c>
      <c r="B532" s="2" t="inlineStr">
        <is>
          <t>Egypt</t>
        </is>
      </c>
      <c r="C532" s="2" t="inlineStr">
        <is>
          <t>Mohamed El-Shenawy</t>
        </is>
      </c>
      <c r="D532" s="2" t="inlineStr">
        <is>
          <t>Guarda Redes</t>
        </is>
      </c>
      <c r="E532" s="2" t="inlineStr">
        <is>
          <t>Al-Ahly</t>
        </is>
      </c>
      <c r="F532">
        <f>VLOOKUP(E532,Clubes!B$2:D$438,2)</f>
        <v/>
      </c>
      <c r="G532">
        <f>VLOOKUP(E532,Clubes!B$2:D$438,3)</f>
        <v/>
      </c>
      <c r="H532" s="2" t="n">
        <v>34</v>
      </c>
      <c r="J532">
        <f>I532/H532</f>
        <v/>
      </c>
      <c r="K532">
        <f>H532*90</f>
        <v/>
      </c>
      <c r="M532">
        <f>L532/K532</f>
        <v/>
      </c>
    </row>
    <row r="533">
      <c r="A533" s="1" t="n">
        <v>532</v>
      </c>
      <c r="B533" s="2" t="inlineStr">
        <is>
          <t>Egypt</t>
        </is>
      </c>
      <c r="C533" s="2" t="inlineStr">
        <is>
          <t>Al Mahdy Soliman</t>
        </is>
      </c>
      <c r="D533" s="2" t="inlineStr">
        <is>
          <t>Guarda Redes</t>
        </is>
      </c>
      <c r="E533" s="2" t="inlineStr">
        <is>
          <t>Zamalek SC</t>
        </is>
      </c>
      <c r="F533">
        <f>VLOOKUP(E533,Clubes!B$2:D$438,2)</f>
        <v/>
      </c>
      <c r="G533">
        <f>VLOOKUP(E533,Clubes!B$2:D$438,3)</f>
        <v/>
      </c>
      <c r="H533" s="2" t="n">
        <v>38</v>
      </c>
      <c r="J533">
        <f>I533/H533</f>
        <v/>
      </c>
      <c r="K533">
        <f>H533*90</f>
        <v/>
      </c>
      <c r="M533">
        <f>L533/K533</f>
        <v/>
      </c>
    </row>
    <row r="534">
      <c r="A534" s="1" t="n">
        <v>533</v>
      </c>
      <c r="B534" s="2" t="inlineStr">
        <is>
          <t>Egypt</t>
        </is>
      </c>
      <c r="C534" s="2" t="inlineStr">
        <is>
          <t>Mostafa Ahmed</t>
        </is>
      </c>
      <c r="D534" s="2" t="inlineStr">
        <is>
          <t>Guarda Redes</t>
        </is>
      </c>
      <c r="E534" s="2" t="inlineStr">
        <is>
          <t>Al-Ahly</t>
        </is>
      </c>
      <c r="F534">
        <f>VLOOKUP(E534,Clubes!B$2:D$438,2)</f>
        <v/>
      </c>
      <c r="G534">
        <f>VLOOKUP(E534,Clubes!B$2:D$438,3)</f>
        <v/>
      </c>
      <c r="H534" s="2" t="n">
        <v>34</v>
      </c>
      <c r="J534">
        <f>I534/H534</f>
        <v/>
      </c>
      <c r="K534">
        <f>H534*90</f>
        <v/>
      </c>
      <c r="M534">
        <f>L534/K534</f>
        <v/>
      </c>
    </row>
    <row r="535">
      <c r="A535" s="1" t="n">
        <v>534</v>
      </c>
      <c r="B535" s="2" t="inlineStr">
        <is>
          <t>Egypt</t>
        </is>
      </c>
      <c r="C535" s="2" t="inlineStr">
        <is>
          <t>Mohamed Alaa</t>
        </is>
      </c>
      <c r="D535" s="2" t="inlineStr">
        <is>
          <t>Guarda Redes</t>
        </is>
      </c>
      <c r="E535" s="2" t="inlineStr">
        <is>
          <t>El-Gouna</t>
        </is>
      </c>
      <c r="F535">
        <f>VLOOKUP(E535,Clubes!B$2:D$438,2)</f>
        <v/>
      </c>
      <c r="G535">
        <f>VLOOKUP(E535,Clubes!B$2:D$438,3)</f>
        <v/>
      </c>
      <c r="H535" s="2" t="n">
        <v>34</v>
      </c>
      <c r="J535">
        <f>I535/H535</f>
        <v/>
      </c>
      <c r="K535">
        <f>H535*90</f>
        <v/>
      </c>
      <c r="M535">
        <f>L535/K535</f>
        <v/>
      </c>
    </row>
    <row r="536">
      <c r="A536" s="1" t="n">
        <v>535</v>
      </c>
      <c r="B536" s="2" t="inlineStr">
        <is>
          <t>Egypt</t>
        </is>
      </c>
      <c r="C536" s="2" t="inlineStr">
        <is>
          <t>Mohamed Hany</t>
        </is>
      </c>
      <c r="D536" s="2" t="inlineStr">
        <is>
          <t>Defesa</t>
        </is>
      </c>
      <c r="E536" s="2" t="inlineStr">
        <is>
          <t>Al-Ahly</t>
        </is>
      </c>
      <c r="F536">
        <f>VLOOKUP(E536,Clubes!B$2:D$438,2)</f>
        <v/>
      </c>
      <c r="G536">
        <f>VLOOKUP(E536,Clubes!B$2:D$438,3)</f>
        <v/>
      </c>
      <c r="H536" s="2" t="n">
        <v>34</v>
      </c>
      <c r="J536">
        <f>I536/H536</f>
        <v/>
      </c>
      <c r="K536">
        <f>H536*90</f>
        <v/>
      </c>
      <c r="M536">
        <f>L536/K536</f>
        <v/>
      </c>
    </row>
    <row r="537">
      <c r="A537" s="1" t="n">
        <v>536</v>
      </c>
      <c r="B537" s="2" t="inlineStr">
        <is>
          <t>Egypt</t>
        </is>
      </c>
      <c r="C537" s="2" t="inlineStr">
        <is>
          <t>Yasser Ibrahim</t>
        </is>
      </c>
      <c r="D537" s="2" t="inlineStr">
        <is>
          <t>Defesa</t>
        </is>
      </c>
      <c r="E537" s="2" t="inlineStr">
        <is>
          <t>Al-Ahly</t>
        </is>
      </c>
      <c r="F537">
        <f>VLOOKUP(E537,Clubes!B$2:D$438,2)</f>
        <v/>
      </c>
      <c r="G537">
        <f>VLOOKUP(E537,Clubes!B$2:D$438,3)</f>
        <v/>
      </c>
      <c r="H537" s="2" t="n">
        <v>34</v>
      </c>
      <c r="J537">
        <f>I537/H537</f>
        <v/>
      </c>
      <c r="K537">
        <f>H537*90</f>
        <v/>
      </c>
      <c r="M537">
        <f>L537/K537</f>
        <v/>
      </c>
    </row>
    <row r="538">
      <c r="A538" s="1" t="n">
        <v>537</v>
      </c>
      <c r="B538" s="2" t="inlineStr">
        <is>
          <t>Egypt</t>
        </is>
      </c>
      <c r="C538" s="2" t="inlineStr">
        <is>
          <t>Hossam Abdelmaguid</t>
        </is>
      </c>
      <c r="D538" s="2" t="inlineStr">
        <is>
          <t>Defesa</t>
        </is>
      </c>
      <c r="E538" s="2" t="inlineStr">
        <is>
          <t>Zamalek SC</t>
        </is>
      </c>
      <c r="F538">
        <f>VLOOKUP(E538,Clubes!B$2:D$438,2)</f>
        <v/>
      </c>
      <c r="G538">
        <f>VLOOKUP(E538,Clubes!B$2:D$438,3)</f>
        <v/>
      </c>
      <c r="H538" s="2" t="n">
        <v>38</v>
      </c>
      <c r="J538">
        <f>I538/H538</f>
        <v/>
      </c>
      <c r="K538">
        <f>H538*90</f>
        <v/>
      </c>
      <c r="M538">
        <f>L538/K538</f>
        <v/>
      </c>
    </row>
    <row r="539">
      <c r="A539" s="1" t="n">
        <v>538</v>
      </c>
      <c r="B539" s="2" t="inlineStr">
        <is>
          <t>Egypt</t>
        </is>
      </c>
      <c r="C539" s="2" t="inlineStr">
        <is>
          <t>Rami Rabia</t>
        </is>
      </c>
      <c r="D539" s="2" t="inlineStr">
        <is>
          <t>Defesa</t>
        </is>
      </c>
      <c r="E539" s="2" t="inlineStr">
        <is>
          <t>Al Ain</t>
        </is>
      </c>
      <c r="F539">
        <f>VLOOKUP(E539,Clubes!B$2:D$438,2)</f>
        <v/>
      </c>
      <c r="G539">
        <f>VLOOKUP(E539,Clubes!B$2:D$438,3)</f>
        <v/>
      </c>
      <c r="H539" s="2" t="n">
        <v>26</v>
      </c>
      <c r="J539">
        <f>I539/H539</f>
        <v/>
      </c>
      <c r="K539">
        <f>H539*90</f>
        <v/>
      </c>
      <c r="M539">
        <f>L539/K539</f>
        <v/>
      </c>
    </row>
    <row r="540">
      <c r="A540" s="1" t="n">
        <v>539</v>
      </c>
      <c r="B540" s="2" t="inlineStr">
        <is>
          <t>Egypt</t>
        </is>
      </c>
      <c r="C540" s="2" t="inlineStr">
        <is>
          <t>Mohamed Abdelmonem</t>
        </is>
      </c>
      <c r="D540" s="2" t="inlineStr">
        <is>
          <t>Defesa</t>
        </is>
      </c>
      <c r="E540" s="2" t="inlineStr">
        <is>
          <t>Nice</t>
        </is>
      </c>
      <c r="F540">
        <f>VLOOKUP(E540,Clubes!B$2:D$438,2)</f>
        <v/>
      </c>
      <c r="G540">
        <f>VLOOKUP(E540,Clubes!B$2:D$438,3)</f>
        <v/>
      </c>
      <c r="H540" s="2" t="n">
        <v>34</v>
      </c>
      <c r="J540">
        <f>I540/H540</f>
        <v/>
      </c>
      <c r="K540">
        <f>H540*90</f>
        <v/>
      </c>
      <c r="M540">
        <f>L540/K540</f>
        <v/>
      </c>
    </row>
    <row r="541">
      <c r="A541" s="1" t="n">
        <v>540</v>
      </c>
      <c r="B541" s="2" t="inlineStr">
        <is>
          <t>Egypt</t>
        </is>
      </c>
      <c r="C541" s="2" t="inlineStr">
        <is>
          <t>Ahmed Fatouh</t>
        </is>
      </c>
      <c r="D541" s="2" t="inlineStr">
        <is>
          <t>Defesa</t>
        </is>
      </c>
      <c r="E541" s="2" t="inlineStr">
        <is>
          <t>Zamalek SC</t>
        </is>
      </c>
      <c r="F541">
        <f>VLOOKUP(E541,Clubes!B$2:D$438,2)</f>
        <v/>
      </c>
      <c r="G541">
        <f>VLOOKUP(E541,Clubes!B$2:D$438,3)</f>
        <v/>
      </c>
      <c r="H541" s="2" t="n">
        <v>38</v>
      </c>
      <c r="J541">
        <f>I541/H541</f>
        <v/>
      </c>
      <c r="K541">
        <f>H541*90</f>
        <v/>
      </c>
      <c r="M541">
        <f>L541/K541</f>
        <v/>
      </c>
    </row>
    <row r="542">
      <c r="A542" s="1" t="n">
        <v>541</v>
      </c>
      <c r="B542" s="2" t="inlineStr">
        <is>
          <t>Egypt</t>
        </is>
      </c>
      <c r="C542" s="2" t="inlineStr">
        <is>
          <t>Karim Hafez</t>
        </is>
      </c>
      <c r="D542" s="2" t="inlineStr">
        <is>
          <t>Defesa</t>
        </is>
      </c>
      <c r="E542" s="2" t="inlineStr">
        <is>
          <t>Pyramids FC</t>
        </is>
      </c>
      <c r="F542">
        <f>VLOOKUP(E542,Clubes!B$2:D$438,2)</f>
        <v/>
      </c>
      <c r="G542">
        <f>VLOOKUP(E542,Clubes!B$2:D$438,3)</f>
        <v/>
      </c>
      <c r="H542" s="2" t="n">
        <v>34</v>
      </c>
      <c r="J542">
        <f>I542/H542</f>
        <v/>
      </c>
      <c r="K542">
        <f>H542*90</f>
        <v/>
      </c>
      <c r="M542">
        <f>L542/K542</f>
        <v/>
      </c>
    </row>
    <row r="543">
      <c r="A543" s="1" t="n">
        <v>542</v>
      </c>
      <c r="B543" s="2" t="inlineStr">
        <is>
          <t>Egypt</t>
        </is>
      </c>
      <c r="C543" s="2" t="inlineStr">
        <is>
          <t>Mohanad Lasheen</t>
        </is>
      </c>
      <c r="D543" s="2" t="inlineStr">
        <is>
          <t>Médio</t>
        </is>
      </c>
      <c r="E543" s="2" t="inlineStr">
        <is>
          <t>Pyramids FC</t>
        </is>
      </c>
      <c r="F543">
        <f>VLOOKUP(E543,Clubes!B$2:D$438,2)</f>
        <v/>
      </c>
      <c r="G543">
        <f>VLOOKUP(E543,Clubes!B$2:D$438,3)</f>
        <v/>
      </c>
      <c r="H543" s="2" t="n">
        <v>34</v>
      </c>
      <c r="J543">
        <f>I543/H543</f>
        <v/>
      </c>
      <c r="K543">
        <f>H543*90</f>
        <v/>
      </c>
      <c r="M543">
        <f>L543/K543</f>
        <v/>
      </c>
    </row>
    <row r="544">
      <c r="A544" s="1" t="n">
        <v>543</v>
      </c>
      <c r="B544" s="2" t="inlineStr">
        <is>
          <t>Egypt</t>
        </is>
      </c>
      <c r="C544" s="2" t="inlineStr">
        <is>
          <t>Nabil Emad</t>
        </is>
      </c>
      <c r="D544" s="2" t="inlineStr">
        <is>
          <t>Médio</t>
        </is>
      </c>
      <c r="E544" s="2" t="inlineStr">
        <is>
          <t>Al-Najma</t>
        </is>
      </c>
      <c r="F544">
        <f>VLOOKUP(E544,Clubes!B$2:D$438,2)</f>
        <v/>
      </c>
      <c r="G544">
        <f>VLOOKUP(E544,Clubes!B$2:D$438,3)</f>
        <v/>
      </c>
      <c r="H544" s="2" t="n">
        <v>34</v>
      </c>
      <c r="J544">
        <f>I544/H544</f>
        <v/>
      </c>
      <c r="K544">
        <f>H544*90</f>
        <v/>
      </c>
      <c r="M544">
        <f>L544/K544</f>
        <v/>
      </c>
    </row>
    <row r="545">
      <c r="A545" s="1" t="n">
        <v>544</v>
      </c>
      <c r="B545" s="2" t="inlineStr">
        <is>
          <t>Egypt</t>
        </is>
      </c>
      <c r="C545" s="2" t="inlineStr">
        <is>
          <t>Marwan Attia</t>
        </is>
      </c>
      <c r="D545" s="2" t="inlineStr">
        <is>
          <t>Médio</t>
        </is>
      </c>
      <c r="E545" s="2" t="inlineStr">
        <is>
          <t>Al-Ahly</t>
        </is>
      </c>
      <c r="F545">
        <f>VLOOKUP(E545,Clubes!B$2:D$438,2)</f>
        <v/>
      </c>
      <c r="G545">
        <f>VLOOKUP(E545,Clubes!B$2:D$438,3)</f>
        <v/>
      </c>
      <c r="H545" s="2" t="n">
        <v>34</v>
      </c>
      <c r="J545">
        <f>I545/H545</f>
        <v/>
      </c>
      <c r="K545">
        <f>H545*90</f>
        <v/>
      </c>
      <c r="M545">
        <f>L545/K545</f>
        <v/>
      </c>
    </row>
    <row r="546">
      <c r="A546" s="1" t="n">
        <v>545</v>
      </c>
      <c r="B546" s="2" t="inlineStr">
        <is>
          <t>Egypt</t>
        </is>
      </c>
      <c r="C546" s="2" t="inlineStr">
        <is>
          <t>Tarek Alaa</t>
        </is>
      </c>
      <c r="D546" s="2" t="inlineStr">
        <is>
          <t>Médio</t>
        </is>
      </c>
      <c r="E546" s="2" t="inlineStr">
        <is>
          <t>ZED FC</t>
        </is>
      </c>
      <c r="F546">
        <f>VLOOKUP(E546,Clubes!B$2:D$438,2)</f>
        <v/>
      </c>
      <c r="G546">
        <f>VLOOKUP(E546,Clubes!B$2:D$438,3)</f>
        <v/>
      </c>
      <c r="H546" s="2" t="n">
        <v>34</v>
      </c>
      <c r="J546">
        <f>I546/H546</f>
        <v/>
      </c>
      <c r="K546">
        <f>H546*90</f>
        <v/>
      </c>
      <c r="M546">
        <f>L546/K546</f>
        <v/>
      </c>
    </row>
    <row r="547">
      <c r="A547" s="1" t="n">
        <v>546</v>
      </c>
      <c r="B547" s="2" t="inlineStr">
        <is>
          <t>Egypt</t>
        </is>
      </c>
      <c r="C547" s="2" t="inlineStr">
        <is>
          <t>Emam Ashour</t>
        </is>
      </c>
      <c r="D547" s="2" t="inlineStr">
        <is>
          <t>Médio</t>
        </is>
      </c>
      <c r="E547" s="2" t="inlineStr">
        <is>
          <t>Al-Ahly</t>
        </is>
      </c>
      <c r="F547">
        <f>VLOOKUP(E547,Clubes!B$2:D$438,2)</f>
        <v/>
      </c>
      <c r="G547">
        <f>VLOOKUP(E547,Clubes!B$2:D$438,3)</f>
        <v/>
      </c>
      <c r="H547" s="2" t="n">
        <v>34</v>
      </c>
      <c r="J547">
        <f>I547/H547</f>
        <v/>
      </c>
      <c r="K547">
        <f>H547*90</f>
        <v/>
      </c>
      <c r="M547">
        <f>L547/K547</f>
        <v/>
      </c>
    </row>
    <row r="548">
      <c r="A548" s="1" t="n">
        <v>547</v>
      </c>
      <c r="B548" s="2" t="inlineStr">
        <is>
          <t>Egypt</t>
        </is>
      </c>
      <c r="C548" s="2" t="inlineStr">
        <is>
          <t>Hamdi Fathi</t>
        </is>
      </c>
      <c r="D548" s="2" t="inlineStr">
        <is>
          <t>Médio</t>
        </is>
      </c>
      <c r="E548" s="2" t="inlineStr">
        <is>
          <t>Al-Wakrah</t>
        </is>
      </c>
      <c r="F548">
        <f>VLOOKUP(E548,Clubes!B$2:D$438,2)</f>
        <v/>
      </c>
      <c r="G548">
        <f>VLOOKUP(E548,Clubes!B$2:D$438,3)</f>
        <v/>
      </c>
      <c r="H548" s="2" t="n">
        <v>22</v>
      </c>
      <c r="J548">
        <f>I548/H548</f>
        <v/>
      </c>
      <c r="K548">
        <f>H548*90</f>
        <v/>
      </c>
      <c r="M548">
        <f>L548/K548</f>
        <v/>
      </c>
    </row>
    <row r="549">
      <c r="A549" s="1" t="n">
        <v>548</v>
      </c>
      <c r="B549" s="2" t="inlineStr">
        <is>
          <t>Egypt</t>
        </is>
      </c>
      <c r="C549" s="2" t="inlineStr">
        <is>
          <t>Mohamed Salah</t>
        </is>
      </c>
      <c r="D549" s="2" t="inlineStr">
        <is>
          <t>Avançado</t>
        </is>
      </c>
      <c r="E549" s="2" t="inlineStr">
        <is>
          <t>Liverpool</t>
        </is>
      </c>
      <c r="F549">
        <f>VLOOKUP(E549,Clubes!B$2:D$438,2)</f>
        <v/>
      </c>
      <c r="G549">
        <f>VLOOKUP(E549,Clubes!B$2:D$438,3)</f>
        <v/>
      </c>
      <c r="H549" s="2" t="n">
        <v>38</v>
      </c>
      <c r="J549">
        <f>I549/H549</f>
        <v/>
      </c>
      <c r="K549">
        <f>H549*90</f>
        <v/>
      </c>
      <c r="M549">
        <f>L549/K549</f>
        <v/>
      </c>
    </row>
    <row r="550">
      <c r="A550" s="1" t="n">
        <v>549</v>
      </c>
      <c r="B550" s="2" t="inlineStr">
        <is>
          <t>Egypt</t>
        </is>
      </c>
      <c r="C550" s="2" t="inlineStr">
        <is>
          <t>Haissem Hassan</t>
        </is>
      </c>
      <c r="D550" s="2" t="inlineStr">
        <is>
          <t>Avançado</t>
        </is>
      </c>
      <c r="E550" s="2" t="inlineStr">
        <is>
          <t>Real Oviedo</t>
        </is>
      </c>
      <c r="F550">
        <f>VLOOKUP(E550,Clubes!B$2:D$438,2)</f>
        <v/>
      </c>
      <c r="G550">
        <f>VLOOKUP(E550,Clubes!B$2:D$438,3)</f>
        <v/>
      </c>
      <c r="H550" s="2" t="n">
        <v>38</v>
      </c>
      <c r="J550">
        <f>I550/H550</f>
        <v/>
      </c>
      <c r="K550">
        <f>H550*90</f>
        <v/>
      </c>
      <c r="M550">
        <f>L550/K550</f>
        <v/>
      </c>
    </row>
    <row r="551">
      <c r="A551" s="1" t="n">
        <v>550</v>
      </c>
      <c r="B551" s="2" t="inlineStr">
        <is>
          <t>Egypt</t>
        </is>
      </c>
      <c r="C551" s="2" t="inlineStr">
        <is>
          <t>Hamza Abdelkarim</t>
        </is>
      </c>
      <c r="D551" s="2" t="inlineStr">
        <is>
          <t>Avançado</t>
        </is>
      </c>
      <c r="E551" s="2" t="inlineStr">
        <is>
          <t>Barcelona</t>
        </is>
      </c>
      <c r="F551">
        <f>VLOOKUP(E551,Clubes!B$2:D$438,2)</f>
        <v/>
      </c>
      <c r="G551">
        <f>VLOOKUP(E551,Clubes!B$2:D$438,3)</f>
        <v/>
      </c>
      <c r="H551" s="2" t="n">
        <v>38</v>
      </c>
      <c r="J551">
        <f>I551/H551</f>
        <v/>
      </c>
      <c r="K551">
        <f>H551*90</f>
        <v/>
      </c>
      <c r="M551">
        <f>L551/K551</f>
        <v/>
      </c>
    </row>
    <row r="552">
      <c r="A552" s="1" t="n">
        <v>551</v>
      </c>
      <c r="B552" s="2" t="inlineStr">
        <is>
          <t>Egypt</t>
        </is>
      </c>
      <c r="C552" s="2" t="inlineStr">
        <is>
          <t>Omar Marmoush</t>
        </is>
      </c>
      <c r="D552" s="2" t="inlineStr">
        <is>
          <t>Avançado</t>
        </is>
      </c>
      <c r="E552" s="2" t="inlineStr">
        <is>
          <t>Manchester City</t>
        </is>
      </c>
      <c r="F552">
        <f>VLOOKUP(E552,Clubes!B$2:D$438,2)</f>
        <v/>
      </c>
      <c r="G552">
        <f>VLOOKUP(E552,Clubes!B$2:D$438,3)</f>
        <v/>
      </c>
      <c r="H552" s="2" t="n">
        <v>38</v>
      </c>
      <c r="J552">
        <f>I552/H552</f>
        <v/>
      </c>
      <c r="K552">
        <f>H552*90</f>
        <v/>
      </c>
      <c r="M552">
        <f>L552/K552</f>
        <v/>
      </c>
    </row>
    <row r="553">
      <c r="A553" s="1" t="n">
        <v>552</v>
      </c>
      <c r="B553" s="2" t="inlineStr">
        <is>
          <t>Egypt</t>
        </is>
      </c>
      <c r="C553" s="2" t="inlineStr">
        <is>
          <t>Trezeguet</t>
        </is>
      </c>
      <c r="D553" s="2" t="inlineStr">
        <is>
          <t>Avançado</t>
        </is>
      </c>
      <c r="E553" s="2" t="inlineStr">
        <is>
          <t>Al-Ahly</t>
        </is>
      </c>
      <c r="F553">
        <f>VLOOKUP(E553,Clubes!B$2:D$438,2)</f>
        <v/>
      </c>
      <c r="G553">
        <f>VLOOKUP(E553,Clubes!B$2:D$438,3)</f>
        <v/>
      </c>
      <c r="H553" s="2" t="n">
        <v>34</v>
      </c>
      <c r="J553">
        <f>I553/H553</f>
        <v/>
      </c>
      <c r="K553">
        <f>H553*90</f>
        <v/>
      </c>
      <c r="M553">
        <f>L553/K553</f>
        <v/>
      </c>
    </row>
    <row r="554">
      <c r="A554" s="1" t="n">
        <v>553</v>
      </c>
      <c r="B554" s="2" t="inlineStr">
        <is>
          <t>Egypt</t>
        </is>
      </c>
      <c r="C554" s="2" t="inlineStr">
        <is>
          <t>Mostafa Zaki</t>
        </is>
      </c>
      <c r="D554" s="2" t="inlineStr">
        <is>
          <t>Avançado</t>
        </is>
      </c>
      <c r="E554" s="2" t="inlineStr">
        <is>
          <t>Pyramids FC</t>
        </is>
      </c>
      <c r="F554">
        <f>VLOOKUP(E554,Clubes!B$2:D$438,2)</f>
        <v/>
      </c>
      <c r="G554">
        <f>VLOOKUP(E554,Clubes!B$2:D$438,3)</f>
        <v/>
      </c>
      <c r="H554" s="2" t="n">
        <v>34</v>
      </c>
      <c r="J554">
        <f>I554/H554</f>
        <v/>
      </c>
      <c r="K554">
        <f>H554*90</f>
        <v/>
      </c>
      <c r="M554">
        <f>L554/K554</f>
        <v/>
      </c>
    </row>
    <row r="555">
      <c r="A555" s="1" t="n">
        <v>554</v>
      </c>
      <c r="B555" s="2" t="inlineStr">
        <is>
          <t>Egypt</t>
        </is>
      </c>
      <c r="C555" s="2" t="inlineStr">
        <is>
          <t>Ibrahim Adel</t>
        </is>
      </c>
      <c r="D555" s="2" t="inlineStr">
        <is>
          <t>Avançado</t>
        </is>
      </c>
      <c r="E555" s="2" t="inlineStr">
        <is>
          <t>Nordsjaelland</t>
        </is>
      </c>
      <c r="F555">
        <f>VLOOKUP(E555,Clubes!B$2:D$438,2)</f>
        <v/>
      </c>
      <c r="G555">
        <f>VLOOKUP(E555,Clubes!B$2:D$438,3)</f>
        <v/>
      </c>
      <c r="H555" s="2" t="n">
        <v>32</v>
      </c>
      <c r="J555">
        <f>I555/H555</f>
        <v/>
      </c>
      <c r="K555">
        <f>H555*90</f>
        <v/>
      </c>
      <c r="M555">
        <f>L555/K555</f>
        <v/>
      </c>
    </row>
    <row r="556">
      <c r="A556" s="1" t="n">
        <v>555</v>
      </c>
      <c r="B556" s="2" t="inlineStr">
        <is>
          <t>Egypt</t>
        </is>
      </c>
      <c r="C556" s="2" t="inlineStr">
        <is>
          <t>Mahmoud Saber</t>
        </is>
      </c>
      <c r="D556" s="2" t="inlineStr">
        <is>
          <t>Avançado</t>
        </is>
      </c>
      <c r="E556" s="2" t="inlineStr">
        <is>
          <t>ZED FC</t>
        </is>
      </c>
      <c r="F556">
        <f>VLOOKUP(E556,Clubes!B$2:D$438,2)</f>
        <v/>
      </c>
      <c r="G556">
        <f>VLOOKUP(E556,Clubes!B$2:D$438,3)</f>
        <v/>
      </c>
      <c r="H556" s="2" t="n">
        <v>34</v>
      </c>
      <c r="J556">
        <f>I556/H556</f>
        <v/>
      </c>
      <c r="K556">
        <f>H556*90</f>
        <v/>
      </c>
      <c r="M556">
        <f>L556/K556</f>
        <v/>
      </c>
    </row>
    <row r="557">
      <c r="A557" s="1" t="n">
        <v>556</v>
      </c>
      <c r="B557" s="2" t="inlineStr">
        <is>
          <t>Egypt</t>
        </is>
      </c>
      <c r="C557" s="2" t="inlineStr">
        <is>
          <t>Zizo</t>
        </is>
      </c>
      <c r="D557" s="2" t="inlineStr">
        <is>
          <t>Avançado</t>
        </is>
      </c>
      <c r="E557" s="2" t="inlineStr">
        <is>
          <t>Al-Ahly</t>
        </is>
      </c>
      <c r="F557">
        <f>VLOOKUP(E557,Clubes!B$2:D$438,2)</f>
        <v/>
      </c>
      <c r="G557">
        <f>VLOOKUP(E557,Clubes!B$2:D$438,3)</f>
        <v/>
      </c>
      <c r="H557" s="2" t="n">
        <v>34</v>
      </c>
      <c r="J557">
        <f>I557/H557</f>
        <v/>
      </c>
      <c r="K557">
        <f>H557*90</f>
        <v/>
      </c>
      <c r="M557">
        <f>L557/K557</f>
        <v/>
      </c>
    </row>
    <row r="558">
      <c r="A558" s="1" t="n">
        <v>557</v>
      </c>
      <c r="B558" s="2" t="inlineStr">
        <is>
          <t>Ecuador</t>
        </is>
      </c>
      <c r="C558" s="2" t="inlineStr">
        <is>
          <t>Hernán Galíndez</t>
        </is>
      </c>
      <c r="D558" s="2" t="inlineStr">
        <is>
          <t>Guarda Redes</t>
        </is>
      </c>
      <c r="E558" s="2" t="inlineStr">
        <is>
          <t>Huracán</t>
        </is>
      </c>
      <c r="F558">
        <f>VLOOKUP(E558,Clubes!B$2:D$438,2)</f>
        <v/>
      </c>
      <c r="G558">
        <f>VLOOKUP(E558,Clubes!B$2:D$438,3)</f>
        <v/>
      </c>
      <c r="H558" s="2" t="n">
        <v>32</v>
      </c>
      <c r="J558">
        <f>I558/H558</f>
        <v/>
      </c>
      <c r="K558">
        <f>H558*90</f>
        <v/>
      </c>
      <c r="M558">
        <f>L558/K558</f>
        <v/>
      </c>
    </row>
    <row r="559">
      <c r="A559" s="1" t="n">
        <v>558</v>
      </c>
      <c r="B559" s="2" t="inlineStr">
        <is>
          <t>Ecuador</t>
        </is>
      </c>
      <c r="C559" s="2" t="inlineStr">
        <is>
          <t>Moisés Ramirez</t>
        </is>
      </c>
      <c r="D559" s="2" t="inlineStr">
        <is>
          <t>Guarda Redes</t>
        </is>
      </c>
      <c r="E559" s="2" t="inlineStr">
        <is>
          <t>Kifisias</t>
        </is>
      </c>
      <c r="F559">
        <f>VLOOKUP(E559,Clubes!B$2:D$438,2)</f>
        <v/>
      </c>
      <c r="G559">
        <f>VLOOKUP(E559,Clubes!B$2:D$438,3)</f>
        <v/>
      </c>
      <c r="H559" s="2" t="n">
        <v>36</v>
      </c>
      <c r="J559">
        <f>I559/H559</f>
        <v/>
      </c>
      <c r="K559">
        <f>H559*90</f>
        <v/>
      </c>
      <c r="M559">
        <f>L559/K559</f>
        <v/>
      </c>
    </row>
    <row r="560">
      <c r="A560" s="1" t="n">
        <v>559</v>
      </c>
      <c r="B560" s="2" t="inlineStr">
        <is>
          <t>Ecuador</t>
        </is>
      </c>
      <c r="C560" s="2" t="inlineStr">
        <is>
          <t>Gonzalo Valle</t>
        </is>
      </c>
      <c r="D560" s="2" t="inlineStr">
        <is>
          <t>Guarda Redes</t>
        </is>
      </c>
      <c r="E560" s="2" t="inlineStr">
        <is>
          <t>LDU Quito</t>
        </is>
      </c>
      <c r="F560">
        <f>VLOOKUP(E560,Clubes!B$2:D$438,2)</f>
        <v/>
      </c>
      <c r="G560">
        <f>VLOOKUP(E560,Clubes!B$2:D$438,3)</f>
        <v/>
      </c>
      <c r="H560" s="2" t="n">
        <v>30</v>
      </c>
      <c r="J560">
        <f>I560/H560</f>
        <v/>
      </c>
      <c r="K560">
        <f>H560*90</f>
        <v/>
      </c>
      <c r="M560">
        <f>L560/K560</f>
        <v/>
      </c>
    </row>
    <row r="561">
      <c r="A561" s="1" t="n">
        <v>560</v>
      </c>
      <c r="B561" s="2" t="inlineStr">
        <is>
          <t>Ecuador</t>
        </is>
      </c>
      <c r="C561" s="2" t="inlineStr">
        <is>
          <t>Angelo Preciado</t>
        </is>
      </c>
      <c r="D561" s="2" t="inlineStr">
        <is>
          <t>Defesa</t>
        </is>
      </c>
      <c r="E561" s="2" t="inlineStr">
        <is>
          <t>Atlético Mineiro</t>
        </is>
      </c>
      <c r="F561">
        <f>VLOOKUP(E561,Clubes!B$2:D$438,2)</f>
        <v/>
      </c>
      <c r="G561">
        <f>VLOOKUP(E561,Clubes!B$2:D$438,3)</f>
        <v/>
      </c>
      <c r="H561" s="2" t="n">
        <v>38</v>
      </c>
      <c r="J561">
        <f>I561/H561</f>
        <v/>
      </c>
      <c r="K561">
        <f>H561*90</f>
        <v/>
      </c>
      <c r="M561">
        <f>L561/K561</f>
        <v/>
      </c>
    </row>
    <row r="562">
      <c r="A562" s="1" t="n">
        <v>561</v>
      </c>
      <c r="B562" s="2" t="inlineStr">
        <is>
          <t>Ecuador</t>
        </is>
      </c>
      <c r="C562" s="2" t="inlineStr">
        <is>
          <t>Félix Torres</t>
        </is>
      </c>
      <c r="D562" s="2" t="inlineStr">
        <is>
          <t>Defesa</t>
        </is>
      </c>
      <c r="E562" s="2" t="inlineStr">
        <is>
          <t>Internacional</t>
        </is>
      </c>
      <c r="F562">
        <f>VLOOKUP(E562,Clubes!B$2:D$438,2)</f>
        <v/>
      </c>
      <c r="G562">
        <f>VLOOKUP(E562,Clubes!B$2:D$438,3)</f>
        <v/>
      </c>
      <c r="H562" s="2" t="n">
        <v>38</v>
      </c>
      <c r="J562">
        <f>I562/H562</f>
        <v/>
      </c>
      <c r="K562">
        <f>H562*90</f>
        <v/>
      </c>
      <c r="M562">
        <f>L562/K562</f>
        <v/>
      </c>
    </row>
    <row r="563">
      <c r="A563" s="1" t="n">
        <v>562</v>
      </c>
      <c r="B563" s="2" t="inlineStr">
        <is>
          <t>Ecuador</t>
        </is>
      </c>
      <c r="C563" s="2" t="inlineStr">
        <is>
          <t>Piero Hincapié</t>
        </is>
      </c>
      <c r="D563" s="2" t="inlineStr">
        <is>
          <t>Defesa</t>
        </is>
      </c>
      <c r="E563" s="2" t="inlineStr">
        <is>
          <t>Arsenal</t>
        </is>
      </c>
      <c r="F563">
        <f>VLOOKUP(E563,Clubes!B$2:D$438,2)</f>
        <v/>
      </c>
      <c r="G563">
        <f>VLOOKUP(E563,Clubes!B$2:D$438,3)</f>
        <v/>
      </c>
      <c r="H563" s="2" t="n">
        <v>38</v>
      </c>
      <c r="J563">
        <f>I563/H563</f>
        <v/>
      </c>
      <c r="K563">
        <f>H563*90</f>
        <v/>
      </c>
      <c r="M563">
        <f>L563/K563</f>
        <v/>
      </c>
    </row>
    <row r="564">
      <c r="A564" s="1" t="n">
        <v>563</v>
      </c>
      <c r="B564" s="2" t="inlineStr">
        <is>
          <t>Ecuador</t>
        </is>
      </c>
      <c r="C564" s="2" t="inlineStr">
        <is>
          <t>Joel Ordóñez</t>
        </is>
      </c>
      <c r="D564" s="2" t="inlineStr">
        <is>
          <t>Defesa</t>
        </is>
      </c>
      <c r="E564" s="2" t="inlineStr">
        <is>
          <t>Club Brugge</t>
        </is>
      </c>
      <c r="F564">
        <f>VLOOKUP(E564,Clubes!B$2:D$438,2)</f>
        <v/>
      </c>
      <c r="G564">
        <f>VLOOKUP(E564,Clubes!B$2:D$438,3)</f>
        <v/>
      </c>
      <c r="H564" s="2" t="n">
        <v>40</v>
      </c>
      <c r="J564">
        <f>I564/H564</f>
        <v/>
      </c>
      <c r="K564">
        <f>H564*90</f>
        <v/>
      </c>
      <c r="M564">
        <f>L564/K564</f>
        <v/>
      </c>
    </row>
    <row r="565">
      <c r="A565" s="1" t="n">
        <v>564</v>
      </c>
      <c r="B565" s="2" t="inlineStr">
        <is>
          <t>Ecuador</t>
        </is>
      </c>
      <c r="C565" s="2" t="inlineStr">
        <is>
          <t>Willian Pacho</t>
        </is>
      </c>
      <c r="D565" s="2" t="inlineStr">
        <is>
          <t>Defesa</t>
        </is>
      </c>
      <c r="E565" s="2" t="inlineStr">
        <is>
          <t>PSG</t>
        </is>
      </c>
      <c r="F565">
        <f>VLOOKUP(E565,Clubes!B$2:D$438,2)</f>
        <v/>
      </c>
      <c r="G565">
        <f>VLOOKUP(E565,Clubes!B$2:D$438,3)</f>
        <v/>
      </c>
      <c r="H565" s="2" t="n">
        <v>46</v>
      </c>
      <c r="J565">
        <f>I565/H565</f>
        <v/>
      </c>
      <c r="K565">
        <f>H565*90</f>
        <v/>
      </c>
      <c r="M565">
        <f>L565/K565</f>
        <v/>
      </c>
    </row>
    <row r="566">
      <c r="A566" s="1" t="n">
        <v>565</v>
      </c>
      <c r="B566" s="2" t="inlineStr">
        <is>
          <t>Ecuador</t>
        </is>
      </c>
      <c r="C566" s="2" t="inlineStr">
        <is>
          <t>Jackson Porozo</t>
        </is>
      </c>
      <c r="D566" s="2" t="inlineStr">
        <is>
          <t>Defesa</t>
        </is>
      </c>
      <c r="E566" s="2" t="inlineStr">
        <is>
          <t>Dorados</t>
        </is>
      </c>
      <c r="F566">
        <f>VLOOKUP(E566,Clubes!B$2:D$438,2)</f>
        <v/>
      </c>
      <c r="G566">
        <f>VLOOKUP(E566,Clubes!B$2:D$438,3)</f>
        <v/>
      </c>
      <c r="H566" s="2" t="n">
        <v>34</v>
      </c>
      <c r="J566">
        <f>I566/H566</f>
        <v/>
      </c>
      <c r="K566">
        <f>H566*90</f>
        <v/>
      </c>
      <c r="M566">
        <f>L566/K566</f>
        <v/>
      </c>
    </row>
    <row r="567">
      <c r="A567" s="1" t="n">
        <v>566</v>
      </c>
      <c r="B567" s="2" t="inlineStr">
        <is>
          <t>Ecuador</t>
        </is>
      </c>
      <c r="C567" s="2" t="inlineStr">
        <is>
          <t>Pervis Estupiñán</t>
        </is>
      </c>
      <c r="D567" s="2" t="inlineStr">
        <is>
          <t>Defesa</t>
        </is>
      </c>
      <c r="E567" s="2" t="inlineStr">
        <is>
          <t>Milan</t>
        </is>
      </c>
      <c r="F567">
        <f>VLOOKUP(E567,Clubes!B$2:D$438,2)</f>
        <v/>
      </c>
      <c r="G567">
        <f>VLOOKUP(E567,Clubes!B$2:D$438,3)</f>
        <v/>
      </c>
      <c r="H567" s="2" t="n">
        <v>38</v>
      </c>
      <c r="J567">
        <f>I567/H567</f>
        <v/>
      </c>
      <c r="K567">
        <f>H567*90</f>
        <v/>
      </c>
      <c r="M567">
        <f>L567/K567</f>
        <v/>
      </c>
    </row>
    <row r="568">
      <c r="A568" s="1" t="n">
        <v>567</v>
      </c>
      <c r="B568" s="2" t="inlineStr">
        <is>
          <t>Ecuador</t>
        </is>
      </c>
      <c r="C568" s="2" t="inlineStr">
        <is>
          <t>Yaimar Medina</t>
        </is>
      </c>
      <c r="D568" s="2" t="inlineStr">
        <is>
          <t>Defesa</t>
        </is>
      </c>
      <c r="E568" s="2" t="inlineStr">
        <is>
          <t>Genk</t>
        </is>
      </c>
      <c r="F568">
        <f>VLOOKUP(E568,Clubes!B$2:D$438,2)</f>
        <v/>
      </c>
      <c r="G568">
        <f>VLOOKUP(E568,Clubes!B$2:D$438,3)</f>
        <v/>
      </c>
      <c r="H568" s="2" t="n">
        <v>34</v>
      </c>
      <c r="J568">
        <f>I568/H568</f>
        <v/>
      </c>
      <c r="K568">
        <f>H568*90</f>
        <v/>
      </c>
      <c r="M568">
        <f>L568/K568</f>
        <v/>
      </c>
    </row>
    <row r="569">
      <c r="A569" s="1" t="n">
        <v>568</v>
      </c>
      <c r="B569" s="2" t="inlineStr">
        <is>
          <t>Ecuador</t>
        </is>
      </c>
      <c r="C569" s="2" t="inlineStr">
        <is>
          <t>Jordy Alcívar</t>
        </is>
      </c>
      <c r="D569" s="2" t="inlineStr">
        <is>
          <t>Médio</t>
        </is>
      </c>
      <c r="E569" s="2" t="inlineStr">
        <is>
          <t>Independiente del Valle</t>
        </is>
      </c>
      <c r="F569">
        <f>VLOOKUP(E569,Clubes!B$2:D$438,2)</f>
        <v/>
      </c>
      <c r="G569">
        <f>VLOOKUP(E569,Clubes!B$2:D$438,3)</f>
        <v/>
      </c>
      <c r="H569" s="2" t="n">
        <v>30</v>
      </c>
      <c r="J569">
        <f>I569/H569</f>
        <v/>
      </c>
      <c r="K569">
        <f>H569*90</f>
        <v/>
      </c>
      <c r="M569">
        <f>L569/K569</f>
        <v/>
      </c>
    </row>
    <row r="570">
      <c r="A570" s="1" t="n">
        <v>569</v>
      </c>
      <c r="B570" s="2" t="inlineStr">
        <is>
          <t>Ecuador</t>
        </is>
      </c>
      <c r="C570" s="2" t="inlineStr">
        <is>
          <t>Alan Franco</t>
        </is>
      </c>
      <c r="D570" s="2" t="inlineStr">
        <is>
          <t>Médio</t>
        </is>
      </c>
      <c r="E570" s="2" t="inlineStr">
        <is>
          <t>Atlético Mineiro</t>
        </is>
      </c>
      <c r="F570">
        <f>VLOOKUP(E570,Clubes!B$2:D$438,2)</f>
        <v/>
      </c>
      <c r="G570">
        <f>VLOOKUP(E570,Clubes!B$2:D$438,3)</f>
        <v/>
      </c>
      <c r="H570" s="2" t="n">
        <v>38</v>
      </c>
      <c r="J570">
        <f>I570/H570</f>
        <v/>
      </c>
      <c r="K570">
        <f>H570*90</f>
        <v/>
      </c>
      <c r="M570">
        <f>L570/K570</f>
        <v/>
      </c>
    </row>
    <row r="571">
      <c r="A571" s="1" t="n">
        <v>570</v>
      </c>
      <c r="B571" s="2" t="inlineStr">
        <is>
          <t>Ecuador</t>
        </is>
      </c>
      <c r="C571" s="2" t="inlineStr">
        <is>
          <t>Pedro Vite</t>
        </is>
      </c>
      <c r="D571" s="2" t="inlineStr">
        <is>
          <t>Médio</t>
        </is>
      </c>
      <c r="E571" s="2" t="inlineStr">
        <is>
          <t>Pumas</t>
        </is>
      </c>
      <c r="F571">
        <f>VLOOKUP(E571,Clubes!B$2:D$438,2)</f>
        <v/>
      </c>
      <c r="G571">
        <f>VLOOKUP(E571,Clubes!B$2:D$438,3)</f>
        <v/>
      </c>
      <c r="H571" s="2" t="n">
        <v>34</v>
      </c>
      <c r="J571">
        <f>I571/H571</f>
        <v/>
      </c>
      <c r="K571">
        <f>H571*90</f>
        <v/>
      </c>
      <c r="M571">
        <f>L571/K571</f>
        <v/>
      </c>
    </row>
    <row r="572">
      <c r="A572" s="1" t="n">
        <v>571</v>
      </c>
      <c r="B572" s="2" t="inlineStr">
        <is>
          <t>Ecuador</t>
        </is>
      </c>
      <c r="C572" s="2" t="inlineStr">
        <is>
          <t>Denil Castillo</t>
        </is>
      </c>
      <c r="D572" s="2" t="inlineStr">
        <is>
          <t>Médio</t>
        </is>
      </c>
      <c r="E572" s="2" t="inlineStr">
        <is>
          <t>Midtjylland</t>
        </is>
      </c>
      <c r="F572">
        <f>VLOOKUP(E572,Clubes!B$2:D$438,2)</f>
        <v/>
      </c>
      <c r="G572">
        <f>VLOOKUP(E572,Clubes!B$2:D$438,3)</f>
        <v/>
      </c>
      <c r="H572" s="2" t="n">
        <v>32</v>
      </c>
      <c r="J572">
        <f>I572/H572</f>
        <v/>
      </c>
      <c r="K572">
        <f>H572*90</f>
        <v/>
      </c>
      <c r="M572">
        <f>L572/K572</f>
        <v/>
      </c>
    </row>
    <row r="573">
      <c r="A573" s="1" t="n">
        <v>572</v>
      </c>
      <c r="B573" s="2" t="inlineStr">
        <is>
          <t>Ecuador</t>
        </is>
      </c>
      <c r="C573" s="2" t="inlineStr">
        <is>
          <t>Moisés Caicedo</t>
        </is>
      </c>
      <c r="D573" s="2" t="inlineStr">
        <is>
          <t>Médio</t>
        </is>
      </c>
      <c r="E573" s="2" t="inlineStr">
        <is>
          <t>Chelsea</t>
        </is>
      </c>
      <c r="F573">
        <f>VLOOKUP(E573,Clubes!B$2:D$438,2)</f>
        <v/>
      </c>
      <c r="G573">
        <f>VLOOKUP(E573,Clubes!B$2:D$438,3)</f>
        <v/>
      </c>
      <c r="H573" s="2" t="n">
        <v>38</v>
      </c>
      <c r="J573">
        <f>I573/H573</f>
        <v/>
      </c>
      <c r="K573">
        <f>H573*90</f>
        <v/>
      </c>
      <c r="M573">
        <f>L573/K573</f>
        <v/>
      </c>
    </row>
    <row r="574">
      <c r="A574" s="1" t="n">
        <v>573</v>
      </c>
      <c r="B574" s="2" t="inlineStr">
        <is>
          <t>Ecuador</t>
        </is>
      </c>
      <c r="C574" s="2" t="inlineStr">
        <is>
          <t>John Yeboah</t>
        </is>
      </c>
      <c r="D574" s="2" t="inlineStr">
        <is>
          <t>Médio</t>
        </is>
      </c>
      <c r="E574" s="2" t="inlineStr">
        <is>
          <t>Venezia</t>
        </is>
      </c>
      <c r="F574">
        <f>VLOOKUP(E574,Clubes!B$2:D$438,2)</f>
        <v/>
      </c>
      <c r="G574">
        <f>VLOOKUP(E574,Clubes!B$2:D$438,3)</f>
        <v/>
      </c>
      <c r="H574" s="2" t="n">
        <v>38</v>
      </c>
      <c r="J574">
        <f>I574/H574</f>
        <v/>
      </c>
      <c r="K574">
        <f>H574*90</f>
        <v/>
      </c>
      <c r="M574">
        <f>L574/K574</f>
        <v/>
      </c>
    </row>
    <row r="575">
      <c r="A575" s="1" t="n">
        <v>574</v>
      </c>
      <c r="B575" s="2" t="inlineStr">
        <is>
          <t>Ecuador</t>
        </is>
      </c>
      <c r="C575" s="2" t="inlineStr">
        <is>
          <t>Kendry Páez</t>
        </is>
      </c>
      <c r="D575" s="2" t="inlineStr">
        <is>
          <t>Médio</t>
        </is>
      </c>
      <c r="E575" s="2" t="inlineStr">
        <is>
          <t>River Plate</t>
        </is>
      </c>
      <c r="F575">
        <f>VLOOKUP(E575,Clubes!B$2:D$438,2)</f>
        <v/>
      </c>
      <c r="G575">
        <f>VLOOKUP(E575,Clubes!B$2:D$438,3)</f>
        <v/>
      </c>
      <c r="H575" s="2" t="n">
        <v>32</v>
      </c>
      <c r="J575">
        <f>I575/H575</f>
        <v/>
      </c>
      <c r="K575">
        <f>H575*90</f>
        <v/>
      </c>
      <c r="M575">
        <f>L575/K575</f>
        <v/>
      </c>
    </row>
    <row r="576">
      <c r="A576" s="1" t="n">
        <v>575</v>
      </c>
      <c r="B576" s="2" t="inlineStr">
        <is>
          <t>Ecuador</t>
        </is>
      </c>
      <c r="C576" s="2" t="inlineStr">
        <is>
          <t>Anthony Valencia</t>
        </is>
      </c>
      <c r="D576" s="2" t="inlineStr">
        <is>
          <t>Avançado</t>
        </is>
      </c>
      <c r="E576" s="2" t="inlineStr">
        <is>
          <t>Royal Antwerp</t>
        </is>
      </c>
      <c r="F576">
        <f>VLOOKUP(E576,Clubes!B$2:D$438,2)</f>
        <v/>
      </c>
      <c r="G576">
        <f>VLOOKUP(E576,Clubes!B$2:D$438,3)</f>
        <v/>
      </c>
      <c r="H576" s="2" t="n">
        <v>40</v>
      </c>
      <c r="J576">
        <f>I576/H576</f>
        <v/>
      </c>
      <c r="K576">
        <f>H576*90</f>
        <v/>
      </c>
      <c r="M576">
        <f>L576/K576</f>
        <v/>
      </c>
    </row>
    <row r="577">
      <c r="A577" s="1" t="n">
        <v>576</v>
      </c>
      <c r="B577" s="2" t="inlineStr">
        <is>
          <t>Ecuador</t>
        </is>
      </c>
      <c r="C577" s="2" t="inlineStr">
        <is>
          <t>Kevin Rodríguez</t>
        </is>
      </c>
      <c r="D577" s="2" t="inlineStr">
        <is>
          <t>Avançado</t>
        </is>
      </c>
      <c r="E577" s="2" t="inlineStr">
        <is>
          <t>Union St. Gilloise</t>
        </is>
      </c>
      <c r="F577">
        <f>VLOOKUP(E577,Clubes!B$2:D$438,2)</f>
        <v/>
      </c>
      <c r="G577">
        <f>VLOOKUP(E577,Clubes!B$2:D$438,3)</f>
        <v/>
      </c>
      <c r="H577" s="2" t="n">
        <v>30</v>
      </c>
      <c r="J577">
        <f>I577/H577</f>
        <v/>
      </c>
      <c r="K577">
        <f>H577*90</f>
        <v/>
      </c>
      <c r="M577">
        <f>L577/K577</f>
        <v/>
      </c>
    </row>
    <row r="578">
      <c r="A578" s="1" t="n">
        <v>577</v>
      </c>
      <c r="B578" s="2" t="inlineStr">
        <is>
          <t>Ecuador</t>
        </is>
      </c>
      <c r="C578" s="2" t="inlineStr">
        <is>
          <t>Alan Minda</t>
        </is>
      </c>
      <c r="D578" s="2" t="inlineStr">
        <is>
          <t>Avançado</t>
        </is>
      </c>
      <c r="E578" s="2" t="inlineStr">
        <is>
          <t>Atlético Mineiro</t>
        </is>
      </c>
      <c r="F578">
        <f>VLOOKUP(E578,Clubes!B$2:D$438,2)</f>
        <v/>
      </c>
      <c r="G578">
        <f>VLOOKUP(E578,Clubes!B$2:D$438,3)</f>
        <v/>
      </c>
      <c r="H578" s="2" t="n">
        <v>38</v>
      </c>
      <c r="J578">
        <f>I578/H578</f>
        <v/>
      </c>
      <c r="K578">
        <f>H578*90</f>
        <v/>
      </c>
      <c r="M578">
        <f>L578/K578</f>
        <v/>
      </c>
    </row>
    <row r="579">
      <c r="A579" s="1" t="n">
        <v>578</v>
      </c>
      <c r="B579" s="2" t="inlineStr">
        <is>
          <t>Ecuador</t>
        </is>
      </c>
      <c r="C579" s="2" t="inlineStr">
        <is>
          <t>Gonzalo Plata</t>
        </is>
      </c>
      <c r="D579" s="2" t="inlineStr">
        <is>
          <t>Avançado</t>
        </is>
      </c>
      <c r="E579" s="2" t="inlineStr">
        <is>
          <t>Flamengo</t>
        </is>
      </c>
      <c r="F579">
        <f>VLOOKUP(E579,Clubes!B$2:D$438,2)</f>
        <v/>
      </c>
      <c r="G579">
        <f>VLOOKUP(E579,Clubes!B$2:D$438,3)</f>
        <v/>
      </c>
      <c r="H579" s="2" t="n">
        <v>38</v>
      </c>
      <c r="J579">
        <f>I579/H579</f>
        <v/>
      </c>
      <c r="K579">
        <f>H579*90</f>
        <v/>
      </c>
      <c r="M579">
        <f>L579/K579</f>
        <v/>
      </c>
    </row>
    <row r="580">
      <c r="A580" s="1" t="n">
        <v>579</v>
      </c>
      <c r="B580" s="2" t="inlineStr">
        <is>
          <t>Ecuador</t>
        </is>
      </c>
      <c r="C580" s="2" t="inlineStr">
        <is>
          <t>Enner Valencia</t>
        </is>
      </c>
      <c r="D580" s="2" t="inlineStr">
        <is>
          <t>Avançado</t>
        </is>
      </c>
      <c r="E580" s="2" t="inlineStr">
        <is>
          <t>Pachuca</t>
        </is>
      </c>
      <c r="F580">
        <f>VLOOKUP(E580,Clubes!B$2:D$438,2)</f>
        <v/>
      </c>
      <c r="G580">
        <f>VLOOKUP(E580,Clubes!B$2:D$438,3)</f>
        <v/>
      </c>
      <c r="H580" s="2" t="n">
        <v>38</v>
      </c>
      <c r="J580">
        <f>I580/H580</f>
        <v/>
      </c>
      <c r="K580">
        <f>H580*90</f>
        <v/>
      </c>
      <c r="M580">
        <f>L580/K580</f>
        <v/>
      </c>
    </row>
    <row r="581">
      <c r="A581" s="1" t="n">
        <v>580</v>
      </c>
      <c r="B581" s="2" t="inlineStr">
        <is>
          <t>Ecuador</t>
        </is>
      </c>
      <c r="C581" s="2" t="inlineStr">
        <is>
          <t>Jordy Caicedo</t>
        </is>
      </c>
      <c r="D581" s="2" t="inlineStr">
        <is>
          <t>Avançado</t>
        </is>
      </c>
      <c r="E581" s="2" t="inlineStr">
        <is>
          <t>Huracán</t>
        </is>
      </c>
      <c r="F581">
        <f>VLOOKUP(E581,Clubes!B$2:D$438,2)</f>
        <v/>
      </c>
      <c r="G581">
        <f>VLOOKUP(E581,Clubes!B$2:D$438,3)</f>
        <v/>
      </c>
      <c r="H581" s="2" t="n">
        <v>32</v>
      </c>
      <c r="J581">
        <f>I581/H581</f>
        <v/>
      </c>
      <c r="K581">
        <f>H581*90</f>
        <v/>
      </c>
      <c r="M581">
        <f>L581/K581</f>
        <v/>
      </c>
    </row>
    <row r="582">
      <c r="A582" s="1" t="n">
        <v>581</v>
      </c>
      <c r="B582" s="2" t="inlineStr">
        <is>
          <t>Ecuador</t>
        </is>
      </c>
      <c r="C582" s="2" t="inlineStr">
        <is>
          <t>Jeremy Arevalo</t>
        </is>
      </c>
      <c r="D582" s="2" t="inlineStr">
        <is>
          <t>Avançado</t>
        </is>
      </c>
      <c r="E582" s="2" t="inlineStr">
        <is>
          <t>Stuttgart</t>
        </is>
      </c>
      <c r="F582">
        <f>VLOOKUP(E582,Clubes!B$2:D$438,2)</f>
        <v/>
      </c>
      <c r="G582">
        <f>VLOOKUP(E582,Clubes!B$2:D$438,3)</f>
        <v/>
      </c>
      <c r="H582" s="2" t="n">
        <v>34</v>
      </c>
      <c r="J582">
        <f>I582/H582</f>
        <v/>
      </c>
      <c r="K582">
        <f>H582*90</f>
        <v/>
      </c>
      <c r="M582">
        <f>L582/K582</f>
        <v/>
      </c>
    </row>
    <row r="583">
      <c r="A583" s="1" t="n">
        <v>582</v>
      </c>
      <c r="B583" s="2" t="inlineStr">
        <is>
          <t>Ecuador</t>
        </is>
      </c>
      <c r="C583" s="2" t="inlineStr">
        <is>
          <t>Nilson Angulo</t>
        </is>
      </c>
      <c r="D583" s="2" t="inlineStr">
        <is>
          <t>Avançado</t>
        </is>
      </c>
      <c r="E583" s="2" t="inlineStr">
        <is>
          <t>Sunderland</t>
        </is>
      </c>
      <c r="F583">
        <f>VLOOKUP(E583,Clubes!B$2:D$438,2)</f>
        <v/>
      </c>
      <c r="G583">
        <f>VLOOKUP(E583,Clubes!B$2:D$438,3)</f>
        <v/>
      </c>
      <c r="H583" s="2" t="n">
        <v>38</v>
      </c>
      <c r="J583">
        <f>I583/H583</f>
        <v/>
      </c>
      <c r="K583">
        <f>H583*90</f>
        <v/>
      </c>
      <c r="M583">
        <f>L583/K583</f>
        <v/>
      </c>
    </row>
    <row r="584">
      <c r="A584" s="1" t="n">
        <v>583</v>
      </c>
      <c r="B584" s="2" t="inlineStr">
        <is>
          <t>Scotland</t>
        </is>
      </c>
      <c r="C584" s="2" t="inlineStr">
        <is>
          <t>Angus Gunn</t>
        </is>
      </c>
      <c r="D584" s="2" t="inlineStr">
        <is>
          <t>Guarda Redes</t>
        </is>
      </c>
      <c r="E584" s="2" t="inlineStr">
        <is>
          <t>Nottingham Forest</t>
        </is>
      </c>
      <c r="F584">
        <f>VLOOKUP(E584,Clubes!B$2:D$438,2)</f>
        <v/>
      </c>
      <c r="G584">
        <f>VLOOKUP(E584,Clubes!B$2:D$438,3)</f>
        <v/>
      </c>
      <c r="H584" s="2" t="n">
        <v>38</v>
      </c>
      <c r="J584">
        <f>I584/H584</f>
        <v/>
      </c>
      <c r="K584">
        <f>H584*90</f>
        <v/>
      </c>
      <c r="M584">
        <f>L584/K584</f>
        <v/>
      </c>
    </row>
    <row r="585">
      <c r="A585" s="1" t="n">
        <v>584</v>
      </c>
      <c r="B585" s="2" t="inlineStr">
        <is>
          <t>Scotland</t>
        </is>
      </c>
      <c r="C585" s="2" t="inlineStr">
        <is>
          <t>Liam Kelly</t>
        </is>
      </c>
      <c r="D585" s="2" t="inlineStr">
        <is>
          <t>Guarda Redes</t>
        </is>
      </c>
      <c r="E585" s="2" t="inlineStr">
        <is>
          <t>Rangers</t>
        </is>
      </c>
      <c r="F585">
        <f>VLOOKUP(E585,Clubes!B$2:D$438,2)</f>
        <v/>
      </c>
      <c r="G585">
        <f>VLOOKUP(E585,Clubes!B$2:D$438,3)</f>
        <v/>
      </c>
      <c r="H585" s="2" t="n">
        <v>34</v>
      </c>
      <c r="J585">
        <f>I585/H585</f>
        <v/>
      </c>
      <c r="K585">
        <f>H585*90</f>
        <v/>
      </c>
      <c r="M585">
        <f>L585/K585</f>
        <v/>
      </c>
    </row>
    <row r="586">
      <c r="A586" s="1" t="n">
        <v>585</v>
      </c>
      <c r="B586" s="2" t="inlineStr">
        <is>
          <t>Scotland</t>
        </is>
      </c>
      <c r="C586" s="2" t="inlineStr">
        <is>
          <t>Craig Gordon</t>
        </is>
      </c>
      <c r="D586" s="2" t="inlineStr">
        <is>
          <t>Guarda Redes</t>
        </is>
      </c>
      <c r="E586" s="2" t="inlineStr">
        <is>
          <t>Hearts</t>
        </is>
      </c>
      <c r="F586">
        <f>VLOOKUP(E586,Clubes!B$2:D$438,2)</f>
        <v/>
      </c>
      <c r="G586">
        <f>VLOOKUP(E586,Clubes!B$2:D$438,3)</f>
        <v/>
      </c>
      <c r="H586" s="2" t="n">
        <v>38</v>
      </c>
      <c r="J586">
        <f>I586/H586</f>
        <v/>
      </c>
      <c r="K586">
        <f>H586*90</f>
        <v/>
      </c>
      <c r="M586">
        <f>L586/K586</f>
        <v/>
      </c>
    </row>
    <row r="587">
      <c r="A587" s="1" t="n">
        <v>586</v>
      </c>
      <c r="B587" s="2" t="inlineStr">
        <is>
          <t>Scotland</t>
        </is>
      </c>
      <c r="C587" s="2" t="inlineStr">
        <is>
          <t>Nathan Patterson</t>
        </is>
      </c>
      <c r="D587" s="2" t="inlineStr">
        <is>
          <t>Defesa</t>
        </is>
      </c>
      <c r="E587" s="2" t="inlineStr">
        <is>
          <t>Everton</t>
        </is>
      </c>
      <c r="F587">
        <f>VLOOKUP(E587,Clubes!B$2:D$438,2)</f>
        <v/>
      </c>
      <c r="G587">
        <f>VLOOKUP(E587,Clubes!B$2:D$438,3)</f>
        <v/>
      </c>
      <c r="H587" s="2" t="n">
        <v>38</v>
      </c>
      <c r="J587">
        <f>I587/H587</f>
        <v/>
      </c>
      <c r="K587">
        <f>H587*90</f>
        <v/>
      </c>
      <c r="M587">
        <f>L587/K587</f>
        <v/>
      </c>
    </row>
    <row r="588">
      <c r="A588" s="1" t="n">
        <v>587</v>
      </c>
      <c r="B588" s="2" t="inlineStr">
        <is>
          <t>Scotland</t>
        </is>
      </c>
      <c r="C588" s="2" t="inlineStr">
        <is>
          <t>Anthony Ralston</t>
        </is>
      </c>
      <c r="D588" s="2" t="inlineStr">
        <is>
          <t>Defesa</t>
        </is>
      </c>
      <c r="E588" s="2" t="inlineStr">
        <is>
          <t>Celtic</t>
        </is>
      </c>
      <c r="F588">
        <f>VLOOKUP(E588,Clubes!B$2:D$438,2)</f>
        <v/>
      </c>
      <c r="G588">
        <f>VLOOKUP(E588,Clubes!B$2:D$438,3)</f>
        <v/>
      </c>
      <c r="H588" s="2" t="n">
        <v>38</v>
      </c>
      <c r="J588">
        <f>I588/H588</f>
        <v/>
      </c>
      <c r="K588">
        <f>H588*90</f>
        <v/>
      </c>
      <c r="M588">
        <f>L588/K588</f>
        <v/>
      </c>
    </row>
    <row r="589">
      <c r="A589" s="1" t="n">
        <v>588</v>
      </c>
      <c r="B589" s="2" t="inlineStr">
        <is>
          <t>Scotland</t>
        </is>
      </c>
      <c r="C589" s="2" t="inlineStr">
        <is>
          <t>Grant Hanley</t>
        </is>
      </c>
      <c r="D589" s="2" t="inlineStr">
        <is>
          <t>Defesa</t>
        </is>
      </c>
      <c r="E589" s="2" t="inlineStr">
        <is>
          <t>Hibernian</t>
        </is>
      </c>
      <c r="F589">
        <f>VLOOKUP(E589,Clubes!B$2:D$438,2)</f>
        <v/>
      </c>
      <c r="G589">
        <f>VLOOKUP(E589,Clubes!B$2:D$438,3)</f>
        <v/>
      </c>
      <c r="H589" s="2" t="n">
        <v>38</v>
      </c>
      <c r="J589">
        <f>I589/H589</f>
        <v/>
      </c>
      <c r="K589">
        <f>H589*90</f>
        <v/>
      </c>
      <c r="M589">
        <f>L589/K589</f>
        <v/>
      </c>
    </row>
    <row r="590">
      <c r="A590" s="1" t="n">
        <v>589</v>
      </c>
      <c r="B590" s="2" t="inlineStr">
        <is>
          <t>Scotland</t>
        </is>
      </c>
      <c r="C590" s="2" t="inlineStr">
        <is>
          <t>Jack Hendry</t>
        </is>
      </c>
      <c r="D590" s="2" t="inlineStr">
        <is>
          <t>Defesa</t>
        </is>
      </c>
      <c r="E590" s="2" t="inlineStr">
        <is>
          <t>Al-Ettifaq</t>
        </is>
      </c>
      <c r="F590">
        <f>VLOOKUP(E590,Clubes!B$2:D$438,2)</f>
        <v/>
      </c>
      <c r="G590">
        <f>VLOOKUP(E590,Clubes!B$2:D$438,3)</f>
        <v/>
      </c>
      <c r="H590" s="2" t="n">
        <v>34</v>
      </c>
      <c r="J590">
        <f>I590/H590</f>
        <v/>
      </c>
      <c r="K590">
        <f>H590*90</f>
        <v/>
      </c>
      <c r="M590">
        <f>L590/K590</f>
        <v/>
      </c>
    </row>
    <row r="591">
      <c r="A591" s="1" t="n">
        <v>590</v>
      </c>
      <c r="B591" s="2" t="inlineStr">
        <is>
          <t>Scotland</t>
        </is>
      </c>
      <c r="C591" s="2" t="inlineStr">
        <is>
          <t>John Souttar</t>
        </is>
      </c>
      <c r="D591" s="2" t="inlineStr">
        <is>
          <t>Defesa</t>
        </is>
      </c>
      <c r="E591" s="2" t="inlineStr">
        <is>
          <t>Rangers</t>
        </is>
      </c>
      <c r="F591">
        <f>VLOOKUP(E591,Clubes!B$2:D$438,2)</f>
        <v/>
      </c>
      <c r="G591">
        <f>VLOOKUP(E591,Clubes!B$2:D$438,3)</f>
        <v/>
      </c>
      <c r="H591" s="2" t="n">
        <v>34</v>
      </c>
      <c r="J591">
        <f>I591/H591</f>
        <v/>
      </c>
      <c r="K591">
        <f>H591*90</f>
        <v/>
      </c>
      <c r="M591">
        <f>L591/K591</f>
        <v/>
      </c>
    </row>
    <row r="592">
      <c r="A592" s="1" t="n">
        <v>591</v>
      </c>
      <c r="B592" s="2" t="inlineStr">
        <is>
          <t>Scotland</t>
        </is>
      </c>
      <c r="C592" s="2" t="inlineStr">
        <is>
          <t>Dominic Hyam</t>
        </is>
      </c>
      <c r="D592" s="2" t="inlineStr">
        <is>
          <t>Defesa</t>
        </is>
      </c>
      <c r="E592" s="2" t="inlineStr">
        <is>
          <t>Wrexham</t>
        </is>
      </c>
      <c r="F592">
        <f>VLOOKUP(E592,Clubes!B$2:D$438,2)</f>
        <v/>
      </c>
      <c r="G592">
        <f>VLOOKUP(E592,Clubes!B$2:D$438,3)</f>
        <v/>
      </c>
      <c r="H592" s="2" t="n">
        <v>46</v>
      </c>
      <c r="J592">
        <f>I592/H592</f>
        <v/>
      </c>
      <c r="K592">
        <f>H592*90</f>
        <v/>
      </c>
      <c r="M592">
        <f>L592/K592</f>
        <v/>
      </c>
    </row>
    <row r="593">
      <c r="A593" s="1" t="n">
        <v>592</v>
      </c>
      <c r="B593" s="2" t="inlineStr">
        <is>
          <t>Scotland</t>
        </is>
      </c>
      <c r="C593" s="2" t="inlineStr">
        <is>
          <t>Scott McKenna</t>
        </is>
      </c>
      <c r="D593" s="2" t="inlineStr">
        <is>
          <t>Defesa</t>
        </is>
      </c>
      <c r="E593" s="2" t="inlineStr">
        <is>
          <t>Dinamo Zagreb</t>
        </is>
      </c>
      <c r="F593">
        <f>VLOOKUP(E593,Clubes!B$2:D$438,2)</f>
        <v/>
      </c>
      <c r="G593">
        <f>VLOOKUP(E593,Clubes!B$2:D$438,3)</f>
        <v/>
      </c>
      <c r="H593" s="2" t="n">
        <v>36</v>
      </c>
      <c r="J593">
        <f>I593/H593</f>
        <v/>
      </c>
      <c r="K593">
        <f>H593*90</f>
        <v/>
      </c>
      <c r="M593">
        <f>L593/K593</f>
        <v/>
      </c>
    </row>
    <row r="594">
      <c r="A594" s="1" t="n">
        <v>593</v>
      </c>
      <c r="B594" s="2" t="inlineStr">
        <is>
          <t>Scotland</t>
        </is>
      </c>
      <c r="C594" s="2" t="inlineStr">
        <is>
          <t>Aaron Hickey</t>
        </is>
      </c>
      <c r="D594" s="2" t="inlineStr">
        <is>
          <t>Defesa</t>
        </is>
      </c>
      <c r="E594" s="2" t="inlineStr">
        <is>
          <t>Brentford</t>
        </is>
      </c>
      <c r="F594">
        <f>VLOOKUP(E594,Clubes!B$2:D$438,2)</f>
        <v/>
      </c>
      <c r="G594">
        <f>VLOOKUP(E594,Clubes!B$2:D$438,3)</f>
        <v/>
      </c>
      <c r="H594" s="2" t="n">
        <v>38</v>
      </c>
      <c r="J594">
        <f>I594/H594</f>
        <v/>
      </c>
      <c r="K594">
        <f>H594*90</f>
        <v/>
      </c>
      <c r="M594">
        <f>L594/K594</f>
        <v/>
      </c>
    </row>
    <row r="595">
      <c r="A595" s="1" t="n">
        <v>594</v>
      </c>
      <c r="B595" s="2" t="inlineStr">
        <is>
          <t>Scotland</t>
        </is>
      </c>
      <c r="C595" s="2" t="inlineStr">
        <is>
          <t>Andy Robertson</t>
        </is>
      </c>
      <c r="D595" s="2" t="inlineStr">
        <is>
          <t>Defesa</t>
        </is>
      </c>
      <c r="E595" s="2" t="inlineStr">
        <is>
          <t>Liverpool</t>
        </is>
      </c>
      <c r="F595">
        <f>VLOOKUP(E595,Clubes!B$2:D$438,2)</f>
        <v/>
      </c>
      <c r="G595">
        <f>VLOOKUP(E595,Clubes!B$2:D$438,3)</f>
        <v/>
      </c>
      <c r="H595" s="2" t="n">
        <v>38</v>
      </c>
      <c r="J595">
        <f>I595/H595</f>
        <v/>
      </c>
      <c r="K595">
        <f>H595*90</f>
        <v/>
      </c>
      <c r="M595">
        <f>L595/K595</f>
        <v/>
      </c>
    </row>
    <row r="596">
      <c r="A596" s="1" t="n">
        <v>595</v>
      </c>
      <c r="B596" s="2" t="inlineStr">
        <is>
          <t>Scotland</t>
        </is>
      </c>
      <c r="C596" s="2" t="inlineStr">
        <is>
          <t>Kieran Tierney</t>
        </is>
      </c>
      <c r="D596" s="2" t="inlineStr">
        <is>
          <t>Defesa</t>
        </is>
      </c>
      <c r="E596" s="2" t="inlineStr">
        <is>
          <t>Celtic</t>
        </is>
      </c>
      <c r="F596">
        <f>VLOOKUP(E596,Clubes!B$2:D$438,2)</f>
        <v/>
      </c>
      <c r="G596">
        <f>VLOOKUP(E596,Clubes!B$2:D$438,3)</f>
        <v/>
      </c>
      <c r="H596" s="2" t="n">
        <v>38</v>
      </c>
      <c r="J596">
        <f>I596/H596</f>
        <v/>
      </c>
      <c r="K596">
        <f>H596*90</f>
        <v/>
      </c>
      <c r="M596">
        <f>L596/K596</f>
        <v/>
      </c>
    </row>
    <row r="597">
      <c r="A597" s="1" t="n">
        <v>596</v>
      </c>
      <c r="B597" s="2" t="inlineStr">
        <is>
          <t>Scotland</t>
        </is>
      </c>
      <c r="C597" s="2" t="inlineStr">
        <is>
          <t>Scott McTominay</t>
        </is>
      </c>
      <c r="D597" s="2" t="inlineStr">
        <is>
          <t>Médio</t>
        </is>
      </c>
      <c r="E597" s="2" t="inlineStr">
        <is>
          <t>Napoli</t>
        </is>
      </c>
      <c r="F597">
        <f>VLOOKUP(E597,Clubes!B$2:D$438,2)</f>
        <v/>
      </c>
      <c r="G597">
        <f>VLOOKUP(E597,Clubes!B$2:D$438,3)</f>
        <v/>
      </c>
      <c r="H597" s="2" t="n">
        <v>38</v>
      </c>
      <c r="J597">
        <f>I597/H597</f>
        <v/>
      </c>
      <c r="K597">
        <f>H597*90</f>
        <v/>
      </c>
      <c r="M597">
        <f>L597/K597</f>
        <v/>
      </c>
    </row>
    <row r="598">
      <c r="A598" s="1" t="n">
        <v>597</v>
      </c>
      <c r="B598" s="2" t="inlineStr">
        <is>
          <t>Scotland</t>
        </is>
      </c>
      <c r="C598" s="2" t="inlineStr">
        <is>
          <t>John McGinn</t>
        </is>
      </c>
      <c r="D598" s="2" t="inlineStr">
        <is>
          <t>Médio</t>
        </is>
      </c>
      <c r="E598" s="2" t="inlineStr">
        <is>
          <t>Aston Villa</t>
        </is>
      </c>
      <c r="F598">
        <f>VLOOKUP(E598,Clubes!B$2:D$438,2)</f>
        <v/>
      </c>
      <c r="G598">
        <f>VLOOKUP(E598,Clubes!B$2:D$438,3)</f>
        <v/>
      </c>
      <c r="H598" s="2" t="n">
        <v>38</v>
      </c>
      <c r="J598">
        <f>I598/H598</f>
        <v/>
      </c>
      <c r="K598">
        <f>H598*90</f>
        <v/>
      </c>
      <c r="M598">
        <f>L598/K598</f>
        <v/>
      </c>
    </row>
    <row r="599">
      <c r="A599" s="1" t="n">
        <v>598</v>
      </c>
      <c r="B599" s="2" t="inlineStr">
        <is>
          <t>Scotland</t>
        </is>
      </c>
      <c r="C599" s="2" t="inlineStr">
        <is>
          <t>Tyler Fletcher</t>
        </is>
      </c>
      <c r="D599" s="2" t="inlineStr">
        <is>
          <t>Médio</t>
        </is>
      </c>
      <c r="E599" s="2" t="inlineStr">
        <is>
          <t>Manchester United</t>
        </is>
      </c>
      <c r="F599">
        <f>VLOOKUP(E599,Clubes!B$2:D$438,2)</f>
        <v/>
      </c>
      <c r="G599">
        <f>VLOOKUP(E599,Clubes!B$2:D$438,3)</f>
        <v/>
      </c>
      <c r="H599" s="2" t="n">
        <v>38</v>
      </c>
      <c r="J599">
        <f>I599/H599</f>
        <v/>
      </c>
      <c r="K599">
        <f>H599*90</f>
        <v/>
      </c>
      <c r="M599">
        <f>L599/K599</f>
        <v/>
      </c>
    </row>
    <row r="600">
      <c r="A600" s="1" t="n">
        <v>599</v>
      </c>
      <c r="B600" s="2" t="inlineStr">
        <is>
          <t>Scotland</t>
        </is>
      </c>
      <c r="C600" s="2" t="inlineStr">
        <is>
          <t>Lewis Ferguson</t>
        </is>
      </c>
      <c r="D600" s="2" t="inlineStr">
        <is>
          <t>Médio</t>
        </is>
      </c>
      <c r="E600" s="2" t="inlineStr">
        <is>
          <t>Bologna</t>
        </is>
      </c>
      <c r="F600">
        <f>VLOOKUP(E600,Clubes!B$2:D$438,2)</f>
        <v/>
      </c>
      <c r="G600">
        <f>VLOOKUP(E600,Clubes!B$2:D$438,3)</f>
        <v/>
      </c>
      <c r="H600" s="2" t="n">
        <v>38</v>
      </c>
      <c r="J600">
        <f>I600/H600</f>
        <v/>
      </c>
      <c r="K600">
        <f>H600*90</f>
        <v/>
      </c>
      <c r="M600">
        <f>L600/K600</f>
        <v/>
      </c>
    </row>
    <row r="601">
      <c r="A601" s="1" t="n">
        <v>600</v>
      </c>
      <c r="B601" s="2" t="inlineStr">
        <is>
          <t>Scotland</t>
        </is>
      </c>
      <c r="C601" s="2" t="inlineStr">
        <is>
          <t>Kenny McLean</t>
        </is>
      </c>
      <c r="D601" s="2" t="inlineStr">
        <is>
          <t>Médio</t>
        </is>
      </c>
      <c r="E601" s="2" t="inlineStr">
        <is>
          <t>Norwich City</t>
        </is>
      </c>
      <c r="F601">
        <f>VLOOKUP(E601,Clubes!B$2:D$438,2)</f>
        <v/>
      </c>
      <c r="G601">
        <f>VLOOKUP(E601,Clubes!B$2:D$438,3)</f>
        <v/>
      </c>
      <c r="H601" s="2" t="n">
        <v>46</v>
      </c>
      <c r="J601">
        <f>I601/H601</f>
        <v/>
      </c>
      <c r="K601">
        <f>H601*90</f>
        <v/>
      </c>
      <c r="M601">
        <f>L601/K601</f>
        <v/>
      </c>
    </row>
    <row r="602">
      <c r="A602" s="1" t="n">
        <v>601</v>
      </c>
      <c r="B602" s="2" t="inlineStr">
        <is>
          <t>Scotland</t>
        </is>
      </c>
      <c r="C602" s="2" t="inlineStr">
        <is>
          <t>Ryan Christie</t>
        </is>
      </c>
      <c r="D602" s="2" t="inlineStr">
        <is>
          <t>Médio</t>
        </is>
      </c>
      <c r="E602" s="2" t="inlineStr">
        <is>
          <t>Bournemouth</t>
        </is>
      </c>
      <c r="F602">
        <f>VLOOKUP(E602,Clubes!B$2:D$438,2)</f>
        <v/>
      </c>
      <c r="G602">
        <f>VLOOKUP(E602,Clubes!B$2:D$438,3)</f>
        <v/>
      </c>
      <c r="H602" s="2" t="n">
        <v>38</v>
      </c>
      <c r="J602">
        <f>I602/H602</f>
        <v/>
      </c>
      <c r="K602">
        <f>H602*90</f>
        <v/>
      </c>
      <c r="M602">
        <f>L602/K602</f>
        <v/>
      </c>
    </row>
    <row r="603">
      <c r="A603" s="1" t="n">
        <v>602</v>
      </c>
      <c r="B603" s="2" t="inlineStr">
        <is>
          <t>Scotland</t>
        </is>
      </c>
      <c r="C603" s="2" t="inlineStr">
        <is>
          <t>Ben Gannon-Doak</t>
        </is>
      </c>
      <c r="D603" s="2" t="inlineStr">
        <is>
          <t>Avançado</t>
        </is>
      </c>
      <c r="E603" s="2" t="inlineStr">
        <is>
          <t>Bournemouth</t>
        </is>
      </c>
      <c r="F603">
        <f>VLOOKUP(E603,Clubes!B$2:D$438,2)</f>
        <v/>
      </c>
      <c r="G603">
        <f>VLOOKUP(E603,Clubes!B$2:D$438,3)</f>
        <v/>
      </c>
      <c r="H603" s="2" t="n">
        <v>38</v>
      </c>
      <c r="J603">
        <f>I603/H603</f>
        <v/>
      </c>
      <c r="K603">
        <f>H603*90</f>
        <v/>
      </c>
      <c r="M603">
        <f>L603/K603</f>
        <v/>
      </c>
    </row>
    <row r="604">
      <c r="A604" s="1" t="n">
        <v>603</v>
      </c>
      <c r="B604" s="2" t="inlineStr">
        <is>
          <t>Scotland</t>
        </is>
      </c>
      <c r="C604" s="2" t="inlineStr">
        <is>
          <t>Lyndon Dykes</t>
        </is>
      </c>
      <c r="D604" s="2" t="inlineStr">
        <is>
          <t>Avançado</t>
        </is>
      </c>
      <c r="E604" s="2" t="inlineStr">
        <is>
          <t>Charlton Athletic</t>
        </is>
      </c>
      <c r="F604">
        <f>VLOOKUP(E604,Clubes!B$2:D$438,2)</f>
        <v/>
      </c>
      <c r="G604">
        <f>VLOOKUP(E604,Clubes!B$2:D$438,3)</f>
        <v/>
      </c>
      <c r="H604" s="2" t="n">
        <v>46</v>
      </c>
      <c r="J604">
        <f>I604/H604</f>
        <v/>
      </c>
      <c r="K604">
        <f>H604*90</f>
        <v/>
      </c>
      <c r="M604">
        <f>L604/K604</f>
        <v/>
      </c>
    </row>
    <row r="605">
      <c r="A605" s="1" t="n">
        <v>604</v>
      </c>
      <c r="B605" s="2" t="inlineStr">
        <is>
          <t>Scotland</t>
        </is>
      </c>
      <c r="C605" s="2" t="inlineStr">
        <is>
          <t>Che Adams</t>
        </is>
      </c>
      <c r="D605" s="2" t="inlineStr">
        <is>
          <t>Avançado</t>
        </is>
      </c>
      <c r="E605" s="2" t="inlineStr">
        <is>
          <t>Torino</t>
        </is>
      </c>
      <c r="F605">
        <f>VLOOKUP(E605,Clubes!B$2:D$438,2)</f>
        <v/>
      </c>
      <c r="G605">
        <f>VLOOKUP(E605,Clubes!B$2:D$438,3)</f>
        <v/>
      </c>
      <c r="H605" s="2" t="n">
        <v>38</v>
      </c>
      <c r="J605">
        <f>I605/H605</f>
        <v/>
      </c>
      <c r="K605">
        <f>H605*90</f>
        <v/>
      </c>
      <c r="M605">
        <f>L605/K605</f>
        <v/>
      </c>
    </row>
    <row r="606">
      <c r="A606" s="1" t="n">
        <v>605</v>
      </c>
      <c r="B606" s="2" t="inlineStr">
        <is>
          <t>Scotland</t>
        </is>
      </c>
      <c r="C606" s="2" t="inlineStr">
        <is>
          <t>Ross Stewart</t>
        </is>
      </c>
      <c r="D606" s="2" t="inlineStr">
        <is>
          <t>Avançado</t>
        </is>
      </c>
      <c r="E606" s="2" t="inlineStr">
        <is>
          <t>Southampton</t>
        </is>
      </c>
      <c r="F606">
        <f>VLOOKUP(E606,Clubes!B$2:D$438,2)</f>
        <v/>
      </c>
      <c r="G606">
        <f>VLOOKUP(E606,Clubes!B$2:D$438,3)</f>
        <v/>
      </c>
      <c r="H606" s="2" t="n">
        <v>46</v>
      </c>
      <c r="J606">
        <f>I606/H606</f>
        <v/>
      </c>
      <c r="K606">
        <f>H606*90</f>
        <v/>
      </c>
      <c r="M606">
        <f>L606/K606</f>
        <v/>
      </c>
    </row>
    <row r="607">
      <c r="A607" s="1" t="n">
        <v>606</v>
      </c>
      <c r="B607" s="2" t="inlineStr">
        <is>
          <t>Scotland</t>
        </is>
      </c>
      <c r="C607" s="2" t="inlineStr">
        <is>
          <t>George Hirst</t>
        </is>
      </c>
      <c r="D607" s="2" t="inlineStr">
        <is>
          <t>Avançado</t>
        </is>
      </c>
      <c r="E607" s="2" t="inlineStr">
        <is>
          <t>Ipswich Town</t>
        </is>
      </c>
      <c r="F607">
        <f>VLOOKUP(E607,Clubes!B$2:D$438,2)</f>
        <v/>
      </c>
      <c r="G607">
        <f>VLOOKUP(E607,Clubes!B$2:D$438,3)</f>
        <v/>
      </c>
      <c r="H607" s="2" t="n">
        <v>46</v>
      </c>
      <c r="J607">
        <f>I607/H607</f>
        <v/>
      </c>
      <c r="K607">
        <f>H607*90</f>
        <v/>
      </c>
      <c r="M607">
        <f>L607/K607</f>
        <v/>
      </c>
    </row>
    <row r="608">
      <c r="A608" s="1" t="n">
        <v>607</v>
      </c>
      <c r="B608" s="2" t="inlineStr">
        <is>
          <t>Scotland</t>
        </is>
      </c>
      <c r="C608" s="2" t="inlineStr">
        <is>
          <t>Lawrence Shankland</t>
        </is>
      </c>
      <c r="D608" s="2" t="inlineStr">
        <is>
          <t>Avançado</t>
        </is>
      </c>
      <c r="E608" s="2" t="inlineStr">
        <is>
          <t>Hearts</t>
        </is>
      </c>
      <c r="F608">
        <f>VLOOKUP(E608,Clubes!B$2:D$438,2)</f>
        <v/>
      </c>
      <c r="G608">
        <f>VLOOKUP(E608,Clubes!B$2:D$438,3)</f>
        <v/>
      </c>
      <c r="H608" s="2" t="n">
        <v>38</v>
      </c>
      <c r="J608">
        <f>I608/H608</f>
        <v/>
      </c>
      <c r="K608">
        <f>H608*90</f>
        <v/>
      </c>
      <c r="M608">
        <f>L608/K608</f>
        <v/>
      </c>
    </row>
    <row r="609">
      <c r="A609" s="1" t="n">
        <v>608</v>
      </c>
      <c r="B609" s="2" t="inlineStr">
        <is>
          <t>Scotland</t>
        </is>
      </c>
      <c r="C609" s="2" t="inlineStr">
        <is>
          <t>Findlay Curtis</t>
        </is>
      </c>
      <c r="D609" s="2" t="inlineStr">
        <is>
          <t>Avançado</t>
        </is>
      </c>
      <c r="E609" s="2" t="inlineStr">
        <is>
          <t>Kilmarnock</t>
        </is>
      </c>
      <c r="F609">
        <f>VLOOKUP(E609,Clubes!B$2:D$438,2)</f>
        <v/>
      </c>
      <c r="G609">
        <f>VLOOKUP(E609,Clubes!B$2:D$438,3)</f>
        <v/>
      </c>
      <c r="H609" s="2" t="n">
        <v>38</v>
      </c>
      <c r="J609">
        <f>I609/H609</f>
        <v/>
      </c>
      <c r="K609">
        <f>H609*90</f>
        <v/>
      </c>
      <c r="M609">
        <f>L609/K609</f>
        <v/>
      </c>
    </row>
    <row r="610">
      <c r="A610" s="1" t="n">
        <v>609</v>
      </c>
      <c r="B610" s="2" t="inlineStr">
        <is>
          <t>Spain</t>
        </is>
      </c>
      <c r="C610" s="2" t="inlineStr">
        <is>
          <t>David Raya</t>
        </is>
      </c>
      <c r="D610" s="2" t="inlineStr">
        <is>
          <t>Guarda Redes</t>
        </is>
      </c>
      <c r="E610" s="2" t="inlineStr">
        <is>
          <t>Arsenal</t>
        </is>
      </c>
      <c r="F610">
        <f>VLOOKUP(E610,Clubes!B$2:D$438,2)</f>
        <v/>
      </c>
      <c r="G610">
        <f>VLOOKUP(E610,Clubes!B$2:D$438,3)</f>
        <v/>
      </c>
      <c r="H610" s="2" t="n">
        <v>38</v>
      </c>
      <c r="J610">
        <f>I610/H610</f>
        <v/>
      </c>
      <c r="K610">
        <f>H610*90</f>
        <v/>
      </c>
      <c r="M610">
        <f>L610/K610</f>
        <v/>
      </c>
    </row>
    <row r="611">
      <c r="A611" s="1" t="n">
        <v>610</v>
      </c>
      <c r="B611" s="2" t="inlineStr">
        <is>
          <t>Spain</t>
        </is>
      </c>
      <c r="C611" s="2" t="inlineStr">
        <is>
          <t>Joan Garcia</t>
        </is>
      </c>
      <c r="D611" s="2" t="inlineStr">
        <is>
          <t>Guarda Redes</t>
        </is>
      </c>
      <c r="E611" s="2" t="inlineStr">
        <is>
          <t>Barcelona</t>
        </is>
      </c>
      <c r="F611">
        <f>VLOOKUP(E611,Clubes!B$2:D$438,2)</f>
        <v/>
      </c>
      <c r="G611">
        <f>VLOOKUP(E611,Clubes!B$2:D$438,3)</f>
        <v/>
      </c>
      <c r="H611" s="2" t="n">
        <v>38</v>
      </c>
      <c r="J611">
        <f>I611/H611</f>
        <v/>
      </c>
      <c r="K611">
        <f>H611*90</f>
        <v/>
      </c>
      <c r="M611">
        <f>L611/K611</f>
        <v/>
      </c>
    </row>
    <row r="612">
      <c r="A612" s="1" t="n">
        <v>611</v>
      </c>
      <c r="B612" s="2" t="inlineStr">
        <is>
          <t>Spain</t>
        </is>
      </c>
      <c r="C612" s="2" t="inlineStr">
        <is>
          <t>Unai Simón</t>
        </is>
      </c>
      <c r="D612" s="2" t="inlineStr">
        <is>
          <t>Guarda Redes</t>
        </is>
      </c>
      <c r="E612" s="2" t="inlineStr">
        <is>
          <t>Athletic Bilbao</t>
        </is>
      </c>
      <c r="F612">
        <f>VLOOKUP(E612,Clubes!B$2:D$438,2)</f>
        <v/>
      </c>
      <c r="G612">
        <f>VLOOKUP(E612,Clubes!B$2:D$438,3)</f>
        <v/>
      </c>
      <c r="H612" s="2" t="n">
        <v>38</v>
      </c>
      <c r="J612">
        <f>I612/H612</f>
        <v/>
      </c>
      <c r="K612">
        <f>H612*90</f>
        <v/>
      </c>
      <c r="M612">
        <f>L612/K612</f>
        <v/>
      </c>
    </row>
    <row r="613">
      <c r="A613" s="1" t="n">
        <v>612</v>
      </c>
      <c r="B613" s="2" t="inlineStr">
        <is>
          <t>Spain</t>
        </is>
      </c>
      <c r="C613" s="2" t="inlineStr">
        <is>
          <t>Pedro Porro</t>
        </is>
      </c>
      <c r="D613" s="2" t="inlineStr">
        <is>
          <t>Defesa</t>
        </is>
      </c>
      <c r="E613" s="2" t="inlineStr">
        <is>
          <t>Tottenham</t>
        </is>
      </c>
      <c r="F613">
        <f>VLOOKUP(E613,Clubes!B$2:D$438,2)</f>
        <v/>
      </c>
      <c r="G613">
        <f>VLOOKUP(E613,Clubes!B$2:D$438,3)</f>
        <v/>
      </c>
      <c r="H613" s="2" t="n">
        <v>38</v>
      </c>
      <c r="J613">
        <f>I613/H613</f>
        <v/>
      </c>
      <c r="K613">
        <f>H613*90</f>
        <v/>
      </c>
      <c r="M613">
        <f>L613/K613</f>
        <v/>
      </c>
    </row>
    <row r="614">
      <c r="A614" s="1" t="n">
        <v>613</v>
      </c>
      <c r="B614" s="2" t="inlineStr">
        <is>
          <t>Spain</t>
        </is>
      </c>
      <c r="C614" s="2" t="inlineStr">
        <is>
          <t>Marc Pubill</t>
        </is>
      </c>
      <c r="D614" s="2" t="inlineStr">
        <is>
          <t>Defesa</t>
        </is>
      </c>
      <c r="E614" s="2" t="inlineStr">
        <is>
          <t>Atlético de Madrid</t>
        </is>
      </c>
      <c r="F614">
        <f>VLOOKUP(E614,Clubes!B$2:D$438,2)</f>
        <v/>
      </c>
      <c r="G614">
        <f>VLOOKUP(E614,Clubes!B$2:D$438,3)</f>
        <v/>
      </c>
      <c r="H614" s="2" t="n">
        <v>34</v>
      </c>
      <c r="J614">
        <f>I614/H614</f>
        <v/>
      </c>
      <c r="K614">
        <f>H614*90</f>
        <v/>
      </c>
      <c r="M614">
        <f>L614/K614</f>
        <v/>
      </c>
    </row>
    <row r="615">
      <c r="A615" s="1" t="n">
        <v>614</v>
      </c>
      <c r="B615" s="2" t="inlineStr">
        <is>
          <t>Spain</t>
        </is>
      </c>
      <c r="C615" s="2" t="inlineStr">
        <is>
          <t>Eric García</t>
        </is>
      </c>
      <c r="D615" s="2" t="inlineStr">
        <is>
          <t>Defesa</t>
        </is>
      </c>
      <c r="E615" s="2" t="inlineStr">
        <is>
          <t>Barcelona</t>
        </is>
      </c>
      <c r="F615">
        <f>VLOOKUP(E615,Clubes!B$2:D$438,2)</f>
        <v/>
      </c>
      <c r="G615">
        <f>VLOOKUP(E615,Clubes!B$2:D$438,3)</f>
        <v/>
      </c>
      <c r="H615" s="2" t="n">
        <v>38</v>
      </c>
      <c r="J615">
        <f>I615/H615</f>
        <v/>
      </c>
      <c r="K615">
        <f>H615*90</f>
        <v/>
      </c>
      <c r="M615">
        <f>L615/K615</f>
        <v/>
      </c>
    </row>
    <row r="616">
      <c r="A616" s="1" t="n">
        <v>615</v>
      </c>
      <c r="B616" s="2" t="inlineStr">
        <is>
          <t>Spain</t>
        </is>
      </c>
      <c r="C616" s="2" t="inlineStr">
        <is>
          <t>Aymeric Laporte</t>
        </is>
      </c>
      <c r="D616" s="2" t="inlineStr">
        <is>
          <t>Defesa</t>
        </is>
      </c>
      <c r="E616" s="2" t="inlineStr">
        <is>
          <t>Athletic Bilbao</t>
        </is>
      </c>
      <c r="F616">
        <f>VLOOKUP(E616,Clubes!B$2:D$438,2)</f>
        <v/>
      </c>
      <c r="G616">
        <f>VLOOKUP(E616,Clubes!B$2:D$438,3)</f>
        <v/>
      </c>
      <c r="H616" s="2" t="n">
        <v>38</v>
      </c>
      <c r="J616">
        <f>I616/H616</f>
        <v/>
      </c>
      <c r="K616">
        <f>H616*90</f>
        <v/>
      </c>
      <c r="M616">
        <f>L616/K616</f>
        <v/>
      </c>
    </row>
    <row r="617">
      <c r="A617" s="1" t="n">
        <v>616</v>
      </c>
      <c r="B617" s="2" t="inlineStr">
        <is>
          <t>Spain</t>
        </is>
      </c>
      <c r="C617" s="2" t="inlineStr">
        <is>
          <t>Pau Cubarsí</t>
        </is>
      </c>
      <c r="D617" s="2" t="inlineStr">
        <is>
          <t>Defesa</t>
        </is>
      </c>
      <c r="E617" s="2" t="inlineStr">
        <is>
          <t>Barcelona</t>
        </is>
      </c>
      <c r="F617">
        <f>VLOOKUP(E617,Clubes!B$2:D$438,2)</f>
        <v/>
      </c>
      <c r="G617">
        <f>VLOOKUP(E617,Clubes!B$2:D$438,3)</f>
        <v/>
      </c>
      <c r="H617" s="2" t="n">
        <v>38</v>
      </c>
      <c r="J617">
        <f>I617/H617</f>
        <v/>
      </c>
      <c r="K617">
        <f>H617*90</f>
        <v/>
      </c>
      <c r="M617">
        <f>L617/K617</f>
        <v/>
      </c>
    </row>
    <row r="618">
      <c r="A618" s="1" t="n">
        <v>617</v>
      </c>
      <c r="B618" s="2" t="inlineStr">
        <is>
          <t>Spain</t>
        </is>
      </c>
      <c r="C618" s="2" t="inlineStr">
        <is>
          <t>Álex Grimaldo</t>
        </is>
      </c>
      <c r="D618" s="2" t="inlineStr">
        <is>
          <t>Defesa</t>
        </is>
      </c>
      <c r="E618" s="2" t="inlineStr">
        <is>
          <t>Bayer Leverkusen</t>
        </is>
      </c>
      <c r="F618">
        <f>VLOOKUP(E618,Clubes!B$2:D$438,2)</f>
        <v/>
      </c>
      <c r="G618">
        <f>VLOOKUP(E618,Clubes!B$2:D$438,3)</f>
        <v/>
      </c>
      <c r="H618" s="2" t="n">
        <v>34</v>
      </c>
      <c r="J618">
        <f>I618/H618</f>
        <v/>
      </c>
      <c r="K618">
        <f>H618*90</f>
        <v/>
      </c>
      <c r="M618">
        <f>L618/K618</f>
        <v/>
      </c>
    </row>
    <row r="619">
      <c r="A619" s="1" t="n">
        <v>618</v>
      </c>
      <c r="B619" s="2" t="inlineStr">
        <is>
          <t>Spain</t>
        </is>
      </c>
      <c r="C619" s="2" t="inlineStr">
        <is>
          <t>Marc Cucurella</t>
        </is>
      </c>
      <c r="D619" s="2" t="inlineStr">
        <is>
          <t>Defesa</t>
        </is>
      </c>
      <c r="E619" s="2" t="inlineStr">
        <is>
          <t>Chelsea</t>
        </is>
      </c>
      <c r="F619">
        <f>VLOOKUP(E619,Clubes!B$2:D$438,2)</f>
        <v/>
      </c>
      <c r="G619">
        <f>VLOOKUP(E619,Clubes!B$2:D$438,3)</f>
        <v/>
      </c>
      <c r="H619" s="2" t="n">
        <v>38</v>
      </c>
      <c r="J619">
        <f>I619/H619</f>
        <v/>
      </c>
      <c r="K619">
        <f>H619*90</f>
        <v/>
      </c>
      <c r="M619">
        <f>L619/K619</f>
        <v/>
      </c>
    </row>
    <row r="620">
      <c r="A620" s="1" t="n">
        <v>619</v>
      </c>
      <c r="B620" s="2" t="inlineStr">
        <is>
          <t>Spain</t>
        </is>
      </c>
      <c r="C620" s="2" t="inlineStr">
        <is>
          <t>Rodri</t>
        </is>
      </c>
      <c r="D620" s="2" t="inlineStr">
        <is>
          <t>Médio</t>
        </is>
      </c>
      <c r="E620" s="2" t="inlineStr">
        <is>
          <t>Manchester City</t>
        </is>
      </c>
      <c r="F620">
        <f>VLOOKUP(E620,Clubes!B$2:D$438,2)</f>
        <v/>
      </c>
      <c r="G620">
        <f>VLOOKUP(E620,Clubes!B$2:D$438,3)</f>
        <v/>
      </c>
      <c r="H620" s="2" t="n">
        <v>38</v>
      </c>
      <c r="J620">
        <f>I620/H620</f>
        <v/>
      </c>
      <c r="K620">
        <f>H620*90</f>
        <v/>
      </c>
      <c r="M620">
        <f>L620/K620</f>
        <v/>
      </c>
    </row>
    <row r="621">
      <c r="A621" s="1" t="n">
        <v>620</v>
      </c>
      <c r="B621" s="2" t="inlineStr">
        <is>
          <t>Spain</t>
        </is>
      </c>
      <c r="C621" s="2" t="inlineStr">
        <is>
          <t>Marcos Llorente</t>
        </is>
      </c>
      <c r="D621" s="2" t="inlineStr">
        <is>
          <t>Médio</t>
        </is>
      </c>
      <c r="E621" s="2" t="inlineStr">
        <is>
          <t>Atlético de Madrid</t>
        </is>
      </c>
      <c r="F621">
        <f>VLOOKUP(E621,Clubes!B$2:D$438,2)</f>
        <v/>
      </c>
      <c r="G621">
        <f>VLOOKUP(E621,Clubes!B$2:D$438,3)</f>
        <v/>
      </c>
      <c r="H621" s="2" t="n">
        <v>34</v>
      </c>
      <c r="J621">
        <f>I621/H621</f>
        <v/>
      </c>
      <c r="K621">
        <f>H621*90</f>
        <v/>
      </c>
      <c r="M621">
        <f>L621/K621</f>
        <v/>
      </c>
    </row>
    <row r="622">
      <c r="A622" s="1" t="n">
        <v>621</v>
      </c>
      <c r="B622" s="2" t="inlineStr">
        <is>
          <t>Spain</t>
        </is>
      </c>
      <c r="C622" s="2" t="inlineStr">
        <is>
          <t>Mikel Merino</t>
        </is>
      </c>
      <c r="D622" s="2" t="inlineStr">
        <is>
          <t>Médio</t>
        </is>
      </c>
      <c r="E622" s="2" t="inlineStr">
        <is>
          <t>Arsenal</t>
        </is>
      </c>
      <c r="F622">
        <f>VLOOKUP(E622,Clubes!B$2:D$438,2)</f>
        <v/>
      </c>
      <c r="G622">
        <f>VLOOKUP(E622,Clubes!B$2:D$438,3)</f>
        <v/>
      </c>
      <c r="H622" s="2" t="n">
        <v>38</v>
      </c>
      <c r="J622">
        <f>I622/H622</f>
        <v/>
      </c>
      <c r="K622">
        <f>H622*90</f>
        <v/>
      </c>
      <c r="M622">
        <f>L622/K622</f>
        <v/>
      </c>
    </row>
    <row r="623">
      <c r="A623" s="1" t="n">
        <v>622</v>
      </c>
      <c r="B623" s="2" t="inlineStr">
        <is>
          <t>Spain</t>
        </is>
      </c>
      <c r="C623" s="2" t="inlineStr">
        <is>
          <t>Fabián Ruiz</t>
        </is>
      </c>
      <c r="D623" s="2" t="inlineStr">
        <is>
          <t>Médio</t>
        </is>
      </c>
      <c r="E623" s="2" t="inlineStr">
        <is>
          <t>PSG</t>
        </is>
      </c>
      <c r="F623">
        <f>VLOOKUP(E623,Clubes!B$2:D$438,2)</f>
        <v/>
      </c>
      <c r="G623">
        <f>VLOOKUP(E623,Clubes!B$2:D$438,3)</f>
        <v/>
      </c>
      <c r="H623" s="2" t="n">
        <v>46</v>
      </c>
      <c r="J623">
        <f>I623/H623</f>
        <v/>
      </c>
      <c r="K623">
        <f>H623*90</f>
        <v/>
      </c>
      <c r="M623">
        <f>L623/K623</f>
        <v/>
      </c>
    </row>
    <row r="624">
      <c r="A624" s="1" t="n">
        <v>623</v>
      </c>
      <c r="B624" s="2" t="inlineStr">
        <is>
          <t>Spain</t>
        </is>
      </c>
      <c r="C624" s="2" t="inlineStr">
        <is>
          <t>Pablo Gavi</t>
        </is>
      </c>
      <c r="D624" s="2" t="inlineStr">
        <is>
          <t>Médio</t>
        </is>
      </c>
      <c r="E624" s="2" t="inlineStr">
        <is>
          <t>Barcelona</t>
        </is>
      </c>
      <c r="F624">
        <f>VLOOKUP(E624,Clubes!B$2:D$438,2)</f>
        <v/>
      </c>
      <c r="G624">
        <f>VLOOKUP(E624,Clubes!B$2:D$438,3)</f>
        <v/>
      </c>
      <c r="H624" s="2" t="n">
        <v>38</v>
      </c>
      <c r="J624">
        <f>I624/H624</f>
        <v/>
      </c>
      <c r="K624">
        <f>H624*90</f>
        <v/>
      </c>
      <c r="M624">
        <f>L624/K624</f>
        <v/>
      </c>
    </row>
    <row r="625">
      <c r="A625" s="1" t="n">
        <v>624</v>
      </c>
      <c r="B625" s="2" t="inlineStr">
        <is>
          <t>Spain</t>
        </is>
      </c>
      <c r="C625" s="2" t="inlineStr">
        <is>
          <t>Álex Baena</t>
        </is>
      </c>
      <c r="D625" s="2" t="inlineStr">
        <is>
          <t>Médio</t>
        </is>
      </c>
      <c r="E625" s="2" t="inlineStr">
        <is>
          <t>Atlético de Madrid</t>
        </is>
      </c>
      <c r="F625">
        <f>VLOOKUP(E625,Clubes!B$2:D$438,2)</f>
        <v/>
      </c>
      <c r="G625">
        <f>VLOOKUP(E625,Clubes!B$2:D$438,3)</f>
        <v/>
      </c>
      <c r="H625" s="2" t="n">
        <v>34</v>
      </c>
      <c r="J625">
        <f>I625/H625</f>
        <v/>
      </c>
      <c r="K625">
        <f>H625*90</f>
        <v/>
      </c>
      <c r="M625">
        <f>L625/K625</f>
        <v/>
      </c>
    </row>
    <row r="626">
      <c r="A626" s="1" t="n">
        <v>625</v>
      </c>
      <c r="B626" s="2" t="inlineStr">
        <is>
          <t>Spain</t>
        </is>
      </c>
      <c r="C626" s="2" t="inlineStr">
        <is>
          <t>Martin Zubimendi</t>
        </is>
      </c>
      <c r="D626" s="2" t="inlineStr">
        <is>
          <t>Médio</t>
        </is>
      </c>
      <c r="E626" s="2" t="inlineStr">
        <is>
          <t>Arsenal</t>
        </is>
      </c>
      <c r="F626">
        <f>VLOOKUP(E626,Clubes!B$2:D$438,2)</f>
        <v/>
      </c>
      <c r="G626">
        <f>VLOOKUP(E626,Clubes!B$2:D$438,3)</f>
        <v/>
      </c>
      <c r="H626" s="2" t="n">
        <v>38</v>
      </c>
      <c r="J626">
        <f>I626/H626</f>
        <v/>
      </c>
      <c r="K626">
        <f>H626*90</f>
        <v/>
      </c>
      <c r="M626">
        <f>L626/K626</f>
        <v/>
      </c>
    </row>
    <row r="627">
      <c r="A627" s="1" t="n">
        <v>626</v>
      </c>
      <c r="B627" s="2" t="inlineStr">
        <is>
          <t>Spain</t>
        </is>
      </c>
      <c r="C627" s="2" t="inlineStr">
        <is>
          <t>Pedri González</t>
        </is>
      </c>
      <c r="D627" s="2" t="inlineStr">
        <is>
          <t>Médio</t>
        </is>
      </c>
      <c r="E627" s="2" t="inlineStr">
        <is>
          <t>Barcelona</t>
        </is>
      </c>
      <c r="F627">
        <f>VLOOKUP(E627,Clubes!B$2:D$438,2)</f>
        <v/>
      </c>
      <c r="G627">
        <f>VLOOKUP(E627,Clubes!B$2:D$438,3)</f>
        <v/>
      </c>
      <c r="H627" s="2" t="n">
        <v>38</v>
      </c>
      <c r="J627">
        <f>I627/H627</f>
        <v/>
      </c>
      <c r="K627">
        <f>H627*90</f>
        <v/>
      </c>
      <c r="M627">
        <f>L627/K627</f>
        <v/>
      </c>
    </row>
    <row r="628">
      <c r="A628" s="1" t="n">
        <v>627</v>
      </c>
      <c r="B628" s="2" t="inlineStr">
        <is>
          <t>Spain</t>
        </is>
      </c>
      <c r="C628" s="2" t="inlineStr">
        <is>
          <t>Dani Olmo</t>
        </is>
      </c>
      <c r="D628" s="2" t="inlineStr">
        <is>
          <t>Médio</t>
        </is>
      </c>
      <c r="E628" s="2" t="inlineStr">
        <is>
          <t>Barcelona</t>
        </is>
      </c>
      <c r="F628">
        <f>VLOOKUP(E628,Clubes!B$2:D$438,2)</f>
        <v/>
      </c>
      <c r="G628">
        <f>VLOOKUP(E628,Clubes!B$2:D$438,3)</f>
        <v/>
      </c>
      <c r="H628" s="2" t="n">
        <v>38</v>
      </c>
      <c r="J628">
        <f>I628/H628</f>
        <v/>
      </c>
      <c r="K628">
        <f>H628*90</f>
        <v/>
      </c>
      <c r="M628">
        <f>L628/K628</f>
        <v/>
      </c>
    </row>
    <row r="629">
      <c r="A629" s="1" t="n">
        <v>628</v>
      </c>
      <c r="B629" s="2" t="inlineStr">
        <is>
          <t>Spain</t>
        </is>
      </c>
      <c r="C629" s="2" t="inlineStr">
        <is>
          <t>Mikel Oyarzabal</t>
        </is>
      </c>
      <c r="D629" s="2" t="inlineStr">
        <is>
          <t>Avançado</t>
        </is>
      </c>
      <c r="E629" s="2" t="inlineStr">
        <is>
          <t>Real Sociedad</t>
        </is>
      </c>
      <c r="F629">
        <f>VLOOKUP(E629,Clubes!B$2:D$438,2)</f>
        <v/>
      </c>
      <c r="G629">
        <f>VLOOKUP(E629,Clubes!B$2:D$438,3)</f>
        <v/>
      </c>
      <c r="H629" s="2" t="n">
        <v>38</v>
      </c>
      <c r="J629">
        <f>I629/H629</f>
        <v/>
      </c>
      <c r="K629">
        <f>H629*90</f>
        <v/>
      </c>
      <c r="M629">
        <f>L629/K629</f>
        <v/>
      </c>
    </row>
    <row r="630">
      <c r="A630" s="1" t="n">
        <v>629</v>
      </c>
      <c r="B630" s="2" t="inlineStr">
        <is>
          <t>Spain</t>
        </is>
      </c>
      <c r="C630" s="2" t="inlineStr">
        <is>
          <t>Ferran Torres</t>
        </is>
      </c>
      <c r="D630" s="2" t="inlineStr">
        <is>
          <t>Avançado</t>
        </is>
      </c>
      <c r="E630" s="2" t="inlineStr">
        <is>
          <t>Barcelona</t>
        </is>
      </c>
      <c r="F630">
        <f>VLOOKUP(E630,Clubes!B$2:D$438,2)</f>
        <v/>
      </c>
      <c r="G630">
        <f>VLOOKUP(E630,Clubes!B$2:D$438,3)</f>
        <v/>
      </c>
      <c r="H630" s="2" t="n">
        <v>38</v>
      </c>
      <c r="J630">
        <f>I630/H630</f>
        <v/>
      </c>
      <c r="K630">
        <f>H630*90</f>
        <v/>
      </c>
      <c r="M630">
        <f>L630/K630</f>
        <v/>
      </c>
    </row>
    <row r="631">
      <c r="A631" s="1" t="n">
        <v>630</v>
      </c>
      <c r="B631" s="2" t="inlineStr">
        <is>
          <t>Spain</t>
        </is>
      </c>
      <c r="C631" s="2" t="inlineStr">
        <is>
          <t>Borja Iglesias</t>
        </is>
      </c>
      <c r="D631" s="2" t="inlineStr">
        <is>
          <t>Avançado</t>
        </is>
      </c>
      <c r="E631" s="2" t="inlineStr">
        <is>
          <t>Celta de Vigo</t>
        </is>
      </c>
      <c r="F631">
        <f>VLOOKUP(E631,Clubes!B$2:D$438,2)</f>
        <v/>
      </c>
      <c r="G631">
        <f>VLOOKUP(E631,Clubes!B$2:D$438,3)</f>
        <v/>
      </c>
      <c r="H631" s="2" t="n">
        <v>38</v>
      </c>
      <c r="J631">
        <f>I631/H631</f>
        <v/>
      </c>
      <c r="K631">
        <f>H631*90</f>
        <v/>
      </c>
      <c r="M631">
        <f>L631/K631</f>
        <v/>
      </c>
    </row>
    <row r="632">
      <c r="A632" s="1" t="n">
        <v>631</v>
      </c>
      <c r="B632" s="2" t="inlineStr">
        <is>
          <t>Spain</t>
        </is>
      </c>
      <c r="C632" s="2" t="inlineStr">
        <is>
          <t>Yéremy Pino</t>
        </is>
      </c>
      <c r="D632" s="2" t="inlineStr">
        <is>
          <t>Avançado</t>
        </is>
      </c>
      <c r="E632" s="2" t="inlineStr">
        <is>
          <t>Crystal Palace</t>
        </is>
      </c>
      <c r="F632">
        <f>VLOOKUP(E632,Clubes!B$2:D$438,2)</f>
        <v/>
      </c>
      <c r="G632">
        <f>VLOOKUP(E632,Clubes!B$2:D$438,3)</f>
        <v/>
      </c>
      <c r="H632" s="2" t="n">
        <v>38</v>
      </c>
      <c r="J632">
        <f>I632/H632</f>
        <v/>
      </c>
      <c r="K632">
        <f>H632*90</f>
        <v/>
      </c>
      <c r="M632">
        <f>L632/K632</f>
        <v/>
      </c>
    </row>
    <row r="633">
      <c r="A633" s="1" t="n">
        <v>632</v>
      </c>
      <c r="B633" s="2" t="inlineStr">
        <is>
          <t>Spain</t>
        </is>
      </c>
      <c r="C633" s="2" t="inlineStr">
        <is>
          <t>Nico Williams</t>
        </is>
      </c>
      <c r="D633" s="2" t="inlineStr">
        <is>
          <t>Avançado</t>
        </is>
      </c>
      <c r="E633" s="2" t="inlineStr">
        <is>
          <t>Athletic Bilbao</t>
        </is>
      </c>
      <c r="F633">
        <f>VLOOKUP(E633,Clubes!B$2:D$438,2)</f>
        <v/>
      </c>
      <c r="G633">
        <f>VLOOKUP(E633,Clubes!B$2:D$438,3)</f>
        <v/>
      </c>
      <c r="H633" s="2" t="n">
        <v>38</v>
      </c>
      <c r="J633">
        <f>I633/H633</f>
        <v/>
      </c>
      <c r="K633">
        <f>H633*90</f>
        <v/>
      </c>
      <c r="M633">
        <f>L633/K633</f>
        <v/>
      </c>
    </row>
    <row r="634">
      <c r="A634" s="1" t="n">
        <v>633</v>
      </c>
      <c r="B634" s="2" t="inlineStr">
        <is>
          <t>Spain</t>
        </is>
      </c>
      <c r="C634" s="2" t="inlineStr">
        <is>
          <t>Lamine Yamal</t>
        </is>
      </c>
      <c r="D634" s="2" t="inlineStr">
        <is>
          <t>Avançado</t>
        </is>
      </c>
      <c r="E634" s="2" t="inlineStr">
        <is>
          <t>Barcelona</t>
        </is>
      </c>
      <c r="F634">
        <f>VLOOKUP(E634,Clubes!B$2:D$438,2)</f>
        <v/>
      </c>
      <c r="G634">
        <f>VLOOKUP(E634,Clubes!B$2:D$438,3)</f>
        <v/>
      </c>
      <c r="H634" s="2" t="n">
        <v>38</v>
      </c>
      <c r="J634">
        <f>I634/H634</f>
        <v/>
      </c>
      <c r="K634">
        <f>H634*90</f>
        <v/>
      </c>
      <c r="M634">
        <f>L634/K634</f>
        <v/>
      </c>
    </row>
    <row r="635">
      <c r="A635" s="1" t="n">
        <v>634</v>
      </c>
      <c r="B635" s="2" t="inlineStr">
        <is>
          <t>Spain</t>
        </is>
      </c>
      <c r="C635" s="2" t="inlineStr">
        <is>
          <t>Víctor Muñoz</t>
        </is>
      </c>
      <c r="D635" s="2" t="inlineStr">
        <is>
          <t>Avançado</t>
        </is>
      </c>
      <c r="E635" s="2" t="inlineStr">
        <is>
          <t>Osasuna</t>
        </is>
      </c>
      <c r="F635">
        <f>VLOOKUP(E635,Clubes!B$2:D$438,2)</f>
        <v/>
      </c>
      <c r="G635">
        <f>VLOOKUP(E635,Clubes!B$2:D$438,3)</f>
        <v/>
      </c>
      <c r="H635" s="2" t="n">
        <v>38</v>
      </c>
      <c r="J635">
        <f>I635/H635</f>
        <v/>
      </c>
      <c r="K635">
        <f>H635*90</f>
        <v/>
      </c>
      <c r="M635">
        <f>L635/K635</f>
        <v/>
      </c>
    </row>
    <row r="636">
      <c r="A636" s="1" t="n">
        <v>635</v>
      </c>
      <c r="B636" s="2" t="inlineStr">
        <is>
          <t>USA</t>
        </is>
      </c>
      <c r="C636" s="2" t="inlineStr">
        <is>
          <t>Matt Turner</t>
        </is>
      </c>
      <c r="D636" s="2" t="inlineStr">
        <is>
          <t>Guarda Redes</t>
        </is>
      </c>
      <c r="E636" s="2" t="inlineStr">
        <is>
          <t>New England Revolution</t>
        </is>
      </c>
      <c r="F636">
        <f>VLOOKUP(E636,Clubes!B$2:D$438,2)</f>
        <v/>
      </c>
      <c r="G636">
        <f>VLOOKUP(E636,Clubes!B$2:D$438,3)</f>
        <v/>
      </c>
      <c r="H636" s="2" t="n">
        <v>34</v>
      </c>
      <c r="J636">
        <f>I636/H636</f>
        <v/>
      </c>
      <c r="K636">
        <f>H636*90</f>
        <v/>
      </c>
      <c r="M636">
        <f>L636/K636</f>
        <v/>
      </c>
    </row>
    <row r="637">
      <c r="A637" s="1" t="n">
        <v>636</v>
      </c>
      <c r="B637" s="2" t="inlineStr">
        <is>
          <t>USA</t>
        </is>
      </c>
      <c r="C637" s="2" t="inlineStr">
        <is>
          <t>Matt Freese</t>
        </is>
      </c>
      <c r="D637" s="2" t="inlineStr">
        <is>
          <t>Guarda Redes</t>
        </is>
      </c>
      <c r="E637" s="2" t="inlineStr">
        <is>
          <t>New York City FC</t>
        </is>
      </c>
      <c r="F637">
        <f>VLOOKUP(E637,Clubes!B$2:D$438,2)</f>
        <v/>
      </c>
      <c r="G637">
        <f>VLOOKUP(E637,Clubes!B$2:D$438,3)</f>
        <v/>
      </c>
      <c r="H637" s="2" t="n">
        <v>34</v>
      </c>
      <c r="J637">
        <f>I637/H637</f>
        <v/>
      </c>
      <c r="K637">
        <f>H637*90</f>
        <v/>
      </c>
      <c r="M637">
        <f>L637/K637</f>
        <v/>
      </c>
    </row>
    <row r="638">
      <c r="A638" s="1" t="n">
        <v>637</v>
      </c>
      <c r="B638" s="2" t="inlineStr">
        <is>
          <t>USA</t>
        </is>
      </c>
      <c r="C638" s="2" t="inlineStr">
        <is>
          <t>Chris Brady</t>
        </is>
      </c>
      <c r="D638" s="2" t="inlineStr">
        <is>
          <t>Guarda Redes</t>
        </is>
      </c>
      <c r="E638" s="2" t="inlineStr">
        <is>
          <t>Chicago Fire</t>
        </is>
      </c>
      <c r="F638">
        <f>VLOOKUP(E638,Clubes!B$2:D$438,2)</f>
        <v/>
      </c>
      <c r="G638">
        <f>VLOOKUP(E638,Clubes!B$2:D$438,3)</f>
        <v/>
      </c>
      <c r="H638" s="2" t="n">
        <v>34</v>
      </c>
      <c r="J638">
        <f>I638/H638</f>
        <v/>
      </c>
      <c r="K638">
        <f>H638*90</f>
        <v/>
      </c>
      <c r="M638">
        <f>L638/K638</f>
        <v/>
      </c>
    </row>
    <row r="639">
      <c r="A639" s="1" t="n">
        <v>638</v>
      </c>
      <c r="B639" s="2" t="inlineStr">
        <is>
          <t>USA</t>
        </is>
      </c>
      <c r="C639" s="2" t="inlineStr">
        <is>
          <t>Sergiño Dest</t>
        </is>
      </c>
      <c r="D639" s="2" t="inlineStr">
        <is>
          <t>Defesa</t>
        </is>
      </c>
      <c r="E639" s="2" t="inlineStr">
        <is>
          <t>PSV</t>
        </is>
      </c>
      <c r="F639">
        <f>VLOOKUP(E639,Clubes!B$2:D$438,2)</f>
        <v/>
      </c>
      <c r="G639">
        <f>VLOOKUP(E639,Clubes!B$2:D$438,3)</f>
        <v/>
      </c>
      <c r="H639" s="2" t="n">
        <v>46</v>
      </c>
      <c r="J639">
        <f>I639/H639</f>
        <v/>
      </c>
      <c r="K639">
        <f>H639*90</f>
        <v/>
      </c>
      <c r="M639">
        <f>L639/K639</f>
        <v/>
      </c>
    </row>
    <row r="640">
      <c r="A640" s="1" t="n">
        <v>639</v>
      </c>
      <c r="B640" s="2" t="inlineStr">
        <is>
          <t>USA</t>
        </is>
      </c>
      <c r="C640" s="2" t="inlineStr">
        <is>
          <t>Chris Richards</t>
        </is>
      </c>
      <c r="D640" s="2" t="inlineStr">
        <is>
          <t>Defesa</t>
        </is>
      </c>
      <c r="E640" s="2" t="inlineStr">
        <is>
          <t>Crystal Palace</t>
        </is>
      </c>
      <c r="F640">
        <f>VLOOKUP(E640,Clubes!B$2:D$438,2)</f>
        <v/>
      </c>
      <c r="G640">
        <f>VLOOKUP(E640,Clubes!B$2:D$438,3)</f>
        <v/>
      </c>
      <c r="H640" s="2" t="n">
        <v>38</v>
      </c>
      <c r="J640">
        <f>I640/H640</f>
        <v/>
      </c>
      <c r="K640">
        <f>H640*90</f>
        <v/>
      </c>
      <c r="M640">
        <f>L640/K640</f>
        <v/>
      </c>
    </row>
    <row r="641">
      <c r="A641" s="1" t="n">
        <v>640</v>
      </c>
      <c r="B641" s="2" t="inlineStr">
        <is>
          <t>USA</t>
        </is>
      </c>
      <c r="C641" s="2" t="inlineStr">
        <is>
          <t>Antonee Robinson</t>
        </is>
      </c>
      <c r="D641" s="2" t="inlineStr">
        <is>
          <t>Defesa</t>
        </is>
      </c>
      <c r="E641" s="2" t="inlineStr">
        <is>
          <t>Fulham</t>
        </is>
      </c>
      <c r="F641">
        <f>VLOOKUP(E641,Clubes!B$2:D$438,2)</f>
        <v/>
      </c>
      <c r="G641">
        <f>VLOOKUP(E641,Clubes!B$2:D$438,3)</f>
        <v/>
      </c>
      <c r="H641" s="2" t="n">
        <v>38</v>
      </c>
      <c r="J641">
        <f>I641/H641</f>
        <v/>
      </c>
      <c r="K641">
        <f>H641*90</f>
        <v/>
      </c>
      <c r="M641">
        <f>L641/K641</f>
        <v/>
      </c>
    </row>
    <row r="642">
      <c r="A642" s="1" t="n">
        <v>641</v>
      </c>
      <c r="B642" s="2" t="inlineStr">
        <is>
          <t>USA</t>
        </is>
      </c>
      <c r="C642" s="2" t="inlineStr">
        <is>
          <t>Auston Trusty</t>
        </is>
      </c>
      <c r="D642" s="2" t="inlineStr">
        <is>
          <t>Defesa</t>
        </is>
      </c>
      <c r="E642" s="2" t="inlineStr">
        <is>
          <t>Celtic</t>
        </is>
      </c>
      <c r="F642">
        <f>VLOOKUP(E642,Clubes!B$2:D$438,2)</f>
        <v/>
      </c>
      <c r="G642">
        <f>VLOOKUP(E642,Clubes!B$2:D$438,3)</f>
        <v/>
      </c>
      <c r="H642" s="2" t="n">
        <v>38</v>
      </c>
      <c r="J642">
        <f>I642/H642</f>
        <v/>
      </c>
      <c r="K642">
        <f>H642*90</f>
        <v/>
      </c>
      <c r="M642">
        <f>L642/K642</f>
        <v/>
      </c>
    </row>
    <row r="643">
      <c r="A643" s="1" t="n">
        <v>642</v>
      </c>
      <c r="B643" s="2" t="inlineStr">
        <is>
          <t>USA</t>
        </is>
      </c>
      <c r="C643" s="2" t="inlineStr">
        <is>
          <t>Miles Robinson</t>
        </is>
      </c>
      <c r="D643" s="2" t="inlineStr">
        <is>
          <t>Defesa</t>
        </is>
      </c>
      <c r="E643" s="2" t="inlineStr">
        <is>
          <t>FC Cincinnati</t>
        </is>
      </c>
      <c r="F643">
        <f>VLOOKUP(E643,Clubes!B$2:D$438,2)</f>
        <v/>
      </c>
      <c r="G643">
        <f>VLOOKUP(E643,Clubes!B$2:D$438,3)</f>
        <v/>
      </c>
      <c r="H643" s="2" t="n">
        <v>34</v>
      </c>
      <c r="J643">
        <f>I643/H643</f>
        <v/>
      </c>
      <c r="K643">
        <f>H643*90</f>
        <v/>
      </c>
      <c r="M643">
        <f>L643/K643</f>
        <v/>
      </c>
    </row>
    <row r="644">
      <c r="A644" s="1" t="n">
        <v>643</v>
      </c>
      <c r="B644" s="2" t="inlineStr">
        <is>
          <t>USA</t>
        </is>
      </c>
      <c r="C644" s="2" t="inlineStr">
        <is>
          <t>Tim Ream</t>
        </is>
      </c>
      <c r="D644" s="2" t="inlineStr">
        <is>
          <t>Defesa</t>
        </is>
      </c>
      <c r="E644" s="2" t="inlineStr">
        <is>
          <t>Charlotte FC</t>
        </is>
      </c>
      <c r="F644">
        <f>VLOOKUP(E644,Clubes!B$2:D$438,2)</f>
        <v/>
      </c>
      <c r="G644">
        <f>VLOOKUP(E644,Clubes!B$2:D$438,3)</f>
        <v/>
      </c>
      <c r="H644" s="2" t="n">
        <v>34</v>
      </c>
      <c r="J644">
        <f>I644/H644</f>
        <v/>
      </c>
      <c r="K644">
        <f>H644*90</f>
        <v/>
      </c>
      <c r="M644">
        <f>L644/K644</f>
        <v/>
      </c>
    </row>
    <row r="645">
      <c r="A645" s="1" t="n">
        <v>644</v>
      </c>
      <c r="B645" s="2" t="inlineStr">
        <is>
          <t>USA</t>
        </is>
      </c>
      <c r="C645" s="2" t="inlineStr">
        <is>
          <t>Alex Freeman</t>
        </is>
      </c>
      <c r="D645" s="2" t="inlineStr">
        <is>
          <t>Defesa</t>
        </is>
      </c>
      <c r="E645" s="2" t="inlineStr">
        <is>
          <t>Villarreal</t>
        </is>
      </c>
      <c r="F645">
        <f>VLOOKUP(E645,Clubes!B$2:D$438,2)</f>
        <v/>
      </c>
      <c r="G645">
        <f>VLOOKUP(E645,Clubes!B$2:D$438,3)</f>
        <v/>
      </c>
      <c r="H645" s="2" t="n">
        <v>38</v>
      </c>
      <c r="J645">
        <f>I645/H645</f>
        <v/>
      </c>
      <c r="K645">
        <f>H645*90</f>
        <v/>
      </c>
      <c r="M645">
        <f>L645/K645</f>
        <v/>
      </c>
    </row>
    <row r="646">
      <c r="A646" s="1" t="n">
        <v>645</v>
      </c>
      <c r="B646" s="2" t="inlineStr">
        <is>
          <t>USA</t>
        </is>
      </c>
      <c r="C646" s="2" t="inlineStr">
        <is>
          <t>Mark McKenzie</t>
        </is>
      </c>
      <c r="D646" s="2" t="inlineStr">
        <is>
          <t>Defesa</t>
        </is>
      </c>
      <c r="E646" s="2" t="inlineStr">
        <is>
          <t>Toulouse</t>
        </is>
      </c>
      <c r="F646">
        <f>VLOOKUP(E646,Clubes!B$2:D$438,2)</f>
        <v/>
      </c>
      <c r="G646">
        <f>VLOOKUP(E646,Clubes!B$2:D$438,3)</f>
        <v/>
      </c>
      <c r="H646" s="2" t="n">
        <v>34</v>
      </c>
      <c r="J646">
        <f>I646/H646</f>
        <v/>
      </c>
      <c r="K646">
        <f>H646*90</f>
        <v/>
      </c>
      <c r="M646">
        <f>L646/K646</f>
        <v/>
      </c>
    </row>
    <row r="647">
      <c r="A647" s="1" t="n">
        <v>646</v>
      </c>
      <c r="B647" s="2" t="inlineStr">
        <is>
          <t>USA</t>
        </is>
      </c>
      <c r="C647" s="2" t="inlineStr">
        <is>
          <t>Joe Scally</t>
        </is>
      </c>
      <c r="D647" s="2" t="inlineStr">
        <is>
          <t>Defesa</t>
        </is>
      </c>
      <c r="E647" s="2" t="inlineStr">
        <is>
          <t>Borussia M´gladbach</t>
        </is>
      </c>
      <c r="F647">
        <f>VLOOKUP(E647,Clubes!B$2:D$438,2)</f>
        <v/>
      </c>
      <c r="G647">
        <f>VLOOKUP(E647,Clubes!B$2:D$438,3)</f>
        <v/>
      </c>
      <c r="H647" s="2" t="n">
        <v>34</v>
      </c>
      <c r="J647">
        <f>I647/H647</f>
        <v/>
      </c>
      <c r="K647">
        <f>H647*90</f>
        <v/>
      </c>
      <c r="M647">
        <f>L647/K647</f>
        <v/>
      </c>
    </row>
    <row r="648">
      <c r="A648" s="1" t="n">
        <v>647</v>
      </c>
      <c r="B648" s="2" t="inlineStr">
        <is>
          <t>USA</t>
        </is>
      </c>
      <c r="C648" s="2" t="inlineStr">
        <is>
          <t>Tyler Adams</t>
        </is>
      </c>
      <c r="D648" s="2" t="inlineStr">
        <is>
          <t>Médio</t>
        </is>
      </c>
      <c r="E648" s="2" t="inlineStr">
        <is>
          <t>Bournemouth</t>
        </is>
      </c>
      <c r="F648">
        <f>VLOOKUP(E648,Clubes!B$2:D$438,2)</f>
        <v/>
      </c>
      <c r="G648">
        <f>VLOOKUP(E648,Clubes!B$2:D$438,3)</f>
        <v/>
      </c>
      <c r="H648" s="2" t="n">
        <v>38</v>
      </c>
      <c r="J648">
        <f>I648/H648</f>
        <v/>
      </c>
      <c r="K648">
        <f>H648*90</f>
        <v/>
      </c>
      <c r="M648">
        <f>L648/K648</f>
        <v/>
      </c>
    </row>
    <row r="649">
      <c r="A649" s="1" t="n">
        <v>648</v>
      </c>
      <c r="B649" s="2" t="inlineStr">
        <is>
          <t>USA</t>
        </is>
      </c>
      <c r="C649" s="2" t="inlineStr">
        <is>
          <t>Giovanni Reyna</t>
        </is>
      </c>
      <c r="D649" s="2" t="inlineStr">
        <is>
          <t>Médio</t>
        </is>
      </c>
      <c r="E649" s="2" t="inlineStr">
        <is>
          <t>Borussia M´gladbach</t>
        </is>
      </c>
      <c r="F649">
        <f>VLOOKUP(E649,Clubes!B$2:D$438,2)</f>
        <v/>
      </c>
      <c r="G649">
        <f>VLOOKUP(E649,Clubes!B$2:D$438,3)</f>
        <v/>
      </c>
      <c r="H649" s="2" t="n">
        <v>34</v>
      </c>
      <c r="J649">
        <f>I649/H649</f>
        <v/>
      </c>
      <c r="K649">
        <f>H649*90</f>
        <v/>
      </c>
      <c r="M649">
        <f>L649/K649</f>
        <v/>
      </c>
    </row>
    <row r="650">
      <c r="A650" s="1" t="n">
        <v>649</v>
      </c>
      <c r="B650" s="2" t="inlineStr">
        <is>
          <t>USA</t>
        </is>
      </c>
      <c r="C650" s="2" t="inlineStr">
        <is>
          <t>Weston McKennie</t>
        </is>
      </c>
      <c r="D650" s="2" t="inlineStr">
        <is>
          <t>Médio</t>
        </is>
      </c>
      <c r="E650" s="2" t="inlineStr">
        <is>
          <t>Juventus</t>
        </is>
      </c>
      <c r="F650">
        <f>VLOOKUP(E650,Clubes!B$2:D$438,2)</f>
        <v/>
      </c>
      <c r="G650">
        <f>VLOOKUP(E650,Clubes!B$2:D$438,3)</f>
        <v/>
      </c>
      <c r="H650" s="2" t="n">
        <v>38</v>
      </c>
      <c r="J650">
        <f>I650/H650</f>
        <v/>
      </c>
      <c r="K650">
        <f>H650*90</f>
        <v/>
      </c>
      <c r="M650">
        <f>L650/K650</f>
        <v/>
      </c>
    </row>
    <row r="651">
      <c r="A651" s="1" t="n">
        <v>650</v>
      </c>
      <c r="B651" s="2" t="inlineStr">
        <is>
          <t>USA</t>
        </is>
      </c>
      <c r="C651" s="2" t="inlineStr">
        <is>
          <t>Brenden Aaronson</t>
        </is>
      </c>
      <c r="D651" s="2" t="inlineStr">
        <is>
          <t>Médio</t>
        </is>
      </c>
      <c r="E651" s="2" t="inlineStr">
        <is>
          <t>Leeds United</t>
        </is>
      </c>
      <c r="F651">
        <f>VLOOKUP(E651,Clubes!B$2:D$438,2)</f>
        <v/>
      </c>
      <c r="G651">
        <f>VLOOKUP(E651,Clubes!B$2:D$438,3)</f>
        <v/>
      </c>
      <c r="H651" s="2" t="n">
        <v>38</v>
      </c>
      <c r="J651">
        <f>I651/H651</f>
        <v/>
      </c>
      <c r="K651">
        <f>H651*90</f>
        <v/>
      </c>
      <c r="M651">
        <f>L651/K651</f>
        <v/>
      </c>
    </row>
    <row r="652">
      <c r="A652" s="1" t="n">
        <v>651</v>
      </c>
      <c r="B652" s="2" t="inlineStr">
        <is>
          <t>USA</t>
        </is>
      </c>
      <c r="C652" s="2" t="inlineStr">
        <is>
          <t>Sebastian Berhalter</t>
        </is>
      </c>
      <c r="D652" s="2" t="inlineStr">
        <is>
          <t>Médio</t>
        </is>
      </c>
      <c r="E652" s="2" t="inlineStr">
        <is>
          <t>Vancouver Whitecaps</t>
        </is>
      </c>
      <c r="F652">
        <f>VLOOKUP(E652,Clubes!B$2:D$438,2)</f>
        <v/>
      </c>
      <c r="G652">
        <f>VLOOKUP(E652,Clubes!B$2:D$438,3)</f>
        <v/>
      </c>
      <c r="H652" s="2" t="n">
        <v>34</v>
      </c>
      <c r="J652">
        <f>I652/H652</f>
        <v/>
      </c>
      <c r="K652">
        <f>H652*90</f>
        <v/>
      </c>
      <c r="M652">
        <f>L652/K652</f>
        <v/>
      </c>
    </row>
    <row r="653">
      <c r="A653" s="1" t="n">
        <v>652</v>
      </c>
      <c r="B653" s="2" t="inlineStr">
        <is>
          <t>USA</t>
        </is>
      </c>
      <c r="C653" s="2" t="inlineStr">
        <is>
          <t>Cristian Roldán</t>
        </is>
      </c>
      <c r="D653" s="2" t="inlineStr">
        <is>
          <t>Médio</t>
        </is>
      </c>
      <c r="E653" s="2" t="inlineStr">
        <is>
          <t>Seattle Sounders</t>
        </is>
      </c>
      <c r="F653">
        <f>VLOOKUP(E653,Clubes!B$2:D$438,2)</f>
        <v/>
      </c>
      <c r="G653">
        <f>VLOOKUP(E653,Clubes!B$2:D$438,3)</f>
        <v/>
      </c>
      <c r="H653" s="2" t="n">
        <v>34</v>
      </c>
      <c r="J653">
        <f>I653/H653</f>
        <v/>
      </c>
      <c r="K653">
        <f>H653*90</f>
        <v/>
      </c>
      <c r="M653">
        <f>L653/K653</f>
        <v/>
      </c>
    </row>
    <row r="654">
      <c r="A654" s="1" t="n">
        <v>653</v>
      </c>
      <c r="B654" s="2" t="inlineStr">
        <is>
          <t>USA</t>
        </is>
      </c>
      <c r="C654" s="2" t="inlineStr">
        <is>
          <t>Malik Tillman</t>
        </is>
      </c>
      <c r="D654" s="2" t="inlineStr">
        <is>
          <t>Médio</t>
        </is>
      </c>
      <c r="E654" s="2" t="inlineStr">
        <is>
          <t>Bayer Leverkusen</t>
        </is>
      </c>
      <c r="F654">
        <f>VLOOKUP(E654,Clubes!B$2:D$438,2)</f>
        <v/>
      </c>
      <c r="G654">
        <f>VLOOKUP(E654,Clubes!B$2:D$438,3)</f>
        <v/>
      </c>
      <c r="H654" s="2" t="n">
        <v>34</v>
      </c>
      <c r="J654">
        <f>I654/H654</f>
        <v/>
      </c>
      <c r="K654">
        <f>H654*90</f>
        <v/>
      </c>
      <c r="M654">
        <f>L654/K654</f>
        <v/>
      </c>
    </row>
    <row r="655">
      <c r="A655" s="1" t="n">
        <v>654</v>
      </c>
      <c r="B655" s="2" t="inlineStr">
        <is>
          <t>USA</t>
        </is>
      </c>
      <c r="C655" s="2" t="inlineStr">
        <is>
          <t>Álex Zendejas</t>
        </is>
      </c>
      <c r="D655" s="2" t="inlineStr">
        <is>
          <t>Médio</t>
        </is>
      </c>
      <c r="E655" s="2" t="inlineStr">
        <is>
          <t>Club América</t>
        </is>
      </c>
      <c r="F655">
        <f>VLOOKUP(E655,Clubes!B$2:D$438,2)</f>
        <v/>
      </c>
      <c r="G655">
        <f>VLOOKUP(E655,Clubes!B$2:D$438,3)</f>
        <v/>
      </c>
      <c r="H655" s="2" t="n">
        <v>34</v>
      </c>
      <c r="J655">
        <f>I655/H655</f>
        <v/>
      </c>
      <c r="K655">
        <f>H655*90</f>
        <v/>
      </c>
      <c r="M655">
        <f>L655/K655</f>
        <v/>
      </c>
    </row>
    <row r="656">
      <c r="A656" s="1" t="n">
        <v>655</v>
      </c>
      <c r="B656" s="2" t="inlineStr">
        <is>
          <t>USA</t>
        </is>
      </c>
      <c r="C656" s="2" t="inlineStr">
        <is>
          <t>Ricardo Pepi</t>
        </is>
      </c>
      <c r="D656" s="2" t="inlineStr">
        <is>
          <t>Avançado</t>
        </is>
      </c>
      <c r="E656" s="2" t="inlineStr">
        <is>
          <t>PSV</t>
        </is>
      </c>
      <c r="F656">
        <f>VLOOKUP(E656,Clubes!B$2:D$438,2)</f>
        <v/>
      </c>
      <c r="G656">
        <f>VLOOKUP(E656,Clubes!B$2:D$438,3)</f>
        <v/>
      </c>
      <c r="H656" s="2" t="n">
        <v>46</v>
      </c>
      <c r="J656">
        <f>I656/H656</f>
        <v/>
      </c>
      <c r="K656">
        <f>H656*90</f>
        <v/>
      </c>
      <c r="M656">
        <f>L656/K656</f>
        <v/>
      </c>
    </row>
    <row r="657">
      <c r="A657" s="1" t="n">
        <v>656</v>
      </c>
      <c r="B657" s="2" t="inlineStr">
        <is>
          <t>USA</t>
        </is>
      </c>
      <c r="C657" s="2" t="inlineStr">
        <is>
          <t>Christian Pulisic</t>
        </is>
      </c>
      <c r="D657" s="2" t="inlineStr">
        <is>
          <t>Avançado</t>
        </is>
      </c>
      <c r="E657" s="2" t="inlineStr">
        <is>
          <t>Milan</t>
        </is>
      </c>
      <c r="F657">
        <f>VLOOKUP(E657,Clubes!B$2:D$438,2)</f>
        <v/>
      </c>
      <c r="G657">
        <f>VLOOKUP(E657,Clubes!B$2:D$438,3)</f>
        <v/>
      </c>
      <c r="H657" s="2" t="n">
        <v>38</v>
      </c>
      <c r="J657">
        <f>I657/H657</f>
        <v/>
      </c>
      <c r="K657">
        <f>H657*90</f>
        <v/>
      </c>
      <c r="M657">
        <f>L657/K657</f>
        <v/>
      </c>
    </row>
    <row r="658">
      <c r="A658" s="1" t="n">
        <v>657</v>
      </c>
      <c r="B658" s="2" t="inlineStr">
        <is>
          <t>USA</t>
        </is>
      </c>
      <c r="C658" s="2" t="inlineStr">
        <is>
          <t>Max Arfsten</t>
        </is>
      </c>
      <c r="D658" s="2" t="inlineStr">
        <is>
          <t>Avançado</t>
        </is>
      </c>
      <c r="E658" s="2" t="inlineStr">
        <is>
          <t>Columbus Crew</t>
        </is>
      </c>
      <c r="F658">
        <f>VLOOKUP(E658,Clubes!B$2:D$438,2)</f>
        <v/>
      </c>
      <c r="G658">
        <f>VLOOKUP(E658,Clubes!B$2:D$438,3)</f>
        <v/>
      </c>
      <c r="H658" s="2" t="n">
        <v>34</v>
      </c>
      <c r="J658">
        <f>I658/H658</f>
        <v/>
      </c>
      <c r="K658">
        <f>H658*90</f>
        <v/>
      </c>
      <c r="M658">
        <f>L658/K658</f>
        <v/>
      </c>
    </row>
    <row r="659">
      <c r="A659" s="1" t="n">
        <v>658</v>
      </c>
      <c r="B659" s="2" t="inlineStr">
        <is>
          <t>USA</t>
        </is>
      </c>
      <c r="C659" s="2" t="inlineStr">
        <is>
          <t>Haji Wright</t>
        </is>
      </c>
      <c r="D659" s="2" t="inlineStr">
        <is>
          <t>Avançado</t>
        </is>
      </c>
      <c r="E659" s="2" t="inlineStr">
        <is>
          <t>Coventry City</t>
        </is>
      </c>
      <c r="F659">
        <f>VLOOKUP(E659,Clubes!B$2:D$438,2)</f>
        <v/>
      </c>
      <c r="G659">
        <f>VLOOKUP(E659,Clubes!B$2:D$438,3)</f>
        <v/>
      </c>
      <c r="H659" s="2" t="n">
        <v>46</v>
      </c>
      <c r="J659">
        <f>I659/H659</f>
        <v/>
      </c>
      <c r="K659">
        <f>H659*90</f>
        <v/>
      </c>
      <c r="M659">
        <f>L659/K659</f>
        <v/>
      </c>
    </row>
    <row r="660">
      <c r="A660" s="1" t="n">
        <v>659</v>
      </c>
      <c r="B660" s="2" t="inlineStr">
        <is>
          <t>USA</t>
        </is>
      </c>
      <c r="C660" s="2" t="inlineStr">
        <is>
          <t>Folarin Balogun</t>
        </is>
      </c>
      <c r="D660" s="2" t="inlineStr">
        <is>
          <t>Avançado</t>
        </is>
      </c>
      <c r="E660" s="2" t="inlineStr">
        <is>
          <t>Monaco</t>
        </is>
      </c>
      <c r="F660">
        <f>VLOOKUP(E660,Clubes!B$2:D$438,2)</f>
        <v/>
      </c>
      <c r="G660">
        <f>VLOOKUP(E660,Clubes!B$2:D$438,3)</f>
        <v/>
      </c>
      <c r="H660" s="2" t="n">
        <v>34</v>
      </c>
      <c r="J660">
        <f>I660/H660</f>
        <v/>
      </c>
      <c r="K660">
        <f>H660*90</f>
        <v/>
      </c>
      <c r="M660">
        <f>L660/K660</f>
        <v/>
      </c>
    </row>
    <row r="661">
      <c r="A661" s="1" t="n">
        <v>660</v>
      </c>
      <c r="B661" s="2" t="inlineStr">
        <is>
          <t>USA</t>
        </is>
      </c>
      <c r="C661" s="2" t="inlineStr">
        <is>
          <t>Timothy Weah</t>
        </is>
      </c>
      <c r="D661" s="2" t="inlineStr">
        <is>
          <t>Avançado</t>
        </is>
      </c>
      <c r="E661" s="2" t="inlineStr">
        <is>
          <t>Marseille</t>
        </is>
      </c>
      <c r="F661">
        <f>VLOOKUP(E661,Clubes!B$2:D$438,2)</f>
        <v/>
      </c>
      <c r="G661">
        <f>VLOOKUP(E661,Clubes!B$2:D$438,3)</f>
        <v/>
      </c>
      <c r="H661" s="2" t="n">
        <v>34</v>
      </c>
      <c r="J661">
        <f>I661/H661</f>
        <v/>
      </c>
      <c r="K661">
        <f>H661*90</f>
        <v/>
      </c>
      <c r="M661">
        <f>L661/K661</f>
        <v/>
      </c>
    </row>
    <row r="662">
      <c r="A662" s="1" t="n">
        <v>661</v>
      </c>
      <c r="B662" s="2" t="inlineStr">
        <is>
          <t>France</t>
        </is>
      </c>
      <c r="C662" s="2" t="inlineStr">
        <is>
          <t>Brice Samba</t>
        </is>
      </c>
      <c r="D662" s="2" t="inlineStr">
        <is>
          <t>Guarda Redes</t>
        </is>
      </c>
      <c r="E662" s="2" t="inlineStr">
        <is>
          <t>Rennes</t>
        </is>
      </c>
      <c r="F662">
        <f>VLOOKUP(E662,Clubes!B$2:D$438,2)</f>
        <v/>
      </c>
      <c r="G662">
        <f>VLOOKUP(E662,Clubes!B$2:D$438,3)</f>
        <v/>
      </c>
      <c r="H662" s="2" t="n">
        <v>34</v>
      </c>
      <c r="J662">
        <f>I662/H662</f>
        <v/>
      </c>
      <c r="K662">
        <f>H662*90</f>
        <v/>
      </c>
      <c r="M662">
        <f>L662/K662</f>
        <v/>
      </c>
    </row>
    <row r="663">
      <c r="A663" s="1" t="n">
        <v>662</v>
      </c>
      <c r="B663" s="2" t="inlineStr">
        <is>
          <t>France</t>
        </is>
      </c>
      <c r="C663" s="2" t="inlineStr">
        <is>
          <t>Mike Maignan</t>
        </is>
      </c>
      <c r="D663" s="2" t="inlineStr">
        <is>
          <t>Guarda Redes</t>
        </is>
      </c>
      <c r="E663" s="2" t="inlineStr">
        <is>
          <t>Milan</t>
        </is>
      </c>
      <c r="F663">
        <f>VLOOKUP(E663,Clubes!B$2:D$438,2)</f>
        <v/>
      </c>
      <c r="G663">
        <f>VLOOKUP(E663,Clubes!B$2:D$438,3)</f>
        <v/>
      </c>
      <c r="H663" s="2" t="n">
        <v>38</v>
      </c>
      <c r="J663">
        <f>I663/H663</f>
        <v/>
      </c>
      <c r="K663">
        <f>H663*90</f>
        <v/>
      </c>
      <c r="M663">
        <f>L663/K663</f>
        <v/>
      </c>
    </row>
    <row r="664">
      <c r="A664" s="1" t="n">
        <v>663</v>
      </c>
      <c r="B664" s="2" t="inlineStr">
        <is>
          <t>France</t>
        </is>
      </c>
      <c r="C664" s="2" t="inlineStr">
        <is>
          <t>Robin Risser</t>
        </is>
      </c>
      <c r="D664" s="2" t="inlineStr">
        <is>
          <t>Guarda Redes</t>
        </is>
      </c>
      <c r="E664" s="2" t="inlineStr">
        <is>
          <t>Lens</t>
        </is>
      </c>
      <c r="F664">
        <f>VLOOKUP(E664,Clubes!B$2:D$438,2)</f>
        <v/>
      </c>
      <c r="G664">
        <f>VLOOKUP(E664,Clubes!B$2:D$438,3)</f>
        <v/>
      </c>
      <c r="H664" s="2" t="n">
        <v>34</v>
      </c>
      <c r="J664">
        <f>I664/H664</f>
        <v/>
      </c>
      <c r="K664">
        <f>H664*90</f>
        <v/>
      </c>
      <c r="M664">
        <f>L664/K664</f>
        <v/>
      </c>
    </row>
    <row r="665">
      <c r="A665" s="1" t="n">
        <v>664</v>
      </c>
      <c r="B665" s="2" t="inlineStr">
        <is>
          <t>France</t>
        </is>
      </c>
      <c r="C665" s="2" t="inlineStr">
        <is>
          <t>Malo Gusto</t>
        </is>
      </c>
      <c r="D665" s="2" t="inlineStr">
        <is>
          <t>Defesa</t>
        </is>
      </c>
      <c r="E665" s="2" t="inlineStr">
        <is>
          <t>Chelsea</t>
        </is>
      </c>
      <c r="F665">
        <f>VLOOKUP(E665,Clubes!B$2:D$438,2)</f>
        <v/>
      </c>
      <c r="G665">
        <f>VLOOKUP(E665,Clubes!B$2:D$438,3)</f>
        <v/>
      </c>
      <c r="H665" s="2" t="n">
        <v>38</v>
      </c>
      <c r="J665">
        <f>I665/H665</f>
        <v/>
      </c>
      <c r="K665">
        <f>H665*90</f>
        <v/>
      </c>
      <c r="M665">
        <f>L665/K665</f>
        <v/>
      </c>
    </row>
    <row r="666">
      <c r="A666" s="1" t="n">
        <v>665</v>
      </c>
      <c r="B666" s="2" t="inlineStr">
        <is>
          <t>France</t>
        </is>
      </c>
      <c r="C666" s="2" t="inlineStr">
        <is>
          <t>Jules Koundé</t>
        </is>
      </c>
      <c r="D666" s="2" t="inlineStr">
        <is>
          <t>Defesa</t>
        </is>
      </c>
      <c r="E666" s="2" t="inlineStr">
        <is>
          <t>Barcelona</t>
        </is>
      </c>
      <c r="F666">
        <f>VLOOKUP(E666,Clubes!B$2:D$438,2)</f>
        <v/>
      </c>
      <c r="G666">
        <f>VLOOKUP(E666,Clubes!B$2:D$438,3)</f>
        <v/>
      </c>
      <c r="H666" s="2" t="n">
        <v>38</v>
      </c>
      <c r="J666">
        <f>I666/H666</f>
        <v/>
      </c>
      <c r="K666">
        <f>H666*90</f>
        <v/>
      </c>
      <c r="M666">
        <f>L666/K666</f>
        <v/>
      </c>
    </row>
    <row r="667">
      <c r="A667" s="1" t="n">
        <v>666</v>
      </c>
      <c r="B667" s="2" t="inlineStr">
        <is>
          <t>France</t>
        </is>
      </c>
      <c r="C667" s="2" t="inlineStr">
        <is>
          <t>Dayot Upamecano</t>
        </is>
      </c>
      <c r="D667" s="2" t="inlineStr">
        <is>
          <t>Defesa</t>
        </is>
      </c>
      <c r="E667" s="2" t="inlineStr">
        <is>
          <t>Bayern München</t>
        </is>
      </c>
      <c r="F667">
        <f>VLOOKUP(E667,Clubes!B$2:D$438,2)</f>
        <v/>
      </c>
      <c r="G667">
        <f>VLOOKUP(E667,Clubes!B$2:D$438,3)</f>
        <v/>
      </c>
      <c r="H667" s="2" t="n">
        <v>34</v>
      </c>
      <c r="J667">
        <f>I667/H667</f>
        <v/>
      </c>
      <c r="K667">
        <f>H667*90</f>
        <v/>
      </c>
      <c r="M667">
        <f>L667/K667</f>
        <v/>
      </c>
    </row>
    <row r="668">
      <c r="A668" s="1" t="n">
        <v>667</v>
      </c>
      <c r="B668" s="2" t="inlineStr">
        <is>
          <t>France</t>
        </is>
      </c>
      <c r="C668" s="2" t="inlineStr">
        <is>
          <t>Ibrahima Konaté</t>
        </is>
      </c>
      <c r="D668" s="2" t="inlineStr">
        <is>
          <t>Defesa</t>
        </is>
      </c>
      <c r="E668" s="2" t="inlineStr">
        <is>
          <t>Liverpool</t>
        </is>
      </c>
      <c r="F668">
        <f>VLOOKUP(E668,Clubes!B$2:D$438,2)</f>
        <v/>
      </c>
      <c r="G668">
        <f>VLOOKUP(E668,Clubes!B$2:D$438,3)</f>
        <v/>
      </c>
      <c r="H668" s="2" t="n">
        <v>38</v>
      </c>
      <c r="J668">
        <f>I668/H668</f>
        <v/>
      </c>
      <c r="K668">
        <f>H668*90</f>
        <v/>
      </c>
      <c r="M668">
        <f>L668/K668</f>
        <v/>
      </c>
    </row>
    <row r="669">
      <c r="A669" s="1" t="n">
        <v>668</v>
      </c>
      <c r="B669" s="2" t="inlineStr">
        <is>
          <t>France</t>
        </is>
      </c>
      <c r="C669" s="2" t="inlineStr">
        <is>
          <t>William Saliba</t>
        </is>
      </c>
      <c r="D669" s="2" t="inlineStr">
        <is>
          <t>Defesa</t>
        </is>
      </c>
      <c r="E669" s="2" t="inlineStr">
        <is>
          <t>Arsenal</t>
        </is>
      </c>
      <c r="F669">
        <f>VLOOKUP(E669,Clubes!B$2:D$438,2)</f>
        <v/>
      </c>
      <c r="G669">
        <f>VLOOKUP(E669,Clubes!B$2:D$438,3)</f>
        <v/>
      </c>
      <c r="H669" s="2" t="n">
        <v>38</v>
      </c>
      <c r="J669">
        <f>I669/H669</f>
        <v/>
      </c>
      <c r="K669">
        <f>H669*90</f>
        <v/>
      </c>
      <c r="M669">
        <f>L669/K669</f>
        <v/>
      </c>
    </row>
    <row r="670">
      <c r="A670" s="1" t="n">
        <v>669</v>
      </c>
      <c r="B670" s="2" t="inlineStr">
        <is>
          <t>France</t>
        </is>
      </c>
      <c r="C670" s="2" t="inlineStr">
        <is>
          <t>Maxence Lacroix</t>
        </is>
      </c>
      <c r="D670" s="2" t="inlineStr">
        <is>
          <t>Defesa</t>
        </is>
      </c>
      <c r="E670" s="2" t="inlineStr">
        <is>
          <t>Crystal Palace</t>
        </is>
      </c>
      <c r="F670">
        <f>VLOOKUP(E670,Clubes!B$2:D$438,2)</f>
        <v/>
      </c>
      <c r="G670">
        <f>VLOOKUP(E670,Clubes!B$2:D$438,3)</f>
        <v/>
      </c>
      <c r="H670" s="2" t="n">
        <v>38</v>
      </c>
      <c r="J670">
        <f>I670/H670</f>
        <v/>
      </c>
      <c r="K670">
        <f>H670*90</f>
        <v/>
      </c>
      <c r="M670">
        <f>L670/K670</f>
        <v/>
      </c>
    </row>
    <row r="671">
      <c r="A671" s="1" t="n">
        <v>670</v>
      </c>
      <c r="B671" s="2" t="inlineStr">
        <is>
          <t>France</t>
        </is>
      </c>
      <c r="C671" s="2" t="inlineStr">
        <is>
          <t>Lucas Digne</t>
        </is>
      </c>
      <c r="D671" s="2" t="inlineStr">
        <is>
          <t>Defesa</t>
        </is>
      </c>
      <c r="E671" s="2" t="inlineStr">
        <is>
          <t>Aston Villa</t>
        </is>
      </c>
      <c r="F671">
        <f>VLOOKUP(E671,Clubes!B$2:D$438,2)</f>
        <v/>
      </c>
      <c r="G671">
        <f>VLOOKUP(E671,Clubes!B$2:D$438,3)</f>
        <v/>
      </c>
      <c r="H671" s="2" t="n">
        <v>38</v>
      </c>
      <c r="J671">
        <f>I671/H671</f>
        <v/>
      </c>
      <c r="K671">
        <f>H671*90</f>
        <v/>
      </c>
      <c r="M671">
        <f>L671/K671</f>
        <v/>
      </c>
    </row>
    <row r="672">
      <c r="A672" s="1" t="n">
        <v>671</v>
      </c>
      <c r="B672" s="2" t="inlineStr">
        <is>
          <t>France</t>
        </is>
      </c>
      <c r="C672" s="2" t="inlineStr">
        <is>
          <t>Theo Hernández</t>
        </is>
      </c>
      <c r="D672" s="2" t="inlineStr">
        <is>
          <t>Defesa</t>
        </is>
      </c>
      <c r="E672" s="2" t="inlineStr">
        <is>
          <t>Al-Hilal</t>
        </is>
      </c>
      <c r="F672">
        <f>VLOOKUP(E672,Clubes!B$2:D$438,2)</f>
        <v/>
      </c>
      <c r="G672">
        <f>VLOOKUP(E672,Clubes!B$2:D$438,3)</f>
        <v/>
      </c>
      <c r="H672" s="2" t="n">
        <v>34</v>
      </c>
      <c r="J672">
        <f>I672/H672</f>
        <v/>
      </c>
      <c r="K672">
        <f>H672*90</f>
        <v/>
      </c>
      <c r="M672">
        <f>L672/K672</f>
        <v/>
      </c>
    </row>
    <row r="673">
      <c r="A673" s="1" t="n">
        <v>672</v>
      </c>
      <c r="B673" s="2" t="inlineStr">
        <is>
          <t>France</t>
        </is>
      </c>
      <c r="C673" s="2" t="inlineStr">
        <is>
          <t>Lucas Hernández</t>
        </is>
      </c>
      <c r="D673" s="2" t="inlineStr">
        <is>
          <t>Defesa</t>
        </is>
      </c>
      <c r="E673" s="2" t="inlineStr">
        <is>
          <t>PSG</t>
        </is>
      </c>
      <c r="F673">
        <f>VLOOKUP(E673,Clubes!B$2:D$438,2)</f>
        <v/>
      </c>
      <c r="G673">
        <f>VLOOKUP(E673,Clubes!B$2:D$438,3)</f>
        <v/>
      </c>
      <c r="H673" s="2" t="n">
        <v>46</v>
      </c>
      <c r="J673">
        <f>I673/H673</f>
        <v/>
      </c>
      <c r="K673">
        <f>H673*90</f>
        <v/>
      </c>
      <c r="M673">
        <f>L673/K673</f>
        <v/>
      </c>
    </row>
    <row r="674">
      <c r="A674" s="1" t="n">
        <v>673</v>
      </c>
      <c r="B674" s="2" t="inlineStr">
        <is>
          <t>France</t>
        </is>
      </c>
      <c r="C674" s="2" t="inlineStr">
        <is>
          <t>Aurélien Tchouaméni</t>
        </is>
      </c>
      <c r="D674" s="2" t="inlineStr">
        <is>
          <t>Médio</t>
        </is>
      </c>
      <c r="E674" s="2" t="inlineStr">
        <is>
          <t>Real Madrid</t>
        </is>
      </c>
      <c r="F674">
        <f>VLOOKUP(E674,Clubes!B$2:D$438,2)</f>
        <v/>
      </c>
      <c r="G674">
        <f>VLOOKUP(E674,Clubes!B$2:D$438,3)</f>
        <v/>
      </c>
      <c r="H674" s="2" t="n">
        <v>38</v>
      </c>
      <c r="J674">
        <f>I674/H674</f>
        <v/>
      </c>
      <c r="K674">
        <f>H674*90</f>
        <v/>
      </c>
      <c r="M674">
        <f>L674/K674</f>
        <v/>
      </c>
    </row>
    <row r="675">
      <c r="A675" s="1" t="n">
        <v>674</v>
      </c>
      <c r="B675" s="2" t="inlineStr">
        <is>
          <t>France</t>
        </is>
      </c>
      <c r="C675" s="2" t="inlineStr">
        <is>
          <t>Manu Koné</t>
        </is>
      </c>
      <c r="D675" s="2" t="inlineStr">
        <is>
          <t>Médio</t>
        </is>
      </c>
      <c r="E675" s="2" t="inlineStr">
        <is>
          <t>Roma</t>
        </is>
      </c>
      <c r="F675">
        <f>VLOOKUP(E675,Clubes!B$2:D$438,2)</f>
        <v/>
      </c>
      <c r="G675">
        <f>VLOOKUP(E675,Clubes!B$2:D$438,3)</f>
        <v/>
      </c>
      <c r="H675" s="2" t="n">
        <v>38</v>
      </c>
      <c r="J675">
        <f>I675/H675</f>
        <v/>
      </c>
      <c r="K675">
        <f>H675*90</f>
        <v/>
      </c>
      <c r="M675">
        <f>L675/K675</f>
        <v/>
      </c>
    </row>
    <row r="676">
      <c r="A676" s="1" t="n">
        <v>675</v>
      </c>
      <c r="B676" s="2" t="inlineStr">
        <is>
          <t>France</t>
        </is>
      </c>
      <c r="C676" s="2" t="inlineStr">
        <is>
          <t>N'Golo Kanté</t>
        </is>
      </c>
      <c r="D676" s="2" t="inlineStr">
        <is>
          <t>Médio</t>
        </is>
      </c>
      <c r="E676" s="2" t="inlineStr">
        <is>
          <t>Fenerbahçe</t>
        </is>
      </c>
      <c r="F676">
        <f>VLOOKUP(E676,Clubes!B$2:D$438,2)</f>
        <v/>
      </c>
      <c r="G676">
        <f>VLOOKUP(E676,Clubes!B$2:D$438,3)</f>
        <v/>
      </c>
      <c r="H676" s="2" t="n">
        <v>40</v>
      </c>
      <c r="J676">
        <f>I676/H676</f>
        <v/>
      </c>
      <c r="K676">
        <f>H676*90</f>
        <v/>
      </c>
      <c r="M676">
        <f>L676/K676</f>
        <v/>
      </c>
    </row>
    <row r="677">
      <c r="A677" s="1" t="n">
        <v>676</v>
      </c>
      <c r="B677" s="2" t="inlineStr">
        <is>
          <t>France</t>
        </is>
      </c>
      <c r="C677" s="2" t="inlineStr">
        <is>
          <t>Adrien Rabiot</t>
        </is>
      </c>
      <c r="D677" s="2" t="inlineStr">
        <is>
          <t>Médio</t>
        </is>
      </c>
      <c r="E677" s="2" t="inlineStr">
        <is>
          <t>Milan</t>
        </is>
      </c>
      <c r="F677">
        <f>VLOOKUP(E677,Clubes!B$2:D$438,2)</f>
        <v/>
      </c>
      <c r="G677">
        <f>VLOOKUP(E677,Clubes!B$2:D$438,3)</f>
        <v/>
      </c>
      <c r="H677" s="2" t="n">
        <v>38</v>
      </c>
      <c r="J677">
        <f>I677/H677</f>
        <v/>
      </c>
      <c r="K677">
        <f>H677*90</f>
        <v/>
      </c>
      <c r="M677">
        <f>L677/K677</f>
        <v/>
      </c>
    </row>
    <row r="678">
      <c r="A678" s="1" t="n">
        <v>677</v>
      </c>
      <c r="B678" s="2" t="inlineStr">
        <is>
          <t>France</t>
        </is>
      </c>
      <c r="C678" s="2" t="inlineStr">
        <is>
          <t>Warren Zaïre-Emery</t>
        </is>
      </c>
      <c r="D678" s="2" t="inlineStr">
        <is>
          <t>Médio</t>
        </is>
      </c>
      <c r="E678" s="2" t="inlineStr">
        <is>
          <t>PSG</t>
        </is>
      </c>
      <c r="F678">
        <f>VLOOKUP(E678,Clubes!B$2:D$438,2)</f>
        <v/>
      </c>
      <c r="G678">
        <f>VLOOKUP(E678,Clubes!B$2:D$438,3)</f>
        <v/>
      </c>
      <c r="H678" s="2" t="n">
        <v>46</v>
      </c>
      <c r="J678">
        <f>I678/H678</f>
        <v/>
      </c>
      <c r="K678">
        <f>H678*90</f>
        <v/>
      </c>
      <c r="M678">
        <f>L678/K678</f>
        <v/>
      </c>
    </row>
    <row r="679">
      <c r="A679" s="1" t="n">
        <v>678</v>
      </c>
      <c r="B679" s="2" t="inlineStr">
        <is>
          <t>France</t>
        </is>
      </c>
      <c r="C679" s="2" t="inlineStr">
        <is>
          <t>Rayan Cherki</t>
        </is>
      </c>
      <c r="D679" s="2" t="inlineStr">
        <is>
          <t>Médio</t>
        </is>
      </c>
      <c r="E679" s="2" t="inlineStr">
        <is>
          <t>Manchester City</t>
        </is>
      </c>
      <c r="F679">
        <f>VLOOKUP(E679,Clubes!B$2:D$438,2)</f>
        <v/>
      </c>
      <c r="G679">
        <f>VLOOKUP(E679,Clubes!B$2:D$438,3)</f>
        <v/>
      </c>
      <c r="H679" s="2" t="n">
        <v>38</v>
      </c>
      <c r="J679">
        <f>I679/H679</f>
        <v/>
      </c>
      <c r="K679">
        <f>H679*90</f>
        <v/>
      </c>
      <c r="M679">
        <f>L679/K679</f>
        <v/>
      </c>
    </row>
    <row r="680">
      <c r="A680" s="1" t="n">
        <v>679</v>
      </c>
      <c r="B680" s="2" t="inlineStr">
        <is>
          <t>France</t>
        </is>
      </c>
      <c r="C680" s="2" t="inlineStr">
        <is>
          <t>Ousmane Dembélé</t>
        </is>
      </c>
      <c r="D680" s="2" t="inlineStr">
        <is>
          <t>Avançado</t>
        </is>
      </c>
      <c r="E680" s="2" t="inlineStr">
        <is>
          <t>PSG</t>
        </is>
      </c>
      <c r="F680">
        <f>VLOOKUP(E680,Clubes!B$2:D$438,2)</f>
        <v/>
      </c>
      <c r="G680">
        <f>VLOOKUP(E680,Clubes!B$2:D$438,3)</f>
        <v/>
      </c>
      <c r="H680" s="2" t="n">
        <v>46</v>
      </c>
      <c r="J680">
        <f>I680/H680</f>
        <v/>
      </c>
      <c r="K680">
        <f>H680*90</f>
        <v/>
      </c>
      <c r="M680">
        <f>L680/K680</f>
        <v/>
      </c>
    </row>
    <row r="681">
      <c r="A681" s="1" t="n">
        <v>680</v>
      </c>
      <c r="B681" s="2" t="inlineStr">
        <is>
          <t>France</t>
        </is>
      </c>
      <c r="C681" s="2" t="inlineStr">
        <is>
          <t>Michael Olise</t>
        </is>
      </c>
      <c r="D681" s="2" t="inlineStr">
        <is>
          <t>Avançado</t>
        </is>
      </c>
      <c r="E681" s="2" t="inlineStr">
        <is>
          <t>Bayern München</t>
        </is>
      </c>
      <c r="F681">
        <f>VLOOKUP(E681,Clubes!B$2:D$438,2)</f>
        <v/>
      </c>
      <c r="G681">
        <f>VLOOKUP(E681,Clubes!B$2:D$438,3)</f>
        <v/>
      </c>
      <c r="H681" s="2" t="n">
        <v>34</v>
      </c>
      <c r="J681">
        <f>I681/H681</f>
        <v/>
      </c>
      <c r="K681">
        <f>H681*90</f>
        <v/>
      </c>
      <c r="M681">
        <f>L681/K681</f>
        <v/>
      </c>
    </row>
    <row r="682">
      <c r="A682" s="1" t="n">
        <v>681</v>
      </c>
      <c r="B682" s="2" t="inlineStr">
        <is>
          <t>France</t>
        </is>
      </c>
      <c r="C682" s="2" t="inlineStr">
        <is>
          <t>Maghnes Akliouche</t>
        </is>
      </c>
      <c r="D682" s="2" t="inlineStr">
        <is>
          <t>Avançado</t>
        </is>
      </c>
      <c r="E682" s="2" t="inlineStr">
        <is>
          <t>Monaco</t>
        </is>
      </c>
      <c r="F682">
        <f>VLOOKUP(E682,Clubes!B$2:D$438,2)</f>
        <v/>
      </c>
      <c r="G682">
        <f>VLOOKUP(E682,Clubes!B$2:D$438,3)</f>
        <v/>
      </c>
      <c r="H682" s="2" t="n">
        <v>34</v>
      </c>
      <c r="J682">
        <f>I682/H682</f>
        <v/>
      </c>
      <c r="K682">
        <f>H682*90</f>
        <v/>
      </c>
      <c r="M682">
        <f>L682/K682</f>
        <v/>
      </c>
    </row>
    <row r="683">
      <c r="A683" s="1" t="n">
        <v>682</v>
      </c>
      <c r="B683" s="2" t="inlineStr">
        <is>
          <t>France</t>
        </is>
      </c>
      <c r="C683" s="2" t="inlineStr">
        <is>
          <t>Marcus Thuram</t>
        </is>
      </c>
      <c r="D683" s="2" t="inlineStr">
        <is>
          <t>Avançado</t>
        </is>
      </c>
      <c r="E683" s="2" t="inlineStr">
        <is>
          <t>Internazionale</t>
        </is>
      </c>
      <c r="F683">
        <f>VLOOKUP(E683,Clubes!B$2:D$438,2)</f>
        <v/>
      </c>
      <c r="G683">
        <f>VLOOKUP(E683,Clubes!B$2:D$438,3)</f>
        <v/>
      </c>
      <c r="H683" s="2" t="n">
        <v>38</v>
      </c>
      <c r="J683">
        <f>I683/H683</f>
        <v/>
      </c>
      <c r="K683">
        <f>H683*90</f>
        <v/>
      </c>
      <c r="M683">
        <f>L683/K683</f>
        <v/>
      </c>
    </row>
    <row r="684">
      <c r="A684" s="1" t="n">
        <v>683</v>
      </c>
      <c r="B684" s="2" t="inlineStr">
        <is>
          <t>France</t>
        </is>
      </c>
      <c r="C684" s="2" t="inlineStr">
        <is>
          <t>Kylian Mbappé</t>
        </is>
      </c>
      <c r="D684" s="2" t="inlineStr">
        <is>
          <t>Avançado</t>
        </is>
      </c>
      <c r="E684" s="2" t="inlineStr">
        <is>
          <t>Real Madrid</t>
        </is>
      </c>
      <c r="F684">
        <f>VLOOKUP(E684,Clubes!B$2:D$438,2)</f>
        <v/>
      </c>
      <c r="G684">
        <f>VLOOKUP(E684,Clubes!B$2:D$438,3)</f>
        <v/>
      </c>
      <c r="H684" s="2" t="n">
        <v>38</v>
      </c>
      <c r="J684">
        <f>I684/H684</f>
        <v/>
      </c>
      <c r="K684">
        <f>H684*90</f>
        <v/>
      </c>
      <c r="M684">
        <f>L684/K684</f>
        <v/>
      </c>
    </row>
    <row r="685">
      <c r="A685" s="1" t="n">
        <v>684</v>
      </c>
      <c r="B685" s="2" t="inlineStr">
        <is>
          <t>France</t>
        </is>
      </c>
      <c r="C685" s="2" t="inlineStr">
        <is>
          <t>Jean-Philippe Mateta</t>
        </is>
      </c>
      <c r="D685" s="2" t="inlineStr">
        <is>
          <t>Avançado</t>
        </is>
      </c>
      <c r="E685" s="2" t="inlineStr">
        <is>
          <t>Crystal Palace</t>
        </is>
      </c>
      <c r="F685">
        <f>VLOOKUP(E685,Clubes!B$2:D$438,2)</f>
        <v/>
      </c>
      <c r="G685">
        <f>VLOOKUP(E685,Clubes!B$2:D$438,3)</f>
        <v/>
      </c>
      <c r="H685" s="2" t="n">
        <v>38</v>
      </c>
      <c r="J685">
        <f>I685/H685</f>
        <v/>
      </c>
      <c r="K685">
        <f>H685*90</f>
        <v/>
      </c>
      <c r="M685">
        <f>L685/K685</f>
        <v/>
      </c>
    </row>
    <row r="686">
      <c r="A686" s="1" t="n">
        <v>685</v>
      </c>
      <c r="B686" s="2" t="inlineStr">
        <is>
          <t>France</t>
        </is>
      </c>
      <c r="C686" s="2" t="inlineStr">
        <is>
          <t>Bradley Barcola</t>
        </is>
      </c>
      <c r="D686" s="2" t="inlineStr">
        <is>
          <t>Avançado</t>
        </is>
      </c>
      <c r="E686" s="2" t="inlineStr">
        <is>
          <t>PSG</t>
        </is>
      </c>
      <c r="F686">
        <f>VLOOKUP(E686,Clubes!B$2:D$438,2)</f>
        <v/>
      </c>
      <c r="G686">
        <f>VLOOKUP(E686,Clubes!B$2:D$438,3)</f>
        <v/>
      </c>
      <c r="H686" s="2" t="n">
        <v>46</v>
      </c>
      <c r="J686">
        <f>I686/H686</f>
        <v/>
      </c>
      <c r="K686">
        <f>H686*90</f>
        <v/>
      </c>
      <c r="M686">
        <f>L686/K686</f>
        <v/>
      </c>
    </row>
    <row r="687">
      <c r="A687" s="1" t="n">
        <v>686</v>
      </c>
      <c r="B687" s="2" t="inlineStr">
        <is>
          <t>France</t>
        </is>
      </c>
      <c r="C687" s="2" t="inlineStr">
        <is>
          <t>Désiré Doué</t>
        </is>
      </c>
      <c r="D687" s="2" t="inlineStr">
        <is>
          <t>Avançado</t>
        </is>
      </c>
      <c r="E687" s="2" t="inlineStr">
        <is>
          <t>PSG</t>
        </is>
      </c>
      <c r="F687">
        <f>VLOOKUP(E687,Clubes!B$2:D$438,2)</f>
        <v/>
      </c>
      <c r="G687">
        <f>VLOOKUP(E687,Clubes!B$2:D$438,3)</f>
        <v/>
      </c>
      <c r="H687" s="2" t="n">
        <v>46</v>
      </c>
      <c r="J687">
        <f>I687/H687</f>
        <v/>
      </c>
      <c r="K687">
        <f>H687*90</f>
        <v/>
      </c>
      <c r="M687">
        <f>L687/K687</f>
        <v/>
      </c>
    </row>
    <row r="688">
      <c r="A688" s="1" t="n">
        <v>687</v>
      </c>
      <c r="B688" s="2" t="inlineStr">
        <is>
          <t>Ghana</t>
        </is>
      </c>
      <c r="C688" s="2" t="inlineStr">
        <is>
          <t>Lawrence Ati-Zigi</t>
        </is>
      </c>
      <c r="D688" s="2" t="inlineStr">
        <is>
          <t>Guarda Redes</t>
        </is>
      </c>
      <c r="E688" s="2" t="inlineStr">
        <is>
          <t>St. Gallen</t>
        </is>
      </c>
      <c r="F688">
        <f>VLOOKUP(E688,Clubes!B$2:D$438,2)</f>
        <v/>
      </c>
      <c r="G688">
        <f>VLOOKUP(E688,Clubes!B$2:D$438,3)</f>
        <v/>
      </c>
      <c r="H688" s="2" t="n">
        <v>38</v>
      </c>
      <c r="J688">
        <f>I688/H688</f>
        <v/>
      </c>
      <c r="K688">
        <f>H688*90</f>
        <v/>
      </c>
      <c r="M688">
        <f>L688/K688</f>
        <v/>
      </c>
    </row>
    <row r="689">
      <c r="A689" s="1" t="n">
        <v>688</v>
      </c>
      <c r="B689" s="2" t="inlineStr">
        <is>
          <t>Ghana</t>
        </is>
      </c>
      <c r="C689" s="2" t="inlineStr">
        <is>
          <t>Joseph Anang</t>
        </is>
      </c>
      <c r="D689" s="2" t="inlineStr">
        <is>
          <t>Guarda Redes</t>
        </is>
      </c>
      <c r="E689" s="2" t="inlineStr">
        <is>
          <t>St. Patrick</t>
        </is>
      </c>
      <c r="F689">
        <f>VLOOKUP(E689,Clubes!B$2:D$438,2)</f>
        <v/>
      </c>
      <c r="G689">
        <f>VLOOKUP(E689,Clubes!B$2:D$438,3)</f>
        <v/>
      </c>
      <c r="H689" s="2" t="n">
        <v>36</v>
      </c>
      <c r="J689">
        <f>I689/H689</f>
        <v/>
      </c>
      <c r="K689">
        <f>H689*90</f>
        <v/>
      </c>
      <c r="M689">
        <f>L689/K689</f>
        <v/>
      </c>
    </row>
    <row r="690">
      <c r="A690" s="1" t="n">
        <v>689</v>
      </c>
      <c r="B690" s="2" t="inlineStr">
        <is>
          <t>Ghana</t>
        </is>
      </c>
      <c r="C690" s="2" t="inlineStr">
        <is>
          <t>Benjamin Asare</t>
        </is>
      </c>
      <c r="D690" s="2" t="inlineStr">
        <is>
          <t>Guarda Redes</t>
        </is>
      </c>
      <c r="E690" s="2" t="inlineStr">
        <is>
          <t>Hearts of Oak</t>
        </is>
      </c>
      <c r="F690">
        <f>VLOOKUP(E690,Clubes!B$2:D$438,2)</f>
        <v/>
      </c>
      <c r="G690">
        <f>VLOOKUP(E690,Clubes!B$2:D$438,3)</f>
        <v/>
      </c>
      <c r="H690" s="2" t="n">
        <v>34</v>
      </c>
      <c r="J690">
        <f>I690/H690</f>
        <v/>
      </c>
      <c r="K690">
        <f>H690*90</f>
        <v/>
      </c>
      <c r="M690">
        <f>L690/K690</f>
        <v/>
      </c>
    </row>
    <row r="691">
      <c r="A691" s="1" t="n">
        <v>690</v>
      </c>
      <c r="B691" s="2" t="inlineStr">
        <is>
          <t>Ghana</t>
        </is>
      </c>
      <c r="C691" s="2" t="inlineStr">
        <is>
          <t>Alidu Seidu</t>
        </is>
      </c>
      <c r="D691" s="2" t="inlineStr">
        <is>
          <t>Defesa</t>
        </is>
      </c>
      <c r="E691" s="2" t="inlineStr">
        <is>
          <t>Rennes</t>
        </is>
      </c>
      <c r="F691">
        <f>VLOOKUP(E691,Clubes!B$2:D$438,2)</f>
        <v/>
      </c>
      <c r="G691">
        <f>VLOOKUP(E691,Clubes!B$2:D$438,3)</f>
        <v/>
      </c>
      <c r="H691" s="2" t="n">
        <v>34</v>
      </c>
      <c r="J691">
        <f>I691/H691</f>
        <v/>
      </c>
      <c r="K691">
        <f>H691*90</f>
        <v/>
      </c>
      <c r="M691">
        <f>L691/K691</f>
        <v/>
      </c>
    </row>
    <row r="692">
      <c r="A692" s="1" t="n">
        <v>691</v>
      </c>
      <c r="B692" s="2" t="inlineStr">
        <is>
          <t>Ghana</t>
        </is>
      </c>
      <c r="C692" s="2" t="inlineStr">
        <is>
          <t>Marvin Senaya</t>
        </is>
      </c>
      <c r="D692" s="2" t="inlineStr">
        <is>
          <t>Defesa</t>
        </is>
      </c>
      <c r="E692" s="2" t="inlineStr">
        <is>
          <t>Auxerre</t>
        </is>
      </c>
      <c r="F692">
        <f>VLOOKUP(E692,Clubes!B$2:D$438,2)</f>
        <v/>
      </c>
      <c r="G692">
        <f>VLOOKUP(E692,Clubes!B$2:D$438,3)</f>
        <v/>
      </c>
      <c r="H692" s="2" t="n">
        <v>34</v>
      </c>
      <c r="J692">
        <f>I692/H692</f>
        <v/>
      </c>
      <c r="K692">
        <f>H692*90</f>
        <v/>
      </c>
      <c r="M692">
        <f>L692/K692</f>
        <v/>
      </c>
    </row>
    <row r="693">
      <c r="A693" s="1" t="n">
        <v>692</v>
      </c>
      <c r="B693" s="2" t="inlineStr">
        <is>
          <t>Ghana</t>
        </is>
      </c>
      <c r="C693" s="2" t="inlineStr">
        <is>
          <t>Jonas Adjetey</t>
        </is>
      </c>
      <c r="D693" s="2" t="inlineStr">
        <is>
          <t>Defesa</t>
        </is>
      </c>
      <c r="E693" s="2" t="inlineStr">
        <is>
          <t>Wolfsburg</t>
        </is>
      </c>
      <c r="F693">
        <f>VLOOKUP(E693,Clubes!B$2:D$438,2)</f>
        <v/>
      </c>
      <c r="G693">
        <f>VLOOKUP(E693,Clubes!B$2:D$438,3)</f>
        <v/>
      </c>
      <c r="H693" s="2" t="n">
        <v>34</v>
      </c>
      <c r="J693">
        <f>I693/H693</f>
        <v/>
      </c>
      <c r="K693">
        <f>H693*90</f>
        <v/>
      </c>
      <c r="M693">
        <f>L693/K693</f>
        <v/>
      </c>
    </row>
    <row r="694">
      <c r="A694" s="1" t="n">
        <v>693</v>
      </c>
      <c r="B694" s="2" t="inlineStr">
        <is>
          <t>Ghana</t>
        </is>
      </c>
      <c r="C694" s="2" t="inlineStr">
        <is>
          <t>Abdul Mumin</t>
        </is>
      </c>
      <c r="D694" s="2" t="inlineStr">
        <is>
          <t>Defesa</t>
        </is>
      </c>
      <c r="E694" s="2" t="inlineStr">
        <is>
          <t>Rayo Vallecano</t>
        </is>
      </c>
      <c r="F694">
        <f>VLOOKUP(E694,Clubes!B$2:D$438,2)</f>
        <v/>
      </c>
      <c r="G694">
        <f>VLOOKUP(E694,Clubes!B$2:D$438,3)</f>
        <v/>
      </c>
      <c r="H694" s="2" t="n">
        <v>34</v>
      </c>
      <c r="J694">
        <f>I694/H694</f>
        <v/>
      </c>
      <c r="K694">
        <f>H694*90</f>
        <v/>
      </c>
      <c r="M694">
        <f>L694/K694</f>
        <v/>
      </c>
    </row>
    <row r="695">
      <c r="A695" s="1" t="n">
        <v>694</v>
      </c>
      <c r="B695" s="2" t="inlineStr">
        <is>
          <t>Ghana</t>
        </is>
      </c>
      <c r="C695" s="2" t="inlineStr">
        <is>
          <t>Jerome Opoku</t>
        </is>
      </c>
      <c r="D695" s="2" t="inlineStr">
        <is>
          <t>Defesa</t>
        </is>
      </c>
      <c r="E695" s="2" t="inlineStr">
        <is>
          <t>Basaksehir</t>
        </is>
      </c>
      <c r="F695">
        <f>VLOOKUP(E695,Clubes!B$2:D$438,2)</f>
        <v/>
      </c>
      <c r="G695">
        <f>VLOOKUP(E695,Clubes!B$2:D$438,3)</f>
        <v/>
      </c>
      <c r="H695" s="2" t="n">
        <v>34</v>
      </c>
      <c r="J695">
        <f>I695/H695</f>
        <v/>
      </c>
      <c r="K695">
        <f>H695*90</f>
        <v/>
      </c>
      <c r="M695">
        <f>L695/K695</f>
        <v/>
      </c>
    </row>
    <row r="696">
      <c r="A696" s="1" t="n">
        <v>695</v>
      </c>
      <c r="B696" s="2" t="inlineStr">
        <is>
          <t>Ghana</t>
        </is>
      </c>
      <c r="C696" s="2" t="inlineStr">
        <is>
          <t>Kojo Peprah Oppong</t>
        </is>
      </c>
      <c r="D696" s="2" t="inlineStr">
        <is>
          <t>Defesa</t>
        </is>
      </c>
      <c r="E696" s="2" t="inlineStr">
        <is>
          <t>Nice</t>
        </is>
      </c>
      <c r="F696">
        <f>VLOOKUP(E696,Clubes!B$2:D$438,2)</f>
        <v/>
      </c>
      <c r="G696">
        <f>VLOOKUP(E696,Clubes!B$2:D$438,3)</f>
        <v/>
      </c>
      <c r="H696" s="2" t="n">
        <v>34</v>
      </c>
      <c r="J696">
        <f>I696/H696</f>
        <v/>
      </c>
      <c r="K696">
        <f>H696*90</f>
        <v/>
      </c>
      <c r="M696">
        <f>L696/K696</f>
        <v/>
      </c>
    </row>
    <row r="697">
      <c r="A697" s="1" t="n">
        <v>696</v>
      </c>
      <c r="B697" s="2" t="inlineStr">
        <is>
          <t>Ghana</t>
        </is>
      </c>
      <c r="C697" s="2" t="inlineStr">
        <is>
          <t>Derrick Luckassen</t>
        </is>
      </c>
      <c r="D697" s="2" t="inlineStr">
        <is>
          <t>Defesa</t>
        </is>
      </c>
      <c r="E697" s="2" t="inlineStr">
        <is>
          <t>Pafos FC</t>
        </is>
      </c>
      <c r="F697">
        <f>VLOOKUP(E697,Clubes!B$2:D$438,2)</f>
        <v/>
      </c>
      <c r="G697">
        <f>VLOOKUP(E697,Clubes!B$2:D$438,3)</f>
        <v/>
      </c>
      <c r="H697" s="2" t="n">
        <v>38</v>
      </c>
      <c r="J697">
        <f>I697/H697</f>
        <v/>
      </c>
      <c r="K697">
        <f>H697*90</f>
        <v/>
      </c>
      <c r="M697">
        <f>L697/K697</f>
        <v/>
      </c>
    </row>
    <row r="698">
      <c r="A698" s="1" t="n">
        <v>697</v>
      </c>
      <c r="B698" s="2" t="inlineStr">
        <is>
          <t>Ghana</t>
        </is>
      </c>
      <c r="C698" s="2" t="inlineStr">
        <is>
          <t>Gideon Mensah</t>
        </is>
      </c>
      <c r="D698" s="2" t="inlineStr">
        <is>
          <t>Defesa</t>
        </is>
      </c>
      <c r="E698" s="2" t="inlineStr">
        <is>
          <t>Auxerre</t>
        </is>
      </c>
      <c r="F698">
        <f>VLOOKUP(E698,Clubes!B$2:D$438,2)</f>
        <v/>
      </c>
      <c r="G698">
        <f>VLOOKUP(E698,Clubes!B$2:D$438,3)</f>
        <v/>
      </c>
      <c r="H698" s="2" t="n">
        <v>34</v>
      </c>
      <c r="J698">
        <f>I698/H698</f>
        <v/>
      </c>
      <c r="K698">
        <f>H698*90</f>
        <v/>
      </c>
      <c r="M698">
        <f>L698/K698</f>
        <v/>
      </c>
    </row>
    <row r="699">
      <c r="A699" s="1" t="n">
        <v>698</v>
      </c>
      <c r="B699" s="2" t="inlineStr">
        <is>
          <t>Ghana</t>
        </is>
      </c>
      <c r="C699" s="2" t="inlineStr">
        <is>
          <t>Baba Rahman</t>
        </is>
      </c>
      <c r="D699" s="2" t="inlineStr">
        <is>
          <t>Defesa</t>
        </is>
      </c>
      <c r="E699" s="2" t="inlineStr">
        <is>
          <t>PAOK</t>
        </is>
      </c>
      <c r="F699">
        <f>VLOOKUP(E699,Clubes!B$2:D$438,2)</f>
        <v/>
      </c>
      <c r="G699">
        <f>VLOOKUP(E699,Clubes!B$2:D$438,3)</f>
        <v/>
      </c>
      <c r="H699" s="2" t="n">
        <v>36</v>
      </c>
      <c r="J699">
        <f>I699/H699</f>
        <v/>
      </c>
      <c r="K699">
        <f>H699*90</f>
        <v/>
      </c>
      <c r="M699">
        <f>L699/K699</f>
        <v/>
      </c>
    </row>
    <row r="700">
      <c r="A700" s="1" t="n">
        <v>699</v>
      </c>
      <c r="B700" s="2" t="inlineStr">
        <is>
          <t>Ghana</t>
        </is>
      </c>
      <c r="C700" s="2" t="inlineStr">
        <is>
          <t>Thomas Partey</t>
        </is>
      </c>
      <c r="D700" s="2" t="inlineStr">
        <is>
          <t>Médio</t>
        </is>
      </c>
      <c r="E700" s="2" t="inlineStr">
        <is>
          <t>Villarreal</t>
        </is>
      </c>
      <c r="F700">
        <f>VLOOKUP(E700,Clubes!B$2:D$438,2)</f>
        <v/>
      </c>
      <c r="G700">
        <f>VLOOKUP(E700,Clubes!B$2:D$438,3)</f>
        <v/>
      </c>
      <c r="H700" s="2" t="n">
        <v>38</v>
      </c>
      <c r="J700">
        <f>I700/H700</f>
        <v/>
      </c>
      <c r="K700">
        <f>H700*90</f>
        <v/>
      </c>
      <c r="M700">
        <f>L700/K700</f>
        <v/>
      </c>
    </row>
    <row r="701">
      <c r="A701" s="1" t="n">
        <v>700</v>
      </c>
      <c r="B701" s="2" t="inlineStr">
        <is>
          <t>Ghana</t>
        </is>
      </c>
      <c r="C701" s="2" t="inlineStr">
        <is>
          <t>Elisha Owusu</t>
        </is>
      </c>
      <c r="D701" s="2" t="inlineStr">
        <is>
          <t>Médio</t>
        </is>
      </c>
      <c r="E701" s="2" t="inlineStr">
        <is>
          <t>Auxerre</t>
        </is>
      </c>
      <c r="F701">
        <f>VLOOKUP(E701,Clubes!B$2:D$438,2)</f>
        <v/>
      </c>
      <c r="G701">
        <f>VLOOKUP(E701,Clubes!B$2:D$438,3)</f>
        <v/>
      </c>
      <c r="H701" s="2" t="n">
        <v>34</v>
      </c>
      <c r="J701">
        <f>I701/H701</f>
        <v/>
      </c>
      <c r="K701">
        <f>H701*90</f>
        <v/>
      </c>
      <c r="M701">
        <f>L701/K701</f>
        <v/>
      </c>
    </row>
    <row r="702">
      <c r="A702" s="1" t="n">
        <v>701</v>
      </c>
      <c r="B702" s="2" t="inlineStr">
        <is>
          <t>Ghana</t>
        </is>
      </c>
      <c r="C702" s="2" t="inlineStr">
        <is>
          <t>Caleb Yirenkyi</t>
        </is>
      </c>
      <c r="D702" s="2" t="inlineStr">
        <is>
          <t>Médio</t>
        </is>
      </c>
      <c r="E702" s="2" t="inlineStr">
        <is>
          <t>Nordsjaelland</t>
        </is>
      </c>
      <c r="F702">
        <f>VLOOKUP(E702,Clubes!B$2:D$438,2)</f>
        <v/>
      </c>
      <c r="G702">
        <f>VLOOKUP(E702,Clubes!B$2:D$438,3)</f>
        <v/>
      </c>
      <c r="H702" s="2" t="n">
        <v>32</v>
      </c>
      <c r="J702">
        <f>I702/H702</f>
        <v/>
      </c>
      <c r="K702">
        <f>H702*90</f>
        <v/>
      </c>
      <c r="M702">
        <f>L702/K702</f>
        <v/>
      </c>
    </row>
    <row r="703">
      <c r="A703" s="1" t="n">
        <v>702</v>
      </c>
      <c r="B703" s="2" t="inlineStr">
        <is>
          <t>Ghana</t>
        </is>
      </c>
      <c r="C703" s="2" t="inlineStr">
        <is>
          <t>Kwasi Sibo</t>
        </is>
      </c>
      <c r="D703" s="2" t="inlineStr">
        <is>
          <t>Médio</t>
        </is>
      </c>
      <c r="E703" s="2" t="inlineStr">
        <is>
          <t>Real Oviedo</t>
        </is>
      </c>
      <c r="F703">
        <f>VLOOKUP(E703,Clubes!B$2:D$438,2)</f>
        <v/>
      </c>
      <c r="G703">
        <f>VLOOKUP(E703,Clubes!B$2:D$438,3)</f>
        <v/>
      </c>
      <c r="H703" s="2" t="n">
        <v>38</v>
      </c>
      <c r="J703">
        <f>I703/H703</f>
        <v/>
      </c>
      <c r="K703">
        <f>H703*90</f>
        <v/>
      </c>
      <c r="M703">
        <f>L703/K703</f>
        <v/>
      </c>
    </row>
    <row r="704">
      <c r="A704" s="1" t="n">
        <v>703</v>
      </c>
      <c r="B704" s="2" t="inlineStr">
        <is>
          <t>Ghana</t>
        </is>
      </c>
      <c r="C704" s="2" t="inlineStr">
        <is>
          <t>Antoine Semenyo</t>
        </is>
      </c>
      <c r="D704" s="2" t="inlineStr">
        <is>
          <t>Avançado</t>
        </is>
      </c>
      <c r="E704" s="2" t="inlineStr">
        <is>
          <t>Manchester City</t>
        </is>
      </c>
      <c r="F704">
        <f>VLOOKUP(E704,Clubes!B$2:D$438,2)</f>
        <v/>
      </c>
      <c r="G704">
        <f>VLOOKUP(E704,Clubes!B$2:D$438,3)</f>
        <v/>
      </c>
      <c r="H704" s="2" t="n">
        <v>38</v>
      </c>
      <c r="J704">
        <f>I704/H704</f>
        <v/>
      </c>
      <c r="K704">
        <f>H704*90</f>
        <v/>
      </c>
      <c r="M704">
        <f>L704/K704</f>
        <v/>
      </c>
    </row>
    <row r="705">
      <c r="A705" s="1" t="n">
        <v>704</v>
      </c>
      <c r="B705" s="2" t="inlineStr">
        <is>
          <t>Ghana</t>
        </is>
      </c>
      <c r="C705" s="2" t="inlineStr">
        <is>
          <t>Christopher Baah</t>
        </is>
      </c>
      <c r="D705" s="2" t="inlineStr">
        <is>
          <t>Avançado</t>
        </is>
      </c>
      <c r="E705" s="2" t="inlineStr">
        <is>
          <t>Al-Qadisiyah</t>
        </is>
      </c>
      <c r="F705">
        <f>VLOOKUP(E705,Clubes!B$2:D$438,2)</f>
        <v/>
      </c>
      <c r="G705">
        <f>VLOOKUP(E705,Clubes!B$2:D$438,3)</f>
        <v/>
      </c>
      <c r="H705" s="2" t="n">
        <v>34</v>
      </c>
      <c r="J705">
        <f>I705/H705</f>
        <v/>
      </c>
      <c r="K705">
        <f>H705*90</f>
        <v/>
      </c>
      <c r="M705">
        <f>L705/K705</f>
        <v/>
      </c>
    </row>
    <row r="706">
      <c r="A706" s="1" t="n">
        <v>705</v>
      </c>
      <c r="B706" s="2" t="inlineStr">
        <is>
          <t>Ghana</t>
        </is>
      </c>
      <c r="C706" s="2" t="inlineStr">
        <is>
          <t>Iñaki Williams</t>
        </is>
      </c>
      <c r="D706" s="2" t="inlineStr">
        <is>
          <t>Avançado</t>
        </is>
      </c>
      <c r="E706" s="2" t="inlineStr">
        <is>
          <t>Athletic Bilbao</t>
        </is>
      </c>
      <c r="F706">
        <f>VLOOKUP(E706,Clubes!B$2:D$438,2)</f>
        <v/>
      </c>
      <c r="G706">
        <f>VLOOKUP(E706,Clubes!B$2:D$438,3)</f>
        <v/>
      </c>
      <c r="H706" s="2" t="n">
        <v>38</v>
      </c>
      <c r="J706">
        <f>I706/H706</f>
        <v/>
      </c>
      <c r="K706">
        <f>H706*90</f>
        <v/>
      </c>
      <c r="M706">
        <f>L706/K706</f>
        <v/>
      </c>
    </row>
    <row r="707">
      <c r="A707" s="1" t="n">
        <v>706</v>
      </c>
      <c r="B707" s="2" t="inlineStr">
        <is>
          <t>Ghana</t>
        </is>
      </c>
      <c r="C707" s="2" t="inlineStr">
        <is>
          <t>Augustine Boakye</t>
        </is>
      </c>
      <c r="D707" s="2" t="inlineStr">
        <is>
          <t>Avançado</t>
        </is>
      </c>
      <c r="E707" s="2" t="inlineStr">
        <is>
          <t>Saint-Étienne</t>
        </is>
      </c>
      <c r="F707">
        <f>VLOOKUP(E707,Clubes!B$2:D$438,2)</f>
        <v/>
      </c>
      <c r="G707">
        <f>VLOOKUP(E707,Clubes!B$2:D$438,3)</f>
        <v/>
      </c>
      <c r="H707" s="2" t="n">
        <v>40</v>
      </c>
      <c r="J707">
        <f>I707/H707</f>
        <v/>
      </c>
      <c r="K707">
        <f>H707*90</f>
        <v/>
      </c>
      <c r="M707">
        <f>L707/K707</f>
        <v/>
      </c>
    </row>
    <row r="708">
      <c r="A708" s="1" t="n">
        <v>707</v>
      </c>
      <c r="B708" s="2" t="inlineStr">
        <is>
          <t>Ghana</t>
        </is>
      </c>
      <c r="C708" s="2" t="inlineStr">
        <is>
          <t>Ernest Nuamah</t>
        </is>
      </c>
      <c r="D708" s="2" t="inlineStr">
        <is>
          <t>Avançado</t>
        </is>
      </c>
      <c r="E708" s="2" t="inlineStr">
        <is>
          <t>Lyon</t>
        </is>
      </c>
      <c r="F708">
        <f>VLOOKUP(E708,Clubes!B$2:D$438,2)</f>
        <v/>
      </c>
      <c r="G708">
        <f>VLOOKUP(E708,Clubes!B$2:D$438,3)</f>
        <v/>
      </c>
      <c r="H708" s="2" t="n">
        <v>34</v>
      </c>
      <c r="J708">
        <f>I708/H708</f>
        <v/>
      </c>
      <c r="K708">
        <f>H708*90</f>
        <v/>
      </c>
      <c r="M708">
        <f>L708/K708</f>
        <v/>
      </c>
    </row>
    <row r="709">
      <c r="A709" s="1" t="n">
        <v>708</v>
      </c>
      <c r="B709" s="2" t="inlineStr">
        <is>
          <t>Ghana</t>
        </is>
      </c>
      <c r="C709" s="2" t="inlineStr">
        <is>
          <t>Prince Adu</t>
        </is>
      </c>
      <c r="D709" s="2" t="inlineStr">
        <is>
          <t>Avançado</t>
        </is>
      </c>
      <c r="E709" s="2" t="inlineStr">
        <is>
          <t>Viktoria Plzeň</t>
        </is>
      </c>
      <c r="F709">
        <f>VLOOKUP(E709,Clubes!B$2:D$438,2)</f>
        <v/>
      </c>
      <c r="G709">
        <f>VLOOKUP(E709,Clubes!B$2:D$438,3)</f>
        <v/>
      </c>
      <c r="H709" s="2" t="n">
        <v>35</v>
      </c>
      <c r="J709">
        <f>I709/H709</f>
        <v/>
      </c>
      <c r="K709">
        <f>H709*90</f>
        <v/>
      </c>
      <c r="M709">
        <f>L709/K709</f>
        <v/>
      </c>
    </row>
    <row r="710">
      <c r="A710" s="1" t="n">
        <v>709</v>
      </c>
      <c r="B710" s="2" t="inlineStr">
        <is>
          <t>Ghana</t>
        </is>
      </c>
      <c r="C710" s="2" t="inlineStr">
        <is>
          <t>Jordan Ayew</t>
        </is>
      </c>
      <c r="D710" s="2" t="inlineStr">
        <is>
          <t>Avançado</t>
        </is>
      </c>
      <c r="E710" s="2" t="inlineStr">
        <is>
          <t>Leicester City</t>
        </is>
      </c>
      <c r="F710">
        <f>VLOOKUP(E710,Clubes!B$2:D$438,2)</f>
        <v/>
      </c>
      <c r="G710">
        <f>VLOOKUP(E710,Clubes!B$2:D$438,3)</f>
        <v/>
      </c>
      <c r="H710" s="2" t="n">
        <v>46</v>
      </c>
      <c r="J710">
        <f>I710/H710</f>
        <v/>
      </c>
      <c r="K710">
        <f>H710*90</f>
        <v/>
      </c>
      <c r="M710">
        <f>L710/K710</f>
        <v/>
      </c>
    </row>
    <row r="711">
      <c r="A711" s="1" t="n">
        <v>710</v>
      </c>
      <c r="B711" s="2" t="inlineStr">
        <is>
          <t>Ghana</t>
        </is>
      </c>
      <c r="C711" s="2" t="inlineStr">
        <is>
          <t>Brandon Thomas-Asante</t>
        </is>
      </c>
      <c r="D711" s="2" t="inlineStr">
        <is>
          <t>Avançado</t>
        </is>
      </c>
      <c r="E711" s="2" t="inlineStr">
        <is>
          <t>Coventry City</t>
        </is>
      </c>
      <c r="F711">
        <f>VLOOKUP(E711,Clubes!B$2:D$438,2)</f>
        <v/>
      </c>
      <c r="G711">
        <f>VLOOKUP(E711,Clubes!B$2:D$438,3)</f>
        <v/>
      </c>
      <c r="H711" s="2" t="n">
        <v>46</v>
      </c>
      <c r="J711">
        <f>I711/H711</f>
        <v/>
      </c>
      <c r="K711">
        <f>H711*90</f>
        <v/>
      </c>
      <c r="M711">
        <f>L711/K711</f>
        <v/>
      </c>
    </row>
    <row r="712">
      <c r="A712" s="1" t="n">
        <v>711</v>
      </c>
      <c r="B712" s="2" t="inlineStr">
        <is>
          <t>Ghana</t>
        </is>
      </c>
      <c r="C712" s="2" t="inlineStr">
        <is>
          <t>Fatawu Issahaku</t>
        </is>
      </c>
      <c r="D712" s="2" t="inlineStr">
        <is>
          <t>Avançado</t>
        </is>
      </c>
      <c r="E712" s="2" t="inlineStr">
        <is>
          <t>Leicester City</t>
        </is>
      </c>
      <c r="F712">
        <f>VLOOKUP(E712,Clubes!B$2:D$438,2)</f>
        <v/>
      </c>
      <c r="G712">
        <f>VLOOKUP(E712,Clubes!B$2:D$438,3)</f>
        <v/>
      </c>
      <c r="H712" s="2" t="n">
        <v>46</v>
      </c>
      <c r="J712">
        <f>I712/H712</f>
        <v/>
      </c>
      <c r="K712">
        <f>H712*90</f>
        <v/>
      </c>
      <c r="M712">
        <f>L712/K712</f>
        <v/>
      </c>
    </row>
    <row r="713">
      <c r="A713" s="1" t="n">
        <v>712</v>
      </c>
      <c r="B713" s="2" t="inlineStr">
        <is>
          <t>Ghana</t>
        </is>
      </c>
      <c r="C713" s="2" t="inlineStr">
        <is>
          <t>Kamaldeen Sulemana</t>
        </is>
      </c>
      <c r="D713" s="2" t="inlineStr">
        <is>
          <t>Avançado</t>
        </is>
      </c>
      <c r="E713" s="2" t="inlineStr">
        <is>
          <t>Atalanta</t>
        </is>
      </c>
      <c r="F713">
        <f>VLOOKUP(E713,Clubes!B$2:D$438,2)</f>
        <v/>
      </c>
      <c r="G713">
        <f>VLOOKUP(E713,Clubes!B$2:D$438,3)</f>
        <v/>
      </c>
      <c r="H713" s="2" t="n">
        <v>38</v>
      </c>
      <c r="J713">
        <f>I713/H713</f>
        <v/>
      </c>
      <c r="K713">
        <f>H713*90</f>
        <v/>
      </c>
      <c r="M713">
        <f>L713/K713</f>
        <v/>
      </c>
    </row>
    <row r="714">
      <c r="A714" s="1" t="n">
        <v>713</v>
      </c>
      <c r="B714" s="2" t="inlineStr">
        <is>
          <t>Haiti</t>
        </is>
      </c>
      <c r="C714" s="2" t="inlineStr">
        <is>
          <t>Johnny Placide</t>
        </is>
      </c>
      <c r="D714" s="2" t="inlineStr">
        <is>
          <t>Guarda Redes</t>
        </is>
      </c>
      <c r="E714" s="2" t="inlineStr">
        <is>
          <t>Bastia</t>
        </is>
      </c>
      <c r="F714">
        <f>VLOOKUP(E714,Clubes!B$2:D$438,2)</f>
        <v/>
      </c>
      <c r="G714">
        <f>VLOOKUP(E714,Clubes!B$2:D$438,3)</f>
        <v/>
      </c>
      <c r="H714" s="2" t="n">
        <v>34</v>
      </c>
      <c r="J714">
        <f>I714/H714</f>
        <v/>
      </c>
      <c r="K714">
        <f>H714*90</f>
        <v/>
      </c>
      <c r="M714">
        <f>L714/K714</f>
        <v/>
      </c>
    </row>
    <row r="715">
      <c r="A715" s="1" t="n">
        <v>714</v>
      </c>
      <c r="B715" s="2" t="inlineStr">
        <is>
          <t>Haiti</t>
        </is>
      </c>
      <c r="C715" s="2" t="inlineStr">
        <is>
          <t>Alexandre Pierre</t>
        </is>
      </c>
      <c r="D715" s="2" t="inlineStr">
        <is>
          <t>Guarda Redes</t>
        </is>
      </c>
      <c r="E715" s="2" t="inlineStr">
        <is>
          <t>Sochaux</t>
        </is>
      </c>
      <c r="F715">
        <f>VLOOKUP(E715,Clubes!B$2:D$438,2)</f>
        <v/>
      </c>
      <c r="G715">
        <f>VLOOKUP(E715,Clubes!B$2:D$438,3)</f>
        <v/>
      </c>
      <c r="H715" s="2" t="n">
        <v>34</v>
      </c>
      <c r="J715">
        <f>I715/H715</f>
        <v/>
      </c>
      <c r="K715">
        <f>H715*90</f>
        <v/>
      </c>
      <c r="M715">
        <f>L715/K715</f>
        <v/>
      </c>
    </row>
    <row r="716">
      <c r="A716" s="1" t="n">
        <v>715</v>
      </c>
      <c r="B716" s="2" t="inlineStr">
        <is>
          <t>Haiti</t>
        </is>
      </c>
      <c r="C716" s="2" t="inlineStr">
        <is>
          <t>Josué Duverger</t>
        </is>
      </c>
      <c r="D716" s="2" t="inlineStr">
        <is>
          <t>Guarda Redes</t>
        </is>
      </c>
      <c r="E716" s="2" t="inlineStr">
        <is>
          <t>FC Cosmos Koblenz</t>
        </is>
      </c>
      <c r="F716">
        <f>VLOOKUP(E716,Clubes!B$2:D$438,2)</f>
        <v/>
      </c>
      <c r="G716">
        <f>VLOOKUP(E716,Clubes!B$2:D$438,3)</f>
        <v/>
      </c>
      <c r="H716" s="2" t="n">
        <v>34</v>
      </c>
      <c r="J716">
        <f>I716/H716</f>
        <v/>
      </c>
      <c r="K716">
        <f>H716*90</f>
        <v/>
      </c>
      <c r="M716">
        <f>L716/K716</f>
        <v/>
      </c>
    </row>
    <row r="717">
      <c r="A717" s="1" t="n">
        <v>716</v>
      </c>
      <c r="B717" s="2" t="inlineStr">
        <is>
          <t>Haiti</t>
        </is>
      </c>
      <c r="C717" s="2" t="inlineStr">
        <is>
          <t>Carlens Arcus</t>
        </is>
      </c>
      <c r="D717" s="2" t="inlineStr">
        <is>
          <t>Defesa</t>
        </is>
      </c>
      <c r="E717" s="2" t="inlineStr">
        <is>
          <t>Angers</t>
        </is>
      </c>
      <c r="F717">
        <f>VLOOKUP(E717,Clubes!B$2:D$438,2)</f>
        <v/>
      </c>
      <c r="G717">
        <f>VLOOKUP(E717,Clubes!B$2:D$438,3)</f>
        <v/>
      </c>
      <c r="H717" s="2" t="n">
        <v>34</v>
      </c>
      <c r="J717">
        <f>I717/H717</f>
        <v/>
      </c>
      <c r="K717">
        <f>H717*90</f>
        <v/>
      </c>
      <c r="M717">
        <f>L717/K717</f>
        <v/>
      </c>
    </row>
    <row r="718">
      <c r="A718" s="1" t="n">
        <v>717</v>
      </c>
      <c r="B718" s="2" t="inlineStr">
        <is>
          <t>Haiti</t>
        </is>
      </c>
      <c r="C718" s="2" t="inlineStr">
        <is>
          <t>Wilguens Paugain</t>
        </is>
      </c>
      <c r="D718" s="2" t="inlineStr">
        <is>
          <t>Defesa</t>
        </is>
      </c>
      <c r="E718" s="2" t="inlineStr">
        <is>
          <t>Zulte Waregem</t>
        </is>
      </c>
      <c r="F718">
        <f>VLOOKUP(E718,Clubes!B$2:D$438,2)</f>
        <v/>
      </c>
      <c r="G718">
        <f>VLOOKUP(E718,Clubes!B$2:D$438,3)</f>
        <v/>
      </c>
      <c r="H718" s="2" t="n">
        <v>40</v>
      </c>
      <c r="J718">
        <f>I718/H718</f>
        <v/>
      </c>
      <c r="K718">
        <f>H718*90</f>
        <v/>
      </c>
      <c r="M718">
        <f>L718/K718</f>
        <v/>
      </c>
    </row>
    <row r="719">
      <c r="A719" s="1" t="n">
        <v>718</v>
      </c>
      <c r="B719" s="2" t="inlineStr">
        <is>
          <t>Haiti</t>
        </is>
      </c>
      <c r="C719" s="2" t="inlineStr">
        <is>
          <t>Keeto Thermoncy</t>
        </is>
      </c>
      <c r="D719" s="2" t="inlineStr">
        <is>
          <t>Defesa</t>
        </is>
      </c>
      <c r="E719" s="2" t="inlineStr">
        <is>
          <t>Young Boys</t>
        </is>
      </c>
      <c r="F719">
        <f>VLOOKUP(E719,Clubes!B$2:D$438,2)</f>
        <v/>
      </c>
      <c r="G719">
        <f>VLOOKUP(E719,Clubes!B$2:D$438,3)</f>
        <v/>
      </c>
      <c r="H719" s="2" t="n">
        <v>38</v>
      </c>
      <c r="J719">
        <f>I719/H719</f>
        <v/>
      </c>
      <c r="K719">
        <f>H719*90</f>
        <v/>
      </c>
      <c r="M719">
        <f>L719/K719</f>
        <v/>
      </c>
    </row>
    <row r="720">
      <c r="A720" s="1" t="n">
        <v>719</v>
      </c>
      <c r="B720" s="2" t="inlineStr">
        <is>
          <t>Haiti</t>
        </is>
      </c>
      <c r="C720" s="2" t="inlineStr">
        <is>
          <t>Ricardo Adé</t>
        </is>
      </c>
      <c r="D720" s="2" t="inlineStr">
        <is>
          <t>Defesa</t>
        </is>
      </c>
      <c r="E720" s="2" t="inlineStr">
        <is>
          <t>LDU Quito</t>
        </is>
      </c>
      <c r="F720">
        <f>VLOOKUP(E720,Clubes!B$2:D$438,2)</f>
        <v/>
      </c>
      <c r="G720">
        <f>VLOOKUP(E720,Clubes!B$2:D$438,3)</f>
        <v/>
      </c>
      <c r="H720" s="2" t="n">
        <v>30</v>
      </c>
      <c r="J720">
        <f>I720/H720</f>
        <v/>
      </c>
      <c r="K720">
        <f>H720*90</f>
        <v/>
      </c>
      <c r="M720">
        <f>L720/K720</f>
        <v/>
      </c>
    </row>
    <row r="721">
      <c r="A721" s="1" t="n">
        <v>720</v>
      </c>
      <c r="B721" s="2" t="inlineStr">
        <is>
          <t>Haiti</t>
        </is>
      </c>
      <c r="C721" s="2" t="inlineStr">
        <is>
          <t>Hannes Delcroix</t>
        </is>
      </c>
      <c r="D721" s="2" t="inlineStr">
        <is>
          <t>Defesa</t>
        </is>
      </c>
      <c r="E721" s="2" t="inlineStr">
        <is>
          <t>FC Lugano</t>
        </is>
      </c>
      <c r="F721">
        <f>VLOOKUP(E721,Clubes!B$2:D$438,2)</f>
        <v/>
      </c>
      <c r="G721">
        <f>VLOOKUP(E721,Clubes!B$2:D$438,3)</f>
        <v/>
      </c>
      <c r="H721" s="2" t="n">
        <v>38</v>
      </c>
      <c r="J721">
        <f>I721/H721</f>
        <v/>
      </c>
      <c r="K721">
        <f>H721*90</f>
        <v/>
      </c>
      <c r="M721">
        <f>L721/K721</f>
        <v/>
      </c>
    </row>
    <row r="722">
      <c r="A722" s="1" t="n">
        <v>721</v>
      </c>
      <c r="B722" s="2" t="inlineStr">
        <is>
          <t>Haiti</t>
        </is>
      </c>
      <c r="C722" s="2" t="inlineStr">
        <is>
          <t>Jean-Kévin Duverne</t>
        </is>
      </c>
      <c r="D722" s="2" t="inlineStr">
        <is>
          <t>Defesa</t>
        </is>
      </c>
      <c r="E722" s="2" t="inlineStr">
        <is>
          <t>Gent</t>
        </is>
      </c>
      <c r="F722">
        <f>VLOOKUP(E722,Clubes!B$2:D$438,2)</f>
        <v/>
      </c>
      <c r="G722">
        <f>VLOOKUP(E722,Clubes!B$2:D$438,3)</f>
        <v/>
      </c>
      <c r="H722" s="2" t="n">
        <v>34</v>
      </c>
      <c r="J722">
        <f>I722/H722</f>
        <v/>
      </c>
      <c r="K722">
        <f>H722*90</f>
        <v/>
      </c>
      <c r="M722">
        <f>L722/K722</f>
        <v/>
      </c>
    </row>
    <row r="723">
      <c r="A723" s="1" t="n">
        <v>722</v>
      </c>
      <c r="B723" s="2" t="inlineStr">
        <is>
          <t>Haiti</t>
        </is>
      </c>
      <c r="C723" s="2" t="inlineStr">
        <is>
          <t>Martin Expérience</t>
        </is>
      </c>
      <c r="D723" s="2" t="inlineStr">
        <is>
          <t>Defesa</t>
        </is>
      </c>
      <c r="E723" s="2" t="inlineStr">
        <is>
          <t>Nancy</t>
        </is>
      </c>
      <c r="F723">
        <f>VLOOKUP(E723,Clubes!B$2:D$438,2)</f>
        <v/>
      </c>
      <c r="G723">
        <f>VLOOKUP(E723,Clubes!B$2:D$438,3)</f>
        <v/>
      </c>
      <c r="H723" s="2" t="n">
        <v>38</v>
      </c>
      <c r="J723">
        <f>I723/H723</f>
        <v/>
      </c>
      <c r="K723">
        <f>H723*90</f>
        <v/>
      </c>
      <c r="M723">
        <f>L723/K723</f>
        <v/>
      </c>
    </row>
    <row r="724">
      <c r="A724" s="1" t="n">
        <v>723</v>
      </c>
      <c r="B724" s="2" t="inlineStr">
        <is>
          <t>Haiti</t>
        </is>
      </c>
      <c r="C724" s="2" t="inlineStr">
        <is>
          <t>Duke Lacroix</t>
        </is>
      </c>
      <c r="D724" s="2" t="inlineStr">
        <is>
          <t>Defesa</t>
        </is>
      </c>
      <c r="E724" s="2" t="inlineStr">
        <is>
          <t>Colorado Springs Switchbacks</t>
        </is>
      </c>
      <c r="F724">
        <f>VLOOKUP(E724,Clubes!B$2:D$438,2)</f>
        <v/>
      </c>
      <c r="G724">
        <f>VLOOKUP(E724,Clubes!B$2:D$438,3)</f>
        <v/>
      </c>
      <c r="H724" s="2" t="n">
        <v>30</v>
      </c>
      <c r="J724">
        <f>I724/H724</f>
        <v/>
      </c>
      <c r="K724">
        <f>H724*90</f>
        <v/>
      </c>
      <c r="M724">
        <f>L724/K724</f>
        <v/>
      </c>
    </row>
    <row r="725">
      <c r="A725" s="1" t="n">
        <v>724</v>
      </c>
      <c r="B725" s="2" t="inlineStr">
        <is>
          <t>Haiti</t>
        </is>
      </c>
      <c r="C725" s="2" t="inlineStr">
        <is>
          <t>Carl Sainté</t>
        </is>
      </c>
      <c r="D725" s="2" t="inlineStr">
        <is>
          <t>Médio</t>
        </is>
      </c>
      <c r="E725" s="2" t="inlineStr">
        <is>
          <t>El Paso Locomotive</t>
        </is>
      </c>
      <c r="F725">
        <f>VLOOKUP(E725,Clubes!B$2:D$438,2)</f>
        <v/>
      </c>
      <c r="G725">
        <f>VLOOKUP(E725,Clubes!B$2:D$438,3)</f>
        <v/>
      </c>
      <c r="H725" s="2" t="n">
        <v>30</v>
      </c>
      <c r="J725">
        <f>I725/H725</f>
        <v/>
      </c>
      <c r="K725">
        <f>H725*90</f>
        <v/>
      </c>
      <c r="M725">
        <f>L725/K725</f>
        <v/>
      </c>
    </row>
    <row r="726">
      <c r="A726" s="1" t="n">
        <v>725</v>
      </c>
      <c r="B726" s="2" t="inlineStr">
        <is>
          <t>Haiti</t>
        </is>
      </c>
      <c r="C726" s="2" t="inlineStr">
        <is>
          <t>Leverton Pierre</t>
        </is>
      </c>
      <c r="D726" s="2" t="inlineStr">
        <is>
          <t>Médio</t>
        </is>
      </c>
      <c r="E726" s="2" t="inlineStr">
        <is>
          <t>FC Vizela</t>
        </is>
      </c>
      <c r="F726">
        <f>VLOOKUP(E726,Clubes!B$2:D$438,2)</f>
        <v/>
      </c>
      <c r="G726">
        <f>VLOOKUP(E726,Clubes!B$2:D$438,3)</f>
        <v/>
      </c>
      <c r="H726" s="2" t="n">
        <v>34</v>
      </c>
      <c r="J726">
        <f>I726/H726</f>
        <v/>
      </c>
      <c r="K726">
        <f>H726*90</f>
        <v/>
      </c>
      <c r="M726">
        <f>L726/K726</f>
        <v/>
      </c>
    </row>
    <row r="727">
      <c r="A727" s="1" t="n">
        <v>726</v>
      </c>
      <c r="B727" s="2" t="inlineStr">
        <is>
          <t>Haiti</t>
        </is>
      </c>
      <c r="C727" s="2" t="inlineStr">
        <is>
          <t>Danley Jean-Jacques</t>
        </is>
      </c>
      <c r="D727" s="2" t="inlineStr">
        <is>
          <t>Médio</t>
        </is>
      </c>
      <c r="E727" s="2" t="inlineStr">
        <is>
          <t>Philadelphia Union</t>
        </is>
      </c>
      <c r="F727">
        <f>VLOOKUP(E727,Clubes!B$2:D$438,2)</f>
        <v/>
      </c>
      <c r="G727">
        <f>VLOOKUP(E727,Clubes!B$2:D$438,3)</f>
        <v/>
      </c>
      <c r="H727" s="2" t="n">
        <v>34</v>
      </c>
      <c r="J727">
        <f>I727/H727</f>
        <v/>
      </c>
      <c r="K727">
        <f>H727*90</f>
        <v/>
      </c>
      <c r="M727">
        <f>L727/K727</f>
        <v/>
      </c>
    </row>
    <row r="728">
      <c r="A728" s="1" t="n">
        <v>727</v>
      </c>
      <c r="B728" s="2" t="inlineStr">
        <is>
          <t>Haiti</t>
        </is>
      </c>
      <c r="C728" s="2" t="inlineStr">
        <is>
          <t>Dominique Simon</t>
        </is>
      </c>
      <c r="D728" s="2" t="inlineStr">
        <is>
          <t>Médio</t>
        </is>
      </c>
      <c r="E728" s="2" t="inlineStr">
        <is>
          <t>Tatran Presov</t>
        </is>
      </c>
      <c r="F728">
        <f>VLOOKUP(E728,Clubes!B$2:D$438,2)</f>
        <v/>
      </c>
      <c r="G728">
        <f>VLOOKUP(E728,Clubes!B$2:D$438,3)</f>
        <v/>
      </c>
      <c r="H728" s="2" t="n">
        <v>38</v>
      </c>
      <c r="J728">
        <f>I728/H728</f>
        <v/>
      </c>
      <c r="K728">
        <f>H728*90</f>
        <v/>
      </c>
      <c r="M728">
        <f>L728/K728</f>
        <v/>
      </c>
    </row>
    <row r="729">
      <c r="A729" s="1" t="n">
        <v>728</v>
      </c>
      <c r="B729" s="2" t="inlineStr">
        <is>
          <t>Haiti</t>
        </is>
      </c>
      <c r="C729" s="2" t="inlineStr">
        <is>
          <t>Pierre Woodensky</t>
        </is>
      </c>
      <c r="D729" s="2" t="inlineStr">
        <is>
          <t>Médio</t>
        </is>
      </c>
      <c r="E729" s="2" t="inlineStr">
        <is>
          <t>Violette AC</t>
        </is>
      </c>
      <c r="F729">
        <f>VLOOKUP(E729,Clubes!B$2:D$438,2)</f>
        <v/>
      </c>
      <c r="G729">
        <f>VLOOKUP(E729,Clubes!B$2:D$438,3)</f>
        <v/>
      </c>
      <c r="H729" s="2" t="n">
        <v>30</v>
      </c>
      <c r="J729">
        <f>I729/H729</f>
        <v/>
      </c>
      <c r="K729">
        <f>H729*90</f>
        <v/>
      </c>
      <c r="M729">
        <f>L729/K729</f>
        <v/>
      </c>
    </row>
    <row r="730">
      <c r="A730" s="1" t="n">
        <v>729</v>
      </c>
      <c r="B730" s="2" t="inlineStr">
        <is>
          <t>Haiti</t>
        </is>
      </c>
      <c r="C730" s="2" t="inlineStr">
        <is>
          <t>Jean-Ricner Bellegarde</t>
        </is>
      </c>
      <c r="D730" s="2" t="inlineStr">
        <is>
          <t>Médio</t>
        </is>
      </c>
      <c r="E730" s="2" t="inlineStr">
        <is>
          <t>Wolverhampton</t>
        </is>
      </c>
      <c r="F730">
        <f>VLOOKUP(E730,Clubes!B$2:D$438,2)</f>
        <v/>
      </c>
      <c r="G730">
        <f>VLOOKUP(E730,Clubes!B$2:D$438,3)</f>
        <v/>
      </c>
      <c r="H730" s="2" t="n">
        <v>38</v>
      </c>
      <c r="J730">
        <f>I730/H730</f>
        <v/>
      </c>
      <c r="K730">
        <f>H730*90</f>
        <v/>
      </c>
      <c r="M730">
        <f>L730/K730</f>
        <v/>
      </c>
    </row>
    <row r="731">
      <c r="A731" s="1" t="n">
        <v>730</v>
      </c>
      <c r="B731" s="2" t="inlineStr">
        <is>
          <t>Haiti</t>
        </is>
      </c>
      <c r="C731" s="2" t="inlineStr">
        <is>
          <t>Ruben Providence</t>
        </is>
      </c>
      <c r="D731" s="2" t="inlineStr">
        <is>
          <t>Avançado</t>
        </is>
      </c>
      <c r="E731" s="2" t="inlineStr">
        <is>
          <t>Almere City FC</t>
        </is>
      </c>
      <c r="F731">
        <f>VLOOKUP(E731,Clubes!B$2:D$438,2)</f>
        <v/>
      </c>
      <c r="G731">
        <f>VLOOKUP(E731,Clubes!B$2:D$438,3)</f>
        <v/>
      </c>
      <c r="H731" s="2" t="n">
        <v>38</v>
      </c>
      <c r="J731">
        <f>I731/H731</f>
        <v/>
      </c>
      <c r="K731">
        <f>H731*90</f>
        <v/>
      </c>
      <c r="M731">
        <f>L731/K731</f>
        <v/>
      </c>
    </row>
    <row r="732">
      <c r="A732" s="1" t="n">
        <v>731</v>
      </c>
      <c r="B732" s="2" t="inlineStr">
        <is>
          <t>Haiti</t>
        </is>
      </c>
      <c r="C732" s="2" t="inlineStr">
        <is>
          <t>Yassin Fortuné</t>
        </is>
      </c>
      <c r="D732" s="2" t="inlineStr">
        <is>
          <t>Avançado</t>
        </is>
      </c>
      <c r="E732" s="2" t="inlineStr">
        <is>
          <t>FC Vizela</t>
        </is>
      </c>
      <c r="F732">
        <f>VLOOKUP(E732,Clubes!B$2:D$438,2)</f>
        <v/>
      </c>
      <c r="G732">
        <f>VLOOKUP(E732,Clubes!B$2:D$438,3)</f>
        <v/>
      </c>
      <c r="H732" s="2" t="n">
        <v>34</v>
      </c>
      <c r="J732">
        <f>I732/H732</f>
        <v/>
      </c>
      <c r="K732">
        <f>H732*90</f>
        <v/>
      </c>
      <c r="M732">
        <f>L732/K732</f>
        <v/>
      </c>
    </row>
    <row r="733">
      <c r="A733" s="1" t="n">
        <v>732</v>
      </c>
      <c r="B733" s="2" t="inlineStr">
        <is>
          <t>Haiti</t>
        </is>
      </c>
      <c r="C733" s="2" t="inlineStr">
        <is>
          <t>Josué Casimir</t>
        </is>
      </c>
      <c r="D733" s="2" t="inlineStr">
        <is>
          <t>Avançado</t>
        </is>
      </c>
      <c r="E733" s="2" t="inlineStr">
        <is>
          <t>Auxerre</t>
        </is>
      </c>
      <c r="F733">
        <f>VLOOKUP(E733,Clubes!B$2:D$438,2)</f>
        <v/>
      </c>
      <c r="G733">
        <f>VLOOKUP(E733,Clubes!B$2:D$438,3)</f>
        <v/>
      </c>
      <c r="H733" s="2" t="n">
        <v>34</v>
      </c>
      <c r="J733">
        <f>I733/H733</f>
        <v/>
      </c>
      <c r="K733">
        <f>H733*90</f>
        <v/>
      </c>
      <c r="M733">
        <f>L733/K733</f>
        <v/>
      </c>
    </row>
    <row r="734">
      <c r="A734" s="1" t="n">
        <v>733</v>
      </c>
      <c r="B734" s="2" t="inlineStr">
        <is>
          <t>Haiti</t>
        </is>
      </c>
      <c r="C734" s="2" t="inlineStr">
        <is>
          <t>Duckens Nazon</t>
        </is>
      </c>
      <c r="D734" s="2" t="inlineStr">
        <is>
          <t>Avançado</t>
        </is>
      </c>
      <c r="E734" s="2" t="inlineStr">
        <is>
          <t>Esteghlal Tehran</t>
        </is>
      </c>
      <c r="F734">
        <f>VLOOKUP(E734,Clubes!B$2:D$438,2)</f>
        <v/>
      </c>
      <c r="G734">
        <f>VLOOKUP(E734,Clubes!B$2:D$438,3)</f>
        <v/>
      </c>
      <c r="H734" s="2" t="n">
        <v>30</v>
      </c>
      <c r="J734">
        <f>I734/H734</f>
        <v/>
      </c>
      <c r="K734">
        <f>H734*90</f>
        <v/>
      </c>
      <c r="M734">
        <f>L734/K734</f>
        <v/>
      </c>
    </row>
    <row r="735">
      <c r="A735" s="1" t="n">
        <v>734</v>
      </c>
      <c r="B735" s="2" t="inlineStr">
        <is>
          <t>Haiti</t>
        </is>
      </c>
      <c r="C735" s="2" t="inlineStr">
        <is>
          <t>Louicius Deedson</t>
        </is>
      </c>
      <c r="D735" s="2" t="inlineStr">
        <is>
          <t>Avançado</t>
        </is>
      </c>
      <c r="E735" s="2" t="inlineStr">
        <is>
          <t>FC Dallas</t>
        </is>
      </c>
      <c r="F735">
        <f>VLOOKUP(E735,Clubes!B$2:D$438,2)</f>
        <v/>
      </c>
      <c r="G735">
        <f>VLOOKUP(E735,Clubes!B$2:D$438,3)</f>
        <v/>
      </c>
      <c r="H735" s="2" t="n">
        <v>34</v>
      </c>
      <c r="J735">
        <f>I735/H735</f>
        <v/>
      </c>
      <c r="K735">
        <f>H735*90</f>
        <v/>
      </c>
      <c r="M735">
        <f>L735/K735</f>
        <v/>
      </c>
    </row>
    <row r="736">
      <c r="A736" s="1" t="n">
        <v>735</v>
      </c>
      <c r="B736" s="2" t="inlineStr">
        <is>
          <t>Haiti</t>
        </is>
      </c>
      <c r="C736" s="2" t="inlineStr">
        <is>
          <t>Lenny Joseph</t>
        </is>
      </c>
      <c r="D736" s="2" t="inlineStr">
        <is>
          <t>Avançado</t>
        </is>
      </c>
      <c r="E736" s="2" t="inlineStr">
        <is>
          <t>Ferencváros</t>
        </is>
      </c>
      <c r="F736">
        <f>VLOOKUP(E736,Clubes!B$2:D$438,2)</f>
        <v/>
      </c>
      <c r="G736">
        <f>VLOOKUP(E736,Clubes!B$2:D$438,3)</f>
        <v/>
      </c>
      <c r="H736" s="2" t="n">
        <v>40</v>
      </c>
      <c r="J736">
        <f>I736/H736</f>
        <v/>
      </c>
      <c r="K736">
        <f>H736*90</f>
        <v/>
      </c>
      <c r="M736">
        <f>L736/K736</f>
        <v/>
      </c>
    </row>
    <row r="737">
      <c r="A737" s="1" t="n">
        <v>736</v>
      </c>
      <c r="B737" s="2" t="inlineStr">
        <is>
          <t>Haiti</t>
        </is>
      </c>
      <c r="C737" s="2" t="inlineStr">
        <is>
          <t>Wilson Isidor</t>
        </is>
      </c>
      <c r="D737" s="2" t="inlineStr">
        <is>
          <t>Avançado</t>
        </is>
      </c>
      <c r="E737" s="2" t="inlineStr">
        <is>
          <t>Sunderland</t>
        </is>
      </c>
      <c r="F737">
        <f>VLOOKUP(E737,Clubes!B$2:D$438,2)</f>
        <v/>
      </c>
      <c r="G737">
        <f>VLOOKUP(E737,Clubes!B$2:D$438,3)</f>
        <v/>
      </c>
      <c r="H737" s="2" t="n">
        <v>38</v>
      </c>
      <c r="J737">
        <f>I737/H737</f>
        <v/>
      </c>
      <c r="K737">
        <f>H737*90</f>
        <v/>
      </c>
      <c r="M737">
        <f>L737/K737</f>
        <v/>
      </c>
    </row>
    <row r="738">
      <c r="A738" s="1" t="n">
        <v>737</v>
      </c>
      <c r="B738" s="2" t="inlineStr">
        <is>
          <t>Haiti</t>
        </is>
      </c>
      <c r="C738" s="2" t="inlineStr">
        <is>
          <t>Frantzdy Pierrot</t>
        </is>
      </c>
      <c r="D738" s="2" t="inlineStr">
        <is>
          <t>Avançado</t>
        </is>
      </c>
      <c r="E738" s="2" t="inlineStr">
        <is>
          <t>Caykur Rizespor</t>
        </is>
      </c>
      <c r="F738">
        <f>VLOOKUP(E738,Clubes!B$2:D$438,2)</f>
        <v/>
      </c>
      <c r="G738">
        <f>VLOOKUP(E738,Clubes!B$2:D$438,3)</f>
        <v/>
      </c>
      <c r="H738" s="2" t="n">
        <v>34</v>
      </c>
      <c r="J738">
        <f>I738/H738</f>
        <v/>
      </c>
      <c r="K738">
        <f>H738*90</f>
        <v/>
      </c>
      <c r="M738">
        <f>L738/K738</f>
        <v/>
      </c>
    </row>
    <row r="739">
      <c r="A739" s="1" t="n">
        <v>738</v>
      </c>
      <c r="B739" s="2" t="inlineStr">
        <is>
          <t>Haiti</t>
        </is>
      </c>
      <c r="C739" s="2" t="inlineStr">
        <is>
          <t>Derrick Etienne Jr.</t>
        </is>
      </c>
      <c r="D739" s="2" t="inlineStr">
        <is>
          <t>Avançado</t>
        </is>
      </c>
      <c r="E739" s="2" t="inlineStr">
        <is>
          <t>Toronto FC</t>
        </is>
      </c>
      <c r="F739">
        <f>VLOOKUP(E739,Clubes!B$2:D$438,2)</f>
        <v/>
      </c>
      <c r="G739">
        <f>VLOOKUP(E739,Clubes!B$2:D$438,3)</f>
        <v/>
      </c>
      <c r="H739" s="2" t="n">
        <v>34</v>
      </c>
      <c r="J739">
        <f>I739/H739</f>
        <v/>
      </c>
      <c r="K739">
        <f>H739*90</f>
        <v/>
      </c>
      <c r="M739">
        <f>L739/K739</f>
        <v/>
      </c>
    </row>
    <row r="740">
      <c r="A740" s="1" t="n">
        <v>739</v>
      </c>
      <c r="B740" s="2" t="inlineStr">
        <is>
          <t>England</t>
        </is>
      </c>
      <c r="C740" s="2" t="inlineStr">
        <is>
          <t>Aaron Ramsdale</t>
        </is>
      </c>
      <c r="D740" s="2" t="inlineStr">
        <is>
          <t>Guarda Redes</t>
        </is>
      </c>
      <c r="E740" s="2" t="inlineStr">
        <is>
          <t>Newcastle</t>
        </is>
      </c>
      <c r="F740">
        <f>VLOOKUP(E740,Clubes!B$2:D$438,2)</f>
        <v/>
      </c>
      <c r="G740">
        <f>VLOOKUP(E740,Clubes!B$2:D$438,3)</f>
        <v/>
      </c>
      <c r="H740" s="2" t="n">
        <v>38</v>
      </c>
      <c r="J740">
        <f>I740/H740</f>
        <v/>
      </c>
      <c r="K740">
        <f>H740*90</f>
        <v/>
      </c>
      <c r="M740">
        <f>L740/K740</f>
        <v/>
      </c>
    </row>
    <row r="741">
      <c r="A741" s="1" t="n">
        <v>740</v>
      </c>
      <c r="B741" s="2" t="inlineStr">
        <is>
          <t>England</t>
        </is>
      </c>
      <c r="C741" s="2" t="inlineStr">
        <is>
          <t>Jordan Pickford</t>
        </is>
      </c>
      <c r="D741" s="2" t="inlineStr">
        <is>
          <t>Guarda Redes</t>
        </is>
      </c>
      <c r="E741" s="2" t="inlineStr">
        <is>
          <t>Everton</t>
        </is>
      </c>
      <c r="F741">
        <f>VLOOKUP(E741,Clubes!B$2:D$438,2)</f>
        <v/>
      </c>
      <c r="G741">
        <f>VLOOKUP(E741,Clubes!B$2:D$438,3)</f>
        <v/>
      </c>
      <c r="H741" s="2" t="n">
        <v>38</v>
      </c>
      <c r="J741">
        <f>I741/H741</f>
        <v/>
      </c>
      <c r="K741">
        <f>H741*90</f>
        <v/>
      </c>
      <c r="M741">
        <f>L741/K741</f>
        <v/>
      </c>
    </row>
    <row r="742">
      <c r="A742" s="1" t="n">
        <v>741</v>
      </c>
      <c r="B742" s="2" t="inlineStr">
        <is>
          <t>England</t>
        </is>
      </c>
      <c r="C742" s="2" t="inlineStr">
        <is>
          <t>Dean Henderson</t>
        </is>
      </c>
      <c r="D742" s="2" t="inlineStr">
        <is>
          <t>Guarda Redes</t>
        </is>
      </c>
      <c r="E742" s="2" t="inlineStr">
        <is>
          <t>Crystal Palace</t>
        </is>
      </c>
      <c r="F742">
        <f>VLOOKUP(E742,Clubes!B$2:D$438,2)</f>
        <v/>
      </c>
      <c r="G742">
        <f>VLOOKUP(E742,Clubes!B$2:D$438,3)</f>
        <v/>
      </c>
      <c r="H742" s="2" t="n">
        <v>38</v>
      </c>
      <c r="J742">
        <f>I742/H742</f>
        <v/>
      </c>
      <c r="K742">
        <f>H742*90</f>
        <v/>
      </c>
      <c r="M742">
        <f>L742/K742</f>
        <v/>
      </c>
    </row>
    <row r="743">
      <c r="A743" s="1" t="n">
        <v>742</v>
      </c>
      <c r="B743" s="2" t="inlineStr">
        <is>
          <t>England</t>
        </is>
      </c>
      <c r="C743" s="2" t="inlineStr">
        <is>
          <t>James Trafford</t>
        </is>
      </c>
      <c r="D743" s="2" t="inlineStr">
        <is>
          <t>Guarda Redes</t>
        </is>
      </c>
      <c r="E743" s="2" t="inlineStr">
        <is>
          <t>Manchester City</t>
        </is>
      </c>
      <c r="F743">
        <f>VLOOKUP(E743,Clubes!B$2:D$438,2)</f>
        <v/>
      </c>
      <c r="G743">
        <f>VLOOKUP(E743,Clubes!B$2:D$438,3)</f>
        <v/>
      </c>
      <c r="H743" s="2" t="n">
        <v>38</v>
      </c>
      <c r="J743">
        <f>I743/H743</f>
        <v/>
      </c>
      <c r="K743">
        <f>H743*90</f>
        <v/>
      </c>
      <c r="M743">
        <f>L743/K743</f>
        <v/>
      </c>
    </row>
    <row r="744">
      <c r="A744" s="1" t="n">
        <v>743</v>
      </c>
      <c r="B744" s="2" t="inlineStr">
        <is>
          <t>England</t>
        </is>
      </c>
      <c r="C744" s="2" t="inlineStr">
        <is>
          <t>Jason Steele</t>
        </is>
      </c>
      <c r="D744" s="2" t="inlineStr">
        <is>
          <t>Guarda Redes</t>
        </is>
      </c>
      <c r="E744" s="2" t="inlineStr">
        <is>
          <t>Brighton &amp; Hove Albion</t>
        </is>
      </c>
      <c r="F744">
        <f>VLOOKUP(E744,Clubes!B$2:D$438,2)</f>
        <v/>
      </c>
      <c r="G744">
        <f>VLOOKUP(E744,Clubes!B$2:D$438,3)</f>
        <v/>
      </c>
      <c r="H744" s="2" t="n">
        <v>38</v>
      </c>
      <c r="J744">
        <f>I744/H744</f>
        <v/>
      </c>
      <c r="K744">
        <f>H744*90</f>
        <v/>
      </c>
      <c r="M744">
        <f>L744/K744</f>
        <v/>
      </c>
    </row>
    <row r="745">
      <c r="A745" s="1" t="n">
        <v>744</v>
      </c>
      <c r="B745" s="2" t="inlineStr">
        <is>
          <t>England</t>
        </is>
      </c>
      <c r="C745" s="2" t="inlineStr">
        <is>
          <t>John Stones</t>
        </is>
      </c>
      <c r="D745" s="2" t="inlineStr">
        <is>
          <t>Defesa</t>
        </is>
      </c>
      <c r="E745" s="2" t="inlineStr">
        <is>
          <t>Manchester City</t>
        </is>
      </c>
      <c r="F745">
        <f>VLOOKUP(E745,Clubes!B$2:D$438,2)</f>
        <v/>
      </c>
      <c r="G745">
        <f>VLOOKUP(E745,Clubes!B$2:D$438,3)</f>
        <v/>
      </c>
      <c r="H745" s="2" t="n">
        <v>38</v>
      </c>
      <c r="J745">
        <f>I745/H745</f>
        <v/>
      </c>
      <c r="K745">
        <f>H745*90</f>
        <v/>
      </c>
      <c r="M745">
        <f>L745/K745</f>
        <v/>
      </c>
    </row>
    <row r="746">
      <c r="A746" s="1" t="n">
        <v>745</v>
      </c>
      <c r="B746" s="2" t="inlineStr">
        <is>
          <t>England</t>
        </is>
      </c>
      <c r="C746" s="2" t="inlineStr">
        <is>
          <t>Fikayo Tomori</t>
        </is>
      </c>
      <c r="D746" s="2" t="inlineStr">
        <is>
          <t>Defesa</t>
        </is>
      </c>
      <c r="E746" s="2" t="inlineStr">
        <is>
          <t>Milan</t>
        </is>
      </c>
      <c r="F746">
        <f>VLOOKUP(E746,Clubes!B$2:D$438,2)</f>
        <v/>
      </c>
      <c r="G746">
        <f>VLOOKUP(E746,Clubes!B$2:D$438,3)</f>
        <v/>
      </c>
      <c r="H746" s="2" t="n">
        <v>38</v>
      </c>
      <c r="J746">
        <f>I746/H746</f>
        <v/>
      </c>
      <c r="K746">
        <f>H746*90</f>
        <v/>
      </c>
      <c r="M746">
        <f>L746/K746</f>
        <v/>
      </c>
    </row>
    <row r="747">
      <c r="A747" s="1" t="n">
        <v>746</v>
      </c>
      <c r="B747" s="2" t="inlineStr">
        <is>
          <t>England</t>
        </is>
      </c>
      <c r="C747" s="2" t="inlineStr">
        <is>
          <t>Ezri Konsa</t>
        </is>
      </c>
      <c r="D747" s="2" t="inlineStr">
        <is>
          <t>Defesa</t>
        </is>
      </c>
      <c r="E747" s="2" t="inlineStr">
        <is>
          <t>Aston Villa</t>
        </is>
      </c>
      <c r="F747">
        <f>VLOOKUP(E747,Clubes!B$2:D$438,2)</f>
        <v/>
      </c>
      <c r="G747">
        <f>VLOOKUP(E747,Clubes!B$2:D$438,3)</f>
        <v/>
      </c>
      <c r="H747" s="2" t="n">
        <v>38</v>
      </c>
      <c r="J747">
        <f>I747/H747</f>
        <v/>
      </c>
      <c r="K747">
        <f>H747*90</f>
        <v/>
      </c>
      <c r="M747">
        <f>L747/K747</f>
        <v/>
      </c>
    </row>
    <row r="748">
      <c r="A748" s="1" t="n">
        <v>747</v>
      </c>
      <c r="B748" s="2" t="inlineStr">
        <is>
          <t>England</t>
        </is>
      </c>
      <c r="C748" s="2" t="inlineStr">
        <is>
          <t>Marc Guéhi</t>
        </is>
      </c>
      <c r="D748" s="2" t="inlineStr">
        <is>
          <t>Defesa</t>
        </is>
      </c>
      <c r="E748" s="2" t="inlineStr">
        <is>
          <t>Manchester City</t>
        </is>
      </c>
      <c r="F748">
        <f>VLOOKUP(E748,Clubes!B$2:D$438,2)</f>
        <v/>
      </c>
      <c r="G748">
        <f>VLOOKUP(E748,Clubes!B$2:D$438,3)</f>
        <v/>
      </c>
      <c r="H748" s="2" t="n">
        <v>38</v>
      </c>
      <c r="J748">
        <f>I748/H748</f>
        <v/>
      </c>
      <c r="K748">
        <f>H748*90</f>
        <v/>
      </c>
      <c r="M748">
        <f>L748/K748</f>
        <v/>
      </c>
    </row>
    <row r="749">
      <c r="A749" s="1" t="n">
        <v>748</v>
      </c>
      <c r="B749" s="2" t="inlineStr">
        <is>
          <t>England</t>
        </is>
      </c>
      <c r="C749" s="2" t="inlineStr">
        <is>
          <t>Harry Maguire</t>
        </is>
      </c>
      <c r="D749" s="2" t="inlineStr">
        <is>
          <t>Defesa</t>
        </is>
      </c>
      <c r="E749" s="2" t="inlineStr">
        <is>
          <t>Manchester United</t>
        </is>
      </c>
      <c r="F749">
        <f>VLOOKUP(E749,Clubes!B$2:D$438,2)</f>
        <v/>
      </c>
      <c r="G749">
        <f>VLOOKUP(E749,Clubes!B$2:D$438,3)</f>
        <v/>
      </c>
      <c r="H749" s="2" t="n">
        <v>38</v>
      </c>
      <c r="J749">
        <f>I749/H749</f>
        <v/>
      </c>
      <c r="K749">
        <f>H749*90</f>
        <v/>
      </c>
      <c r="M749">
        <f>L749/K749</f>
        <v/>
      </c>
    </row>
    <row r="750">
      <c r="A750" s="1" t="n">
        <v>749</v>
      </c>
      <c r="B750" s="2" t="inlineStr">
        <is>
          <t>England</t>
        </is>
      </c>
      <c r="C750" s="2" t="inlineStr">
        <is>
          <t>Ben White</t>
        </is>
      </c>
      <c r="D750" s="2" t="inlineStr">
        <is>
          <t>Defesa</t>
        </is>
      </c>
      <c r="E750" s="2" t="inlineStr">
        <is>
          <t>Arsenal</t>
        </is>
      </c>
      <c r="F750">
        <f>VLOOKUP(E750,Clubes!B$2:D$438,2)</f>
        <v/>
      </c>
      <c r="G750">
        <f>VLOOKUP(E750,Clubes!B$2:D$438,3)</f>
        <v/>
      </c>
      <c r="H750" s="2" t="n">
        <v>38</v>
      </c>
      <c r="J750">
        <f>I750/H750</f>
        <v/>
      </c>
      <c r="K750">
        <f>H750*90</f>
        <v/>
      </c>
      <c r="M750">
        <f>L750/K750</f>
        <v/>
      </c>
    </row>
    <row r="751">
      <c r="A751" s="1" t="n">
        <v>750</v>
      </c>
      <c r="B751" s="2" t="inlineStr">
        <is>
          <t>England</t>
        </is>
      </c>
      <c r="C751" s="2" t="inlineStr">
        <is>
          <t>Dan Burn</t>
        </is>
      </c>
      <c r="D751" s="2" t="inlineStr">
        <is>
          <t>Defesa</t>
        </is>
      </c>
      <c r="E751" s="2" t="inlineStr">
        <is>
          <t>Newcastle</t>
        </is>
      </c>
      <c r="F751">
        <f>VLOOKUP(E751,Clubes!B$2:D$438,2)</f>
        <v/>
      </c>
      <c r="G751">
        <f>VLOOKUP(E751,Clubes!B$2:D$438,3)</f>
        <v/>
      </c>
      <c r="H751" s="2" t="n">
        <v>38</v>
      </c>
      <c r="J751">
        <f>I751/H751</f>
        <v/>
      </c>
      <c r="K751">
        <f>H751*90</f>
        <v/>
      </c>
      <c r="M751">
        <f>L751/K751</f>
        <v/>
      </c>
    </row>
    <row r="752">
      <c r="A752" s="1" t="n">
        <v>751</v>
      </c>
      <c r="B752" s="2" t="inlineStr">
        <is>
          <t>England</t>
        </is>
      </c>
      <c r="C752" s="2" t="inlineStr">
        <is>
          <t>Reece James</t>
        </is>
      </c>
      <c r="D752" s="2" t="inlineStr">
        <is>
          <t>Defesa</t>
        </is>
      </c>
      <c r="E752" s="2" t="inlineStr">
        <is>
          <t>Chelsea</t>
        </is>
      </c>
      <c r="F752">
        <f>VLOOKUP(E752,Clubes!B$2:D$438,2)</f>
        <v/>
      </c>
      <c r="G752">
        <f>VLOOKUP(E752,Clubes!B$2:D$438,3)</f>
        <v/>
      </c>
      <c r="H752" s="2" t="n">
        <v>38</v>
      </c>
      <c r="J752">
        <f>I752/H752</f>
        <v/>
      </c>
      <c r="K752">
        <f>H752*90</f>
        <v/>
      </c>
      <c r="M752">
        <f>L752/K752</f>
        <v/>
      </c>
    </row>
    <row r="753">
      <c r="A753" s="1" t="n">
        <v>752</v>
      </c>
      <c r="B753" s="2" t="inlineStr">
        <is>
          <t>England</t>
        </is>
      </c>
      <c r="C753" s="2" t="inlineStr">
        <is>
          <t>Djed Spence</t>
        </is>
      </c>
      <c r="D753" s="2" t="inlineStr">
        <is>
          <t>Defesa</t>
        </is>
      </c>
      <c r="E753" s="2" t="inlineStr">
        <is>
          <t>Tottenham</t>
        </is>
      </c>
      <c r="F753">
        <f>VLOOKUP(E753,Clubes!B$2:D$438,2)</f>
        <v/>
      </c>
      <c r="G753">
        <f>VLOOKUP(E753,Clubes!B$2:D$438,3)</f>
        <v/>
      </c>
      <c r="H753" s="2" t="n">
        <v>38</v>
      </c>
      <c r="J753">
        <f>I753/H753</f>
        <v/>
      </c>
      <c r="K753">
        <f>H753*90</f>
        <v/>
      </c>
      <c r="M753">
        <f>L753/K753</f>
        <v/>
      </c>
    </row>
    <row r="754">
      <c r="A754" s="1" t="n">
        <v>753</v>
      </c>
      <c r="B754" s="2" t="inlineStr">
        <is>
          <t>England</t>
        </is>
      </c>
      <c r="C754" s="2" t="inlineStr">
        <is>
          <t>Tino Livramento</t>
        </is>
      </c>
      <c r="D754" s="2" t="inlineStr">
        <is>
          <t>Defesa</t>
        </is>
      </c>
      <c r="E754" s="2" t="inlineStr">
        <is>
          <t>Newcastle</t>
        </is>
      </c>
      <c r="F754">
        <f>VLOOKUP(E754,Clubes!B$2:D$438,2)</f>
        <v/>
      </c>
      <c r="G754">
        <f>VLOOKUP(E754,Clubes!B$2:D$438,3)</f>
        <v/>
      </c>
      <c r="H754" s="2" t="n">
        <v>38</v>
      </c>
      <c r="J754">
        <f>I754/H754</f>
        <v/>
      </c>
      <c r="K754">
        <f>H754*90</f>
        <v/>
      </c>
      <c r="M754">
        <f>L754/K754</f>
        <v/>
      </c>
    </row>
    <row r="755">
      <c r="A755" s="1" t="n">
        <v>754</v>
      </c>
      <c r="B755" s="2" t="inlineStr">
        <is>
          <t>England</t>
        </is>
      </c>
      <c r="C755" s="2" t="inlineStr">
        <is>
          <t>Jarell Quansah</t>
        </is>
      </c>
      <c r="D755" s="2" t="inlineStr">
        <is>
          <t>Defesa</t>
        </is>
      </c>
      <c r="E755" s="2" t="inlineStr">
        <is>
          <t>Bayer Leverkusen</t>
        </is>
      </c>
      <c r="F755">
        <f>VLOOKUP(E755,Clubes!B$2:D$438,2)</f>
        <v/>
      </c>
      <c r="G755">
        <f>VLOOKUP(E755,Clubes!B$2:D$438,3)</f>
        <v/>
      </c>
      <c r="H755" s="2" t="n">
        <v>34</v>
      </c>
      <c r="J755">
        <f>I755/H755</f>
        <v/>
      </c>
      <c r="K755">
        <f>H755*90</f>
        <v/>
      </c>
      <c r="M755">
        <f>L755/K755</f>
        <v/>
      </c>
    </row>
    <row r="756">
      <c r="A756" s="1" t="n">
        <v>755</v>
      </c>
      <c r="B756" s="2" t="inlineStr">
        <is>
          <t>England</t>
        </is>
      </c>
      <c r="C756" s="2" t="inlineStr">
        <is>
          <t>Lewis Hall</t>
        </is>
      </c>
      <c r="D756" s="2" t="inlineStr">
        <is>
          <t>Defesa</t>
        </is>
      </c>
      <c r="E756" s="2" t="inlineStr">
        <is>
          <t>Newcastle</t>
        </is>
      </c>
      <c r="F756">
        <f>VLOOKUP(E756,Clubes!B$2:D$438,2)</f>
        <v/>
      </c>
      <c r="G756">
        <f>VLOOKUP(E756,Clubes!B$2:D$438,3)</f>
        <v/>
      </c>
      <c r="H756" s="2" t="n">
        <v>38</v>
      </c>
      <c r="J756">
        <f>I756/H756</f>
        <v/>
      </c>
      <c r="K756">
        <f>H756*90</f>
        <v/>
      </c>
      <c r="M756">
        <f>L756/K756</f>
        <v/>
      </c>
    </row>
    <row r="757">
      <c r="A757" s="1" t="n">
        <v>756</v>
      </c>
      <c r="B757" s="2" t="inlineStr">
        <is>
          <t>England</t>
        </is>
      </c>
      <c r="C757" s="2" t="inlineStr">
        <is>
          <t>Jordan Henderson</t>
        </is>
      </c>
      <c r="D757" s="2" t="inlineStr">
        <is>
          <t>Médio</t>
        </is>
      </c>
      <c r="E757" s="2" t="inlineStr">
        <is>
          <t>Brentford</t>
        </is>
      </c>
      <c r="F757">
        <f>VLOOKUP(E757,Clubes!B$2:D$438,2)</f>
        <v/>
      </c>
      <c r="G757">
        <f>VLOOKUP(E757,Clubes!B$2:D$438,3)</f>
        <v/>
      </c>
      <c r="H757" s="2" t="n">
        <v>38</v>
      </c>
      <c r="J757">
        <f>I757/H757</f>
        <v/>
      </c>
      <c r="K757">
        <f>H757*90</f>
        <v/>
      </c>
      <c r="M757">
        <f>L757/K757</f>
        <v/>
      </c>
    </row>
    <row r="758">
      <c r="A758" s="1" t="n">
        <v>757</v>
      </c>
      <c r="B758" s="2" t="inlineStr">
        <is>
          <t>England</t>
        </is>
      </c>
      <c r="C758" s="2" t="inlineStr">
        <is>
          <t>Declan Rice</t>
        </is>
      </c>
      <c r="D758" s="2" t="inlineStr">
        <is>
          <t>Médio</t>
        </is>
      </c>
      <c r="E758" s="2" t="inlineStr">
        <is>
          <t>Arsenal</t>
        </is>
      </c>
      <c r="F758">
        <f>VLOOKUP(E758,Clubes!B$2:D$438,2)</f>
        <v/>
      </c>
      <c r="G758">
        <f>VLOOKUP(E758,Clubes!B$2:D$438,3)</f>
        <v/>
      </c>
      <c r="H758" s="2" t="n">
        <v>38</v>
      </c>
      <c r="J758">
        <f>I758/H758</f>
        <v/>
      </c>
      <c r="K758">
        <f>H758*90</f>
        <v/>
      </c>
      <c r="M758">
        <f>L758/K758</f>
        <v/>
      </c>
    </row>
    <row r="759">
      <c r="A759" s="1" t="n">
        <v>758</v>
      </c>
      <c r="B759" s="2" t="inlineStr">
        <is>
          <t>England</t>
        </is>
      </c>
      <c r="C759" s="2" t="inlineStr">
        <is>
          <t>Adam Wharton</t>
        </is>
      </c>
      <c r="D759" s="2" t="inlineStr">
        <is>
          <t>Médio</t>
        </is>
      </c>
      <c r="E759" s="2" t="inlineStr">
        <is>
          <t>Crystal Palace</t>
        </is>
      </c>
      <c r="F759">
        <f>VLOOKUP(E759,Clubes!B$2:D$438,2)</f>
        <v/>
      </c>
      <c r="G759">
        <f>VLOOKUP(E759,Clubes!B$2:D$438,3)</f>
        <v/>
      </c>
      <c r="H759" s="2" t="n">
        <v>38</v>
      </c>
      <c r="J759">
        <f>I759/H759</f>
        <v/>
      </c>
      <c r="K759">
        <f>H759*90</f>
        <v/>
      </c>
      <c r="M759">
        <f>L759/K759</f>
        <v/>
      </c>
    </row>
    <row r="760">
      <c r="A760" s="1" t="n">
        <v>759</v>
      </c>
      <c r="B760" s="2" t="inlineStr">
        <is>
          <t>England</t>
        </is>
      </c>
      <c r="C760" s="2" t="inlineStr">
        <is>
          <t>Nico O’Reilly</t>
        </is>
      </c>
      <c r="D760" s="2" t="inlineStr">
        <is>
          <t>Médio</t>
        </is>
      </c>
      <c r="E760" s="2" t="inlineStr">
        <is>
          <t>Manchester City</t>
        </is>
      </c>
      <c r="F760">
        <f>VLOOKUP(E760,Clubes!B$2:D$438,2)</f>
        <v/>
      </c>
      <c r="G760">
        <f>VLOOKUP(E760,Clubes!B$2:D$438,3)</f>
        <v/>
      </c>
      <c r="H760" s="2" t="n">
        <v>38</v>
      </c>
      <c r="J760">
        <f>I760/H760</f>
        <v/>
      </c>
      <c r="K760">
        <f>H760*90</f>
        <v/>
      </c>
      <c r="M760">
        <f>L760/K760</f>
        <v/>
      </c>
    </row>
    <row r="761">
      <c r="A761" s="1" t="n">
        <v>760</v>
      </c>
      <c r="B761" s="2" t="inlineStr">
        <is>
          <t>England</t>
        </is>
      </c>
      <c r="C761" s="2" t="inlineStr">
        <is>
          <t>Elliot Anderson</t>
        </is>
      </c>
      <c r="D761" s="2" t="inlineStr">
        <is>
          <t>Médio</t>
        </is>
      </c>
      <c r="E761" s="2" t="inlineStr">
        <is>
          <t>Nottingham Forest</t>
        </is>
      </c>
      <c r="F761">
        <f>VLOOKUP(E761,Clubes!B$2:D$438,2)</f>
        <v/>
      </c>
      <c r="G761">
        <f>VLOOKUP(E761,Clubes!B$2:D$438,3)</f>
        <v/>
      </c>
      <c r="H761" s="2" t="n">
        <v>38</v>
      </c>
      <c r="J761">
        <f>I761/H761</f>
        <v/>
      </c>
      <c r="K761">
        <f>H761*90</f>
        <v/>
      </c>
      <c r="M761">
        <f>L761/K761</f>
        <v/>
      </c>
    </row>
    <row r="762">
      <c r="A762" s="1" t="n">
        <v>761</v>
      </c>
      <c r="B762" s="2" t="inlineStr">
        <is>
          <t>England</t>
        </is>
      </c>
      <c r="C762" s="2" t="inlineStr">
        <is>
          <t>Kobbie Mainoo</t>
        </is>
      </c>
      <c r="D762" s="2" t="inlineStr">
        <is>
          <t>Médio</t>
        </is>
      </c>
      <c r="E762" s="2" t="inlineStr">
        <is>
          <t>Manchester United</t>
        </is>
      </c>
      <c r="F762">
        <f>VLOOKUP(E762,Clubes!B$2:D$438,2)</f>
        <v/>
      </c>
      <c r="G762">
        <f>VLOOKUP(E762,Clubes!B$2:D$438,3)</f>
        <v/>
      </c>
      <c r="H762" s="2" t="n">
        <v>38</v>
      </c>
      <c r="J762">
        <f>I762/H762</f>
        <v/>
      </c>
      <c r="K762">
        <f>H762*90</f>
        <v/>
      </c>
      <c r="M762">
        <f>L762/K762</f>
        <v/>
      </c>
    </row>
    <row r="763">
      <c r="A763" s="1" t="n">
        <v>762</v>
      </c>
      <c r="B763" s="2" t="inlineStr">
        <is>
          <t>England</t>
        </is>
      </c>
      <c r="C763" s="2" t="inlineStr">
        <is>
          <t>Jude Bellingham</t>
        </is>
      </c>
      <c r="D763" s="2" t="inlineStr">
        <is>
          <t>Médio</t>
        </is>
      </c>
      <c r="E763" s="2" t="inlineStr">
        <is>
          <t>Real Madrid</t>
        </is>
      </c>
      <c r="F763">
        <f>VLOOKUP(E763,Clubes!B$2:D$438,2)</f>
        <v/>
      </c>
      <c r="G763">
        <f>VLOOKUP(E763,Clubes!B$2:D$438,3)</f>
        <v/>
      </c>
      <c r="H763" s="2" t="n">
        <v>38</v>
      </c>
      <c r="J763">
        <f>I763/H763</f>
        <v/>
      </c>
      <c r="K763">
        <f>H763*90</f>
        <v/>
      </c>
      <c r="M763">
        <f>L763/K763</f>
        <v/>
      </c>
    </row>
    <row r="764">
      <c r="A764" s="1" t="n">
        <v>763</v>
      </c>
      <c r="B764" s="2" t="inlineStr">
        <is>
          <t>England</t>
        </is>
      </c>
      <c r="C764" s="2" t="inlineStr">
        <is>
          <t>James Garner</t>
        </is>
      </c>
      <c r="D764" s="2" t="inlineStr">
        <is>
          <t>Médio</t>
        </is>
      </c>
      <c r="E764" s="2" t="inlineStr">
        <is>
          <t>Everton</t>
        </is>
      </c>
      <c r="F764">
        <f>VLOOKUP(E764,Clubes!B$2:D$438,2)</f>
        <v/>
      </c>
      <c r="G764">
        <f>VLOOKUP(E764,Clubes!B$2:D$438,3)</f>
        <v/>
      </c>
      <c r="H764" s="2" t="n">
        <v>38</v>
      </c>
      <c r="J764">
        <f>I764/H764</f>
        <v/>
      </c>
      <c r="K764">
        <f>H764*90</f>
        <v/>
      </c>
      <c r="M764">
        <f>L764/K764</f>
        <v/>
      </c>
    </row>
    <row r="765">
      <c r="A765" s="1" t="n">
        <v>764</v>
      </c>
      <c r="B765" s="2" t="inlineStr">
        <is>
          <t>England</t>
        </is>
      </c>
      <c r="C765" s="2" t="inlineStr">
        <is>
          <t>Alex Scott</t>
        </is>
      </c>
      <c r="D765" s="2" t="inlineStr">
        <is>
          <t>Médio</t>
        </is>
      </c>
      <c r="E765" s="2" t="inlineStr">
        <is>
          <t>Bournemouth</t>
        </is>
      </c>
      <c r="F765">
        <f>VLOOKUP(E765,Clubes!B$2:D$438,2)</f>
        <v/>
      </c>
      <c r="G765">
        <f>VLOOKUP(E765,Clubes!B$2:D$438,3)</f>
        <v/>
      </c>
      <c r="H765" s="2" t="n">
        <v>38</v>
      </c>
      <c r="J765">
        <f>I765/H765</f>
        <v/>
      </c>
      <c r="K765">
        <f>H765*90</f>
        <v/>
      </c>
      <c r="M765">
        <f>L765/K765</f>
        <v/>
      </c>
    </row>
    <row r="766">
      <c r="A766" s="1" t="n">
        <v>765</v>
      </c>
      <c r="B766" s="2" t="inlineStr">
        <is>
          <t>England</t>
        </is>
      </c>
      <c r="C766" s="2" t="inlineStr">
        <is>
          <t>Joshua King</t>
        </is>
      </c>
      <c r="D766" s="2" t="inlineStr">
        <is>
          <t>Médio</t>
        </is>
      </c>
      <c r="E766" s="2" t="inlineStr">
        <is>
          <t>Fulham</t>
        </is>
      </c>
      <c r="F766">
        <f>VLOOKUP(E766,Clubes!B$2:D$438,2)</f>
        <v/>
      </c>
      <c r="G766">
        <f>VLOOKUP(E766,Clubes!B$2:D$438,3)</f>
        <v/>
      </c>
      <c r="H766" s="2" t="n">
        <v>38</v>
      </c>
      <c r="J766">
        <f>I766/H766</f>
        <v/>
      </c>
      <c r="K766">
        <f>H766*90</f>
        <v/>
      </c>
      <c r="M766">
        <f>L766/K766</f>
        <v/>
      </c>
    </row>
    <row r="767">
      <c r="A767" s="1" t="n">
        <v>766</v>
      </c>
      <c r="B767" s="2" t="inlineStr">
        <is>
          <t>England</t>
        </is>
      </c>
      <c r="C767" s="2" t="inlineStr">
        <is>
          <t>Calvert-Lewin</t>
        </is>
      </c>
      <c r="D767" s="2" t="inlineStr">
        <is>
          <t>Avançado</t>
        </is>
      </c>
      <c r="E767" s="2" t="inlineStr">
        <is>
          <t>Leeds United</t>
        </is>
      </c>
      <c r="F767">
        <f>VLOOKUP(E767,Clubes!B$2:D$438,2)</f>
        <v/>
      </c>
      <c r="G767">
        <f>VLOOKUP(E767,Clubes!B$2:D$438,3)</f>
        <v/>
      </c>
      <c r="H767" s="2" t="n">
        <v>38</v>
      </c>
      <c r="J767">
        <f>I767/H767</f>
        <v/>
      </c>
      <c r="K767">
        <f>H767*90</f>
        <v/>
      </c>
      <c r="M767">
        <f>L767/K767</f>
        <v/>
      </c>
    </row>
    <row r="768">
      <c r="A768" s="1" t="n">
        <v>767</v>
      </c>
      <c r="B768" s="2" t="inlineStr">
        <is>
          <t>England</t>
        </is>
      </c>
      <c r="C768" s="2" t="inlineStr">
        <is>
          <t>Harry Kane</t>
        </is>
      </c>
      <c r="D768" s="2" t="inlineStr">
        <is>
          <t>Avançado</t>
        </is>
      </c>
      <c r="E768" s="2" t="inlineStr">
        <is>
          <t>Bayern München</t>
        </is>
      </c>
      <c r="F768">
        <f>VLOOKUP(E768,Clubes!B$2:D$438,2)</f>
        <v/>
      </c>
      <c r="G768">
        <f>VLOOKUP(E768,Clubes!B$2:D$438,3)</f>
        <v/>
      </c>
      <c r="H768" s="2" t="n">
        <v>34</v>
      </c>
      <c r="J768">
        <f>I768/H768</f>
        <v/>
      </c>
      <c r="K768">
        <f>H768*90</f>
        <v/>
      </c>
      <c r="M768">
        <f>L768/K768</f>
        <v/>
      </c>
    </row>
    <row r="769">
      <c r="A769" s="1" t="n">
        <v>768</v>
      </c>
      <c r="B769" s="2" t="inlineStr">
        <is>
          <t>England</t>
        </is>
      </c>
      <c r="C769" s="2" t="inlineStr">
        <is>
          <t>Noni Madueke</t>
        </is>
      </c>
      <c r="D769" s="2" t="inlineStr">
        <is>
          <t>Avançado</t>
        </is>
      </c>
      <c r="E769" s="2" t="inlineStr">
        <is>
          <t>Arsenal</t>
        </is>
      </c>
      <c r="F769">
        <f>VLOOKUP(E769,Clubes!B$2:D$438,2)</f>
        <v/>
      </c>
      <c r="G769">
        <f>VLOOKUP(E769,Clubes!B$2:D$438,3)</f>
        <v/>
      </c>
      <c r="H769" s="2" t="n">
        <v>38</v>
      </c>
      <c r="J769">
        <f>I769/H769</f>
        <v/>
      </c>
      <c r="K769">
        <f>H769*90</f>
        <v/>
      </c>
      <c r="M769">
        <f>L769/K769</f>
        <v/>
      </c>
    </row>
    <row r="770">
      <c r="A770" s="1" t="n">
        <v>769</v>
      </c>
      <c r="B770" s="2" t="inlineStr">
        <is>
          <t>England</t>
        </is>
      </c>
      <c r="C770" s="2" t="inlineStr">
        <is>
          <t>Bukayo Saka</t>
        </is>
      </c>
      <c r="D770" s="2" t="inlineStr">
        <is>
          <t>Avançado</t>
        </is>
      </c>
      <c r="E770" s="2" t="inlineStr">
        <is>
          <t>Arsenal</t>
        </is>
      </c>
      <c r="F770">
        <f>VLOOKUP(E770,Clubes!B$2:D$438,2)</f>
        <v/>
      </c>
      <c r="G770">
        <f>VLOOKUP(E770,Clubes!B$2:D$438,3)</f>
        <v/>
      </c>
      <c r="H770" s="2" t="n">
        <v>38</v>
      </c>
      <c r="J770">
        <f>I770/H770</f>
        <v/>
      </c>
      <c r="K770">
        <f>H770*90</f>
        <v/>
      </c>
      <c r="M770">
        <f>L770/K770</f>
        <v/>
      </c>
    </row>
    <row r="771">
      <c r="A771" s="1" t="n">
        <v>770</v>
      </c>
      <c r="B771" s="2" t="inlineStr">
        <is>
          <t>England</t>
        </is>
      </c>
      <c r="C771" s="2" t="inlineStr">
        <is>
          <t>Ivan Toney</t>
        </is>
      </c>
      <c r="D771" s="2" t="inlineStr">
        <is>
          <t>Avançado</t>
        </is>
      </c>
      <c r="E771" s="2" t="inlineStr">
        <is>
          <t>Al-Ahli Jeddah</t>
        </is>
      </c>
      <c r="F771">
        <f>VLOOKUP(E771,Clubes!B$2:D$438,2)</f>
        <v/>
      </c>
      <c r="G771">
        <f>VLOOKUP(E771,Clubes!B$2:D$438,3)</f>
        <v/>
      </c>
      <c r="H771" s="2" t="n">
        <v>34</v>
      </c>
      <c r="J771">
        <f>I771/H771</f>
        <v/>
      </c>
      <c r="K771">
        <f>H771*90</f>
        <v/>
      </c>
      <c r="M771">
        <f>L771/K771</f>
        <v/>
      </c>
    </row>
    <row r="772">
      <c r="A772" s="1" t="n">
        <v>771</v>
      </c>
      <c r="B772" s="2" t="inlineStr">
        <is>
          <t>England</t>
        </is>
      </c>
      <c r="C772" s="2" t="inlineStr">
        <is>
          <t>Ollie Watkins</t>
        </is>
      </c>
      <c r="D772" s="2" t="inlineStr">
        <is>
          <t>Avançado</t>
        </is>
      </c>
      <c r="E772" s="2" t="inlineStr">
        <is>
          <t>Aston Villa</t>
        </is>
      </c>
      <c r="F772">
        <f>VLOOKUP(E772,Clubes!B$2:D$438,2)</f>
        <v/>
      </c>
      <c r="G772">
        <f>VLOOKUP(E772,Clubes!B$2:D$438,3)</f>
        <v/>
      </c>
      <c r="H772" s="2" t="n">
        <v>38</v>
      </c>
      <c r="J772">
        <f>I772/H772</f>
        <v/>
      </c>
      <c r="K772">
        <f>H772*90</f>
        <v/>
      </c>
      <c r="M772">
        <f>L772/K772</f>
        <v/>
      </c>
    </row>
    <row r="773">
      <c r="A773" s="1" t="n">
        <v>772</v>
      </c>
      <c r="B773" s="2" t="inlineStr">
        <is>
          <t>England</t>
        </is>
      </c>
      <c r="C773" s="2" t="inlineStr">
        <is>
          <t>Cole Palmer</t>
        </is>
      </c>
      <c r="D773" s="2" t="inlineStr">
        <is>
          <t>Avançado</t>
        </is>
      </c>
      <c r="E773" s="2" t="inlineStr">
        <is>
          <t>Chelsea</t>
        </is>
      </c>
      <c r="F773">
        <f>VLOOKUP(E773,Clubes!B$2:D$438,2)</f>
        <v/>
      </c>
      <c r="G773">
        <f>VLOOKUP(E773,Clubes!B$2:D$438,3)</f>
        <v/>
      </c>
      <c r="H773" s="2" t="n">
        <v>38</v>
      </c>
      <c r="J773">
        <f>I773/H773</f>
        <v/>
      </c>
      <c r="K773">
        <f>H773*90</f>
        <v/>
      </c>
      <c r="M773">
        <f>L773/K773</f>
        <v/>
      </c>
    </row>
    <row r="774">
      <c r="A774" s="1" t="n">
        <v>773</v>
      </c>
      <c r="B774" s="2" t="inlineStr">
        <is>
          <t>England</t>
        </is>
      </c>
      <c r="C774" s="2" t="inlineStr">
        <is>
          <t>Phil Foden</t>
        </is>
      </c>
      <c r="D774" s="2" t="inlineStr">
        <is>
          <t>Avançado</t>
        </is>
      </c>
      <c r="E774" s="2" t="inlineStr">
        <is>
          <t>Manchester City</t>
        </is>
      </c>
      <c r="F774">
        <f>VLOOKUP(E774,Clubes!B$2:D$438,2)</f>
        <v/>
      </c>
      <c r="G774">
        <f>VLOOKUP(E774,Clubes!B$2:D$438,3)</f>
        <v/>
      </c>
      <c r="H774" s="2" t="n">
        <v>38</v>
      </c>
      <c r="J774">
        <f>I774/H774</f>
        <v/>
      </c>
      <c r="K774">
        <f>H774*90</f>
        <v/>
      </c>
      <c r="M774">
        <f>L774/K774</f>
        <v/>
      </c>
    </row>
    <row r="775">
      <c r="A775" s="1" t="n">
        <v>774</v>
      </c>
      <c r="B775" s="2" t="inlineStr">
        <is>
          <t>England</t>
        </is>
      </c>
      <c r="C775" s="2" t="inlineStr">
        <is>
          <t>Marcus Rashford</t>
        </is>
      </c>
      <c r="D775" s="2" t="inlineStr">
        <is>
          <t>Avançado</t>
        </is>
      </c>
      <c r="E775" s="2" t="inlineStr">
        <is>
          <t>Barcelona</t>
        </is>
      </c>
      <c r="F775">
        <f>VLOOKUP(E775,Clubes!B$2:D$438,2)</f>
        <v/>
      </c>
      <c r="G775">
        <f>VLOOKUP(E775,Clubes!B$2:D$438,3)</f>
        <v/>
      </c>
      <c r="H775" s="2" t="n">
        <v>38</v>
      </c>
      <c r="J775">
        <f>I775/H775</f>
        <v/>
      </c>
      <c r="K775">
        <f>H775*90</f>
        <v/>
      </c>
      <c r="M775">
        <f>L775/K775</f>
        <v/>
      </c>
    </row>
    <row r="776">
      <c r="A776" s="1" t="n">
        <v>775</v>
      </c>
      <c r="B776" s="2" t="inlineStr">
        <is>
          <t>England</t>
        </is>
      </c>
      <c r="C776" s="2" t="inlineStr">
        <is>
          <t>Anthony Gordon</t>
        </is>
      </c>
      <c r="D776" s="2" t="inlineStr">
        <is>
          <t>Avançado</t>
        </is>
      </c>
      <c r="E776" s="2" t="inlineStr">
        <is>
          <t>Newcastle</t>
        </is>
      </c>
      <c r="F776">
        <f>VLOOKUP(E776,Clubes!B$2:D$438,2)</f>
        <v/>
      </c>
      <c r="G776">
        <f>VLOOKUP(E776,Clubes!B$2:D$438,3)</f>
        <v/>
      </c>
      <c r="H776" s="2" t="n">
        <v>38</v>
      </c>
      <c r="J776">
        <f>I776/H776</f>
        <v/>
      </c>
      <c r="K776">
        <f>H776*90</f>
        <v/>
      </c>
      <c r="M776">
        <f>L776/K776</f>
        <v/>
      </c>
    </row>
    <row r="777">
      <c r="A777" s="1" t="n">
        <v>776</v>
      </c>
      <c r="B777" s="2" t="inlineStr">
        <is>
          <t>England</t>
        </is>
      </c>
      <c r="C777" s="2" t="inlineStr">
        <is>
          <t>Morgan Rogers</t>
        </is>
      </c>
      <c r="D777" s="2" t="inlineStr">
        <is>
          <t>Avançado</t>
        </is>
      </c>
      <c r="E777" s="2" t="inlineStr">
        <is>
          <t>Aston Villa</t>
        </is>
      </c>
      <c r="F777">
        <f>VLOOKUP(E777,Clubes!B$2:D$438,2)</f>
        <v/>
      </c>
      <c r="G777">
        <f>VLOOKUP(E777,Clubes!B$2:D$438,3)</f>
        <v/>
      </c>
      <c r="H777" s="2" t="n">
        <v>38</v>
      </c>
      <c r="J777">
        <f>I777/H777</f>
        <v/>
      </c>
      <c r="K777">
        <f>H777*90</f>
        <v/>
      </c>
      <c r="M777">
        <f>L777/K777</f>
        <v/>
      </c>
    </row>
    <row r="778">
      <c r="A778" s="1" t="n">
        <v>777</v>
      </c>
      <c r="B778" s="2" t="inlineStr">
        <is>
          <t>England</t>
        </is>
      </c>
      <c r="C778" s="2" t="inlineStr">
        <is>
          <t>Dominic Solanke</t>
        </is>
      </c>
      <c r="D778" s="2" t="inlineStr">
        <is>
          <t>Avançado</t>
        </is>
      </c>
      <c r="E778" s="2" t="inlineStr">
        <is>
          <t>Tottenham</t>
        </is>
      </c>
      <c r="F778">
        <f>VLOOKUP(E778,Clubes!B$2:D$438,2)</f>
        <v/>
      </c>
      <c r="G778">
        <f>VLOOKUP(E778,Clubes!B$2:D$438,3)</f>
        <v/>
      </c>
      <c r="H778" s="2" t="n">
        <v>38</v>
      </c>
      <c r="J778">
        <f>I778/H778</f>
        <v/>
      </c>
      <c r="K778">
        <f>H778*90</f>
        <v/>
      </c>
      <c r="M778">
        <f>L778/K778</f>
        <v/>
      </c>
    </row>
    <row r="779">
      <c r="A779" s="1" t="n">
        <v>778</v>
      </c>
      <c r="B779" s="2" t="inlineStr">
        <is>
          <t>England</t>
        </is>
      </c>
      <c r="C779" s="2" t="inlineStr">
        <is>
          <t>Harvey Barnes</t>
        </is>
      </c>
      <c r="D779" s="2" t="inlineStr">
        <is>
          <t>Avançado</t>
        </is>
      </c>
      <c r="E779" s="2" t="inlineStr">
        <is>
          <t>Newcastle</t>
        </is>
      </c>
      <c r="F779">
        <f>VLOOKUP(E779,Clubes!B$2:D$438,2)</f>
        <v/>
      </c>
      <c r="G779">
        <f>VLOOKUP(E779,Clubes!B$2:D$438,3)</f>
        <v/>
      </c>
      <c r="H779" s="2" t="n">
        <v>38</v>
      </c>
      <c r="J779">
        <f>I779/H779</f>
        <v/>
      </c>
      <c r="K779">
        <f>H779*90</f>
        <v/>
      </c>
      <c r="M779">
        <f>L779/K779</f>
        <v/>
      </c>
    </row>
    <row r="780">
      <c r="A780" s="1" t="n">
        <v>779</v>
      </c>
      <c r="B780" s="2" t="inlineStr">
        <is>
          <t>England</t>
        </is>
      </c>
      <c r="C780" s="2" t="inlineStr">
        <is>
          <t>Jarrod Bowen</t>
        </is>
      </c>
      <c r="D780" s="2" t="inlineStr">
        <is>
          <t>Avançado</t>
        </is>
      </c>
      <c r="E780" s="2" t="inlineStr">
        <is>
          <t>West Ham</t>
        </is>
      </c>
      <c r="F780">
        <f>VLOOKUP(E780,Clubes!B$2:D$438,2)</f>
        <v/>
      </c>
      <c r="G780">
        <f>VLOOKUP(E780,Clubes!B$2:D$438,3)</f>
        <v/>
      </c>
      <c r="H780" s="2" t="n">
        <v>38</v>
      </c>
      <c r="J780">
        <f>I780/H780</f>
        <v/>
      </c>
      <c r="K780">
        <f>H780*90</f>
        <v/>
      </c>
      <c r="M780">
        <f>L780/K780</f>
        <v/>
      </c>
    </row>
    <row r="781">
      <c r="A781" s="1" t="n">
        <v>780</v>
      </c>
      <c r="B781" s="2" t="inlineStr">
        <is>
          <t>England</t>
        </is>
      </c>
      <c r="C781" s="2" t="inlineStr">
        <is>
          <t>Ethan Nwaneri</t>
        </is>
      </c>
      <c r="D781" s="2" t="inlineStr">
        <is>
          <t>Avançado</t>
        </is>
      </c>
      <c r="E781" s="2" t="inlineStr">
        <is>
          <t>Marseille</t>
        </is>
      </c>
      <c r="F781">
        <f>VLOOKUP(E781,Clubes!B$2:D$438,2)</f>
        <v/>
      </c>
      <c r="G781">
        <f>VLOOKUP(E781,Clubes!B$2:D$438,3)</f>
        <v/>
      </c>
      <c r="H781" s="2" t="n">
        <v>34</v>
      </c>
      <c r="J781">
        <f>I781/H781</f>
        <v/>
      </c>
      <c r="K781">
        <f>H781*90</f>
        <v/>
      </c>
      <c r="M781">
        <f>L781/K781</f>
        <v/>
      </c>
    </row>
    <row r="782">
      <c r="A782" s="1" t="n">
        <v>781</v>
      </c>
      <c r="B782" s="2" t="inlineStr">
        <is>
          <t>England</t>
        </is>
      </c>
      <c r="C782" s="2" t="inlineStr">
        <is>
          <t>Rio Ngumoha</t>
        </is>
      </c>
      <c r="D782" s="2" t="inlineStr">
        <is>
          <t>Avançado</t>
        </is>
      </c>
      <c r="E782" s="2" t="inlineStr">
        <is>
          <t>Liverpool</t>
        </is>
      </c>
      <c r="F782">
        <f>VLOOKUP(E782,Clubes!B$2:D$438,2)</f>
        <v/>
      </c>
      <c r="G782">
        <f>VLOOKUP(E782,Clubes!B$2:D$438,3)</f>
        <v/>
      </c>
      <c r="H782" s="2" t="n">
        <v>38</v>
      </c>
      <c r="J782">
        <f>I782/H782</f>
        <v/>
      </c>
      <c r="K782">
        <f>H782*90</f>
        <v/>
      </c>
      <c r="M782">
        <f>L782/K782</f>
        <v/>
      </c>
    </row>
    <row r="783">
      <c r="A783" s="1" t="n">
        <v>782</v>
      </c>
      <c r="B783" s="2" t="inlineStr">
        <is>
          <t>IR Iran</t>
        </is>
      </c>
      <c r="C783" s="2" t="inlineStr">
        <is>
          <t>Alireza Beiranvand</t>
        </is>
      </c>
      <c r="D783" s="2" t="inlineStr">
        <is>
          <t>Guarda Redes</t>
        </is>
      </c>
      <c r="E783" s="2" t="inlineStr">
        <is>
          <t>Tractor Club</t>
        </is>
      </c>
      <c r="F783">
        <f>VLOOKUP(E783,Clubes!B$2:D$438,2)</f>
        <v/>
      </c>
      <c r="G783">
        <f>VLOOKUP(E783,Clubes!B$2:D$438,3)</f>
        <v/>
      </c>
      <c r="H783" s="2" t="n">
        <v>30</v>
      </c>
      <c r="J783">
        <f>I783/H783</f>
        <v/>
      </c>
      <c r="K783">
        <f>H783*90</f>
        <v/>
      </c>
      <c r="M783">
        <f>L783/K783</f>
        <v/>
      </c>
    </row>
    <row r="784">
      <c r="A784" s="1" t="n">
        <v>783</v>
      </c>
      <c r="B784" s="2" t="inlineStr">
        <is>
          <t>IR Iran</t>
        </is>
      </c>
      <c r="C784" s="2" t="inlineStr">
        <is>
          <t>Payam Niazmand</t>
        </is>
      </c>
      <c r="D784" s="2" t="inlineStr">
        <is>
          <t>Guarda Redes</t>
        </is>
      </c>
      <c r="E784" s="2" t="inlineStr">
        <is>
          <t>Persepolis FC</t>
        </is>
      </c>
      <c r="F784">
        <f>VLOOKUP(E784,Clubes!B$2:D$438,2)</f>
        <v/>
      </c>
      <c r="G784">
        <f>VLOOKUP(E784,Clubes!B$2:D$438,3)</f>
        <v/>
      </c>
      <c r="H784" s="2" t="n">
        <v>30</v>
      </c>
      <c r="J784">
        <f>I784/H784</f>
        <v/>
      </c>
      <c r="K784">
        <f>H784*90</f>
        <v/>
      </c>
      <c r="M784">
        <f>L784/K784</f>
        <v/>
      </c>
    </row>
    <row r="785">
      <c r="A785" s="1" t="n">
        <v>784</v>
      </c>
      <c r="B785" s="2" t="inlineStr">
        <is>
          <t>IR Iran</t>
        </is>
      </c>
      <c r="C785" s="2" t="inlineStr">
        <is>
          <t>Hossein Hosseini</t>
        </is>
      </c>
      <c r="D785" s="2" t="inlineStr">
        <is>
          <t>Guarda Redes</t>
        </is>
      </c>
      <c r="E785" s="2" t="inlineStr">
        <is>
          <t>Sepahan</t>
        </is>
      </c>
      <c r="F785">
        <f>VLOOKUP(E785,Clubes!B$2:D$438,2)</f>
        <v/>
      </c>
      <c r="G785">
        <f>VLOOKUP(E785,Clubes!B$2:D$438,3)</f>
        <v/>
      </c>
      <c r="H785" s="2" t="n">
        <v>30</v>
      </c>
      <c r="J785">
        <f>I785/H785</f>
        <v/>
      </c>
      <c r="K785">
        <f>H785*90</f>
        <v/>
      </c>
      <c r="M785">
        <f>L785/K785</f>
        <v/>
      </c>
    </row>
    <row r="786">
      <c r="A786" s="1" t="n">
        <v>785</v>
      </c>
      <c r="B786" s="2" t="inlineStr">
        <is>
          <t>IR Iran</t>
        </is>
      </c>
      <c r="C786" s="2" t="inlineStr">
        <is>
          <t>Saleh Hardani</t>
        </is>
      </c>
      <c r="D786" s="2" t="inlineStr">
        <is>
          <t>Defesa</t>
        </is>
      </c>
      <c r="E786" s="2" t="inlineStr">
        <is>
          <t>Esteghlal Tehran</t>
        </is>
      </c>
      <c r="F786">
        <f>VLOOKUP(E786,Clubes!B$2:D$438,2)</f>
        <v/>
      </c>
      <c r="G786">
        <f>VLOOKUP(E786,Clubes!B$2:D$438,3)</f>
        <v/>
      </c>
      <c r="H786" s="2" t="n">
        <v>30</v>
      </c>
      <c r="J786">
        <f>I786/H786</f>
        <v/>
      </c>
      <c r="K786">
        <f>H786*90</f>
        <v/>
      </c>
      <c r="M786">
        <f>L786/K786</f>
        <v/>
      </c>
    </row>
    <row r="787">
      <c r="A787" s="1" t="n">
        <v>786</v>
      </c>
      <c r="B787" s="2" t="inlineStr">
        <is>
          <t>IR Iran</t>
        </is>
      </c>
      <c r="C787" s="2" t="inlineStr">
        <is>
          <t>Aria Yousefi</t>
        </is>
      </c>
      <c r="D787" s="2" t="inlineStr">
        <is>
          <t>Defesa</t>
        </is>
      </c>
      <c r="E787" s="2" t="inlineStr">
        <is>
          <t>Sepahan</t>
        </is>
      </c>
      <c r="F787">
        <f>VLOOKUP(E787,Clubes!B$2:D$438,2)</f>
        <v/>
      </c>
      <c r="G787">
        <f>VLOOKUP(E787,Clubes!B$2:D$438,3)</f>
        <v/>
      </c>
      <c r="H787" s="2" t="n">
        <v>30</v>
      </c>
      <c r="J787">
        <f>I787/H787</f>
        <v/>
      </c>
      <c r="K787">
        <f>H787*90</f>
        <v/>
      </c>
      <c r="M787">
        <f>L787/K787</f>
        <v/>
      </c>
    </row>
    <row r="788">
      <c r="A788" s="1" t="n">
        <v>787</v>
      </c>
      <c r="B788" s="2" t="inlineStr">
        <is>
          <t>IR Iran</t>
        </is>
      </c>
      <c r="C788" s="2" t="inlineStr">
        <is>
          <t>Ramin Rezaeian</t>
        </is>
      </c>
      <c r="D788" s="2" t="inlineStr">
        <is>
          <t>Defesa</t>
        </is>
      </c>
      <c r="E788" s="2" t="inlineStr">
        <is>
          <t>Foolad FC</t>
        </is>
      </c>
      <c r="F788">
        <f>VLOOKUP(E788,Clubes!B$2:D$438,2)</f>
        <v/>
      </c>
      <c r="G788">
        <f>VLOOKUP(E788,Clubes!B$2:D$438,3)</f>
        <v/>
      </c>
      <c r="H788" s="2" t="n">
        <v>30</v>
      </c>
      <c r="J788">
        <f>I788/H788</f>
        <v/>
      </c>
      <c r="K788">
        <f>H788*90</f>
        <v/>
      </c>
      <c r="M788">
        <f>L788/K788</f>
        <v/>
      </c>
    </row>
    <row r="789">
      <c r="A789" s="1" t="n">
        <v>788</v>
      </c>
      <c r="B789" s="2" t="inlineStr">
        <is>
          <t>IR Iran</t>
        </is>
      </c>
      <c r="C789" s="2" t="inlineStr">
        <is>
          <t>Shojae Khalilzadeh</t>
        </is>
      </c>
      <c r="D789" s="2" t="inlineStr">
        <is>
          <t>Defesa</t>
        </is>
      </c>
      <c r="E789" s="2" t="inlineStr">
        <is>
          <t>Tractor Club</t>
        </is>
      </c>
      <c r="F789">
        <f>VLOOKUP(E789,Clubes!B$2:D$438,2)</f>
        <v/>
      </c>
      <c r="G789">
        <f>VLOOKUP(E789,Clubes!B$2:D$438,3)</f>
        <v/>
      </c>
      <c r="H789" s="2" t="n">
        <v>30</v>
      </c>
      <c r="J789">
        <f>I789/H789</f>
        <v/>
      </c>
      <c r="K789">
        <f>H789*90</f>
        <v/>
      </c>
      <c r="M789">
        <f>L789/K789</f>
        <v/>
      </c>
    </row>
    <row r="790">
      <c r="A790" s="1" t="n">
        <v>789</v>
      </c>
      <c r="B790" s="2" t="inlineStr">
        <is>
          <t>IR Iran</t>
        </is>
      </c>
      <c r="C790" s="2" t="inlineStr">
        <is>
          <t>Hossein Kanaani</t>
        </is>
      </c>
      <c r="D790" s="2" t="inlineStr">
        <is>
          <t>Defesa</t>
        </is>
      </c>
      <c r="E790" s="2" t="inlineStr">
        <is>
          <t>Persepolis FC</t>
        </is>
      </c>
      <c r="F790">
        <f>VLOOKUP(E790,Clubes!B$2:D$438,2)</f>
        <v/>
      </c>
      <c r="G790">
        <f>VLOOKUP(E790,Clubes!B$2:D$438,3)</f>
        <v/>
      </c>
      <c r="H790" s="2" t="n">
        <v>30</v>
      </c>
      <c r="J790">
        <f>I790/H790</f>
        <v/>
      </c>
      <c r="K790">
        <f>H790*90</f>
        <v/>
      </c>
      <c r="M790">
        <f>L790/K790</f>
        <v/>
      </c>
    </row>
    <row r="791">
      <c r="A791" s="1" t="n">
        <v>790</v>
      </c>
      <c r="B791" s="2" t="inlineStr">
        <is>
          <t>IR Iran</t>
        </is>
      </c>
      <c r="C791" s="2" t="inlineStr">
        <is>
          <t>Roozbeh Cheshmi</t>
        </is>
      </c>
      <c r="D791" s="2" t="inlineStr">
        <is>
          <t>Defesa</t>
        </is>
      </c>
      <c r="E791" s="2" t="inlineStr">
        <is>
          <t>Esteghlal Tehran</t>
        </is>
      </c>
      <c r="F791">
        <f>VLOOKUP(E791,Clubes!B$2:D$438,2)</f>
        <v/>
      </c>
      <c r="G791">
        <f>VLOOKUP(E791,Clubes!B$2:D$438,3)</f>
        <v/>
      </c>
      <c r="H791" s="2" t="n">
        <v>30</v>
      </c>
      <c r="J791">
        <f>I791/H791</f>
        <v/>
      </c>
      <c r="K791">
        <f>H791*90</f>
        <v/>
      </c>
      <c r="M791">
        <f>L791/K791</f>
        <v/>
      </c>
    </row>
    <row r="792">
      <c r="A792" s="1" t="n">
        <v>791</v>
      </c>
      <c r="B792" s="2" t="inlineStr">
        <is>
          <t>IR Iran</t>
        </is>
      </c>
      <c r="C792" s="2" t="inlineStr">
        <is>
          <t>Ali Nemati</t>
        </is>
      </c>
      <c r="D792" s="2" t="inlineStr">
        <is>
          <t>Defesa</t>
        </is>
      </c>
      <c r="E792" s="2" t="inlineStr">
        <is>
          <t>Foolad FC</t>
        </is>
      </c>
      <c r="F792">
        <f>VLOOKUP(E792,Clubes!B$2:D$438,2)</f>
        <v/>
      </c>
      <c r="G792">
        <f>VLOOKUP(E792,Clubes!B$2:D$438,3)</f>
        <v/>
      </c>
      <c r="H792" s="2" t="n">
        <v>30</v>
      </c>
      <c r="J792">
        <f>I792/H792</f>
        <v/>
      </c>
      <c r="K792">
        <f>H792*90</f>
        <v/>
      </c>
      <c r="M792">
        <f>L792/K792</f>
        <v/>
      </c>
    </row>
    <row r="793">
      <c r="A793" s="1" t="n">
        <v>792</v>
      </c>
      <c r="B793" s="2" t="inlineStr">
        <is>
          <t>IR Iran</t>
        </is>
      </c>
      <c r="C793" s="2" t="inlineStr">
        <is>
          <t>Danial Iri</t>
        </is>
      </c>
      <c r="D793" s="2" t="inlineStr">
        <is>
          <t>Defesa</t>
        </is>
      </c>
      <c r="E793" s="2" t="inlineStr">
        <is>
          <t>Malavan FC</t>
        </is>
      </c>
      <c r="F793">
        <f>VLOOKUP(E793,Clubes!B$2:D$438,2)</f>
        <v/>
      </c>
      <c r="G793">
        <f>VLOOKUP(E793,Clubes!B$2:D$438,3)</f>
        <v/>
      </c>
      <c r="H793" s="2" t="n">
        <v>30</v>
      </c>
      <c r="J793">
        <f>I793/H793</f>
        <v/>
      </c>
      <c r="K793">
        <f>H793*90</f>
        <v/>
      </c>
      <c r="M793">
        <f>L793/K793</f>
        <v/>
      </c>
    </row>
    <row r="794">
      <c r="A794" s="1" t="n">
        <v>793</v>
      </c>
      <c r="B794" s="2" t="inlineStr">
        <is>
          <t>IR Iran</t>
        </is>
      </c>
      <c r="C794" s="2" t="inlineStr">
        <is>
          <t>Ehsan Hajsafi</t>
        </is>
      </c>
      <c r="D794" s="2" t="inlineStr">
        <is>
          <t>Defesa</t>
        </is>
      </c>
      <c r="E794" s="2" t="inlineStr">
        <is>
          <t>Sepahan</t>
        </is>
      </c>
      <c r="F794">
        <f>VLOOKUP(E794,Clubes!B$2:D$438,2)</f>
        <v/>
      </c>
      <c r="G794">
        <f>VLOOKUP(E794,Clubes!B$2:D$438,3)</f>
        <v/>
      </c>
      <c r="H794" s="2" t="n">
        <v>30</v>
      </c>
      <c r="J794">
        <f>I794/H794</f>
        <v/>
      </c>
      <c r="K794">
        <f>H794*90</f>
        <v/>
      </c>
      <c r="M794">
        <f>L794/K794</f>
        <v/>
      </c>
    </row>
    <row r="795">
      <c r="A795" s="1" t="n">
        <v>794</v>
      </c>
      <c r="B795" s="2" t="inlineStr">
        <is>
          <t>IR Iran</t>
        </is>
      </c>
      <c r="C795" s="2" t="inlineStr">
        <is>
          <t>Milad Mohammadi</t>
        </is>
      </c>
      <c r="D795" s="2" t="inlineStr">
        <is>
          <t>Defesa</t>
        </is>
      </c>
      <c r="E795" s="2" t="inlineStr">
        <is>
          <t>Persepolis FC</t>
        </is>
      </c>
      <c r="F795">
        <f>VLOOKUP(E795,Clubes!B$2:D$438,2)</f>
        <v/>
      </c>
      <c r="G795">
        <f>VLOOKUP(E795,Clubes!B$2:D$438,3)</f>
        <v/>
      </c>
      <c r="H795" s="2" t="n">
        <v>30</v>
      </c>
      <c r="J795">
        <f>I795/H795</f>
        <v/>
      </c>
      <c r="K795">
        <f>H795*90</f>
        <v/>
      </c>
      <c r="M795">
        <f>L795/K795</f>
        <v/>
      </c>
    </row>
    <row r="796">
      <c r="A796" s="1" t="n">
        <v>795</v>
      </c>
      <c r="B796" s="2" t="inlineStr">
        <is>
          <t>IR Iran</t>
        </is>
      </c>
      <c r="C796" s="2" t="inlineStr">
        <is>
          <t>Saeid Ezatolahi</t>
        </is>
      </c>
      <c r="D796" s="2" t="inlineStr">
        <is>
          <t>Médio</t>
        </is>
      </c>
      <c r="E796" s="2" t="inlineStr">
        <is>
          <t>Al Ahli</t>
        </is>
      </c>
      <c r="F796">
        <f>VLOOKUP(E796,Clubes!B$2:D$438,2)</f>
        <v/>
      </c>
      <c r="G796">
        <f>VLOOKUP(E796,Clubes!B$2:D$438,3)</f>
        <v/>
      </c>
      <c r="H796" s="2" t="n">
        <v>22</v>
      </c>
      <c r="J796">
        <f>I796/H796</f>
        <v/>
      </c>
      <c r="K796">
        <f>H796*90</f>
        <v/>
      </c>
      <c r="M796">
        <f>L796/K796</f>
        <v/>
      </c>
    </row>
    <row r="797">
      <c r="A797" s="1" t="n">
        <v>796</v>
      </c>
      <c r="B797" s="2" t="inlineStr">
        <is>
          <t>IR Iran</t>
        </is>
      </c>
      <c r="C797" s="2" t="inlineStr">
        <is>
          <t>Mohammad Ghorbani</t>
        </is>
      </c>
      <c r="D797" s="2" t="inlineStr">
        <is>
          <t>Médio</t>
        </is>
      </c>
      <c r="E797" s="2" t="inlineStr">
        <is>
          <t>Al Wahda</t>
        </is>
      </c>
      <c r="F797">
        <f>VLOOKUP(E797,Clubes!B$2:D$438,2)</f>
        <v/>
      </c>
      <c r="G797">
        <f>VLOOKUP(E797,Clubes!B$2:D$438,3)</f>
        <v/>
      </c>
      <c r="H797" s="2" t="n">
        <v>26</v>
      </c>
      <c r="J797">
        <f>I797/H797</f>
        <v/>
      </c>
      <c r="K797">
        <f>H797*90</f>
        <v/>
      </c>
      <c r="M797">
        <f>L797/K797</f>
        <v/>
      </c>
    </row>
    <row r="798">
      <c r="A798" s="1" t="n">
        <v>797</v>
      </c>
      <c r="B798" s="2" t="inlineStr">
        <is>
          <t>IR Iran</t>
        </is>
      </c>
      <c r="C798" s="2" t="inlineStr">
        <is>
          <t>Amir Razzaghinia</t>
        </is>
      </c>
      <c r="D798" s="2" t="inlineStr">
        <is>
          <t>Médio</t>
        </is>
      </c>
      <c r="E798" s="2" t="inlineStr">
        <is>
          <t>Esteghlal Tehran</t>
        </is>
      </c>
      <c r="F798">
        <f>VLOOKUP(E798,Clubes!B$2:D$438,2)</f>
        <v/>
      </c>
      <c r="G798">
        <f>VLOOKUP(E798,Clubes!B$2:D$438,3)</f>
        <v/>
      </c>
      <c r="H798" s="2" t="n">
        <v>30</v>
      </c>
      <c r="J798">
        <f>I798/H798</f>
        <v/>
      </c>
      <c r="K798">
        <f>H798*90</f>
        <v/>
      </c>
      <c r="M798">
        <f>L798/K798</f>
        <v/>
      </c>
    </row>
    <row r="799">
      <c r="A799" s="1" t="n">
        <v>798</v>
      </c>
      <c r="B799" s="2" t="inlineStr">
        <is>
          <t>IR Iran</t>
        </is>
      </c>
      <c r="C799" s="2" t="inlineStr">
        <is>
          <t>Mohammad Mohebi</t>
        </is>
      </c>
      <c r="D799" s="2" t="inlineStr">
        <is>
          <t>Médio</t>
        </is>
      </c>
      <c r="E799" s="2" t="inlineStr">
        <is>
          <t>FK Rostov</t>
        </is>
      </c>
      <c r="F799">
        <f>VLOOKUP(E799,Clubes!B$2:D$438,2)</f>
        <v/>
      </c>
      <c r="G799">
        <f>VLOOKUP(E799,Clubes!B$2:D$438,3)</f>
        <v/>
      </c>
      <c r="H799" s="2" t="n">
        <v>38</v>
      </c>
      <c r="J799">
        <f>I799/H799</f>
        <v/>
      </c>
      <c r="K799">
        <f>H799*90</f>
        <v/>
      </c>
      <c r="M799">
        <f>L799/K799</f>
        <v/>
      </c>
    </row>
    <row r="800">
      <c r="A800" s="1" t="n">
        <v>799</v>
      </c>
      <c r="B800" s="2" t="inlineStr">
        <is>
          <t>IR Iran</t>
        </is>
      </c>
      <c r="C800" s="2" t="inlineStr">
        <is>
          <t>Alireza Jahanbakhsh</t>
        </is>
      </c>
      <c r="D800" s="2" t="inlineStr">
        <is>
          <t>Avançado</t>
        </is>
      </c>
      <c r="E800" s="2" t="inlineStr">
        <is>
          <t>FCV Dender</t>
        </is>
      </c>
      <c r="F800">
        <f>VLOOKUP(E800,Clubes!B$2:D$438,2)</f>
        <v/>
      </c>
      <c r="G800">
        <f>VLOOKUP(E800,Clubes!B$2:D$438,3)</f>
        <v/>
      </c>
      <c r="H800" s="2" t="n">
        <v>40</v>
      </c>
      <c r="J800">
        <f>I800/H800</f>
        <v/>
      </c>
      <c r="K800">
        <f>H800*90</f>
        <v/>
      </c>
      <c r="M800">
        <f>L800/K800</f>
        <v/>
      </c>
    </row>
    <row r="801">
      <c r="A801" s="1" t="n">
        <v>800</v>
      </c>
      <c r="B801" s="2" t="inlineStr">
        <is>
          <t>IR Iran</t>
        </is>
      </c>
      <c r="C801" s="2" t="inlineStr">
        <is>
          <t>Saman Ghoddos</t>
        </is>
      </c>
      <c r="D801" s="2" t="inlineStr">
        <is>
          <t>Avançado</t>
        </is>
      </c>
      <c r="E801" s="2" t="inlineStr">
        <is>
          <t>Al Ittihad Kalba</t>
        </is>
      </c>
      <c r="F801">
        <f>VLOOKUP(E801,Clubes!B$2:D$438,2)</f>
        <v/>
      </c>
      <c r="G801">
        <f>VLOOKUP(E801,Clubes!B$2:D$438,3)</f>
        <v/>
      </c>
      <c r="H801" s="2" t="n">
        <v>26</v>
      </c>
      <c r="J801">
        <f>I801/H801</f>
        <v/>
      </c>
      <c r="K801">
        <f>H801*90</f>
        <v/>
      </c>
      <c r="M801">
        <f>L801/K801</f>
        <v/>
      </c>
    </row>
    <row r="802">
      <c r="A802" s="1" t="n">
        <v>801</v>
      </c>
      <c r="B802" s="2" t="inlineStr">
        <is>
          <t>IR Iran</t>
        </is>
      </c>
      <c r="C802" s="2" t="inlineStr">
        <is>
          <t>Mehdi Torabi</t>
        </is>
      </c>
      <c r="D802" s="2" t="inlineStr">
        <is>
          <t>Avançado</t>
        </is>
      </c>
      <c r="E802" s="2" t="inlineStr">
        <is>
          <t>Tractor Club</t>
        </is>
      </c>
      <c r="F802">
        <f>VLOOKUP(E802,Clubes!B$2:D$438,2)</f>
        <v/>
      </c>
      <c r="G802">
        <f>VLOOKUP(E802,Clubes!B$2:D$438,3)</f>
        <v/>
      </c>
      <c r="H802" s="2" t="n">
        <v>30</v>
      </c>
      <c r="J802">
        <f>I802/H802</f>
        <v/>
      </c>
      <c r="K802">
        <f>H802*90</f>
        <v/>
      </c>
      <c r="M802">
        <f>L802/K802</f>
        <v/>
      </c>
    </row>
    <row r="803">
      <c r="A803" s="1" t="n">
        <v>802</v>
      </c>
      <c r="B803" s="2" t="inlineStr">
        <is>
          <t>IR Iran</t>
        </is>
      </c>
      <c r="C803" s="2" t="inlineStr">
        <is>
          <t>Dennis Ayensa</t>
        </is>
      </c>
      <c r="D803" s="2" t="inlineStr">
        <is>
          <t>Avançado</t>
        </is>
      </c>
      <c r="E803" s="2" t="inlineStr">
        <is>
          <t>Standard Liège</t>
        </is>
      </c>
      <c r="F803">
        <f>VLOOKUP(E803,Clubes!B$2:D$438,2)</f>
        <v/>
      </c>
      <c r="G803">
        <f>VLOOKUP(E803,Clubes!B$2:D$438,3)</f>
        <v/>
      </c>
      <c r="H803" s="2" t="n">
        <v>40</v>
      </c>
      <c r="J803">
        <f>I803/H803</f>
        <v/>
      </c>
      <c r="K803">
        <f>H803*90</f>
        <v/>
      </c>
      <c r="M803">
        <f>L803/K803</f>
        <v/>
      </c>
    </row>
    <row r="804">
      <c r="A804" s="1" t="n">
        <v>803</v>
      </c>
      <c r="B804" s="2" t="inlineStr">
        <is>
          <t>IR Iran</t>
        </is>
      </c>
      <c r="C804" s="2" t="inlineStr">
        <is>
          <t>Mehdi Taremi</t>
        </is>
      </c>
      <c r="D804" s="2" t="inlineStr">
        <is>
          <t>Avançado</t>
        </is>
      </c>
      <c r="E804" s="2" t="inlineStr">
        <is>
          <t>Olympiacos</t>
        </is>
      </c>
      <c r="F804">
        <f>VLOOKUP(E804,Clubes!B$2:D$438,2)</f>
        <v/>
      </c>
      <c r="G804">
        <f>VLOOKUP(E804,Clubes!B$2:D$438,3)</f>
        <v/>
      </c>
      <c r="H804" s="2" t="n">
        <v>36</v>
      </c>
      <c r="J804">
        <f>I804/H804</f>
        <v/>
      </c>
      <c r="K804">
        <f>H804*90</f>
        <v/>
      </c>
      <c r="M804">
        <f>L804/K804</f>
        <v/>
      </c>
    </row>
    <row r="805">
      <c r="A805" s="1" t="n">
        <v>804</v>
      </c>
      <c r="B805" s="2" t="inlineStr">
        <is>
          <t>IR Iran</t>
        </is>
      </c>
      <c r="C805" s="2" t="inlineStr">
        <is>
          <t>Ali Alipour</t>
        </is>
      </c>
      <c r="D805" s="2" t="inlineStr">
        <is>
          <t>Avançado</t>
        </is>
      </c>
      <c r="E805" s="2" t="inlineStr">
        <is>
          <t>Persepolis FC</t>
        </is>
      </c>
      <c r="F805">
        <f>VLOOKUP(E805,Clubes!B$2:D$438,2)</f>
        <v/>
      </c>
      <c r="G805">
        <f>VLOOKUP(E805,Clubes!B$2:D$438,3)</f>
        <v/>
      </c>
      <c r="H805" s="2" t="n">
        <v>30</v>
      </c>
      <c r="J805">
        <f>I805/H805</f>
        <v/>
      </c>
      <c r="K805">
        <f>H805*90</f>
        <v/>
      </c>
      <c r="M805">
        <f>L805/K805</f>
        <v/>
      </c>
    </row>
    <row r="806">
      <c r="A806" s="1" t="n">
        <v>805</v>
      </c>
      <c r="B806" s="2" t="inlineStr">
        <is>
          <t>IR Iran</t>
        </is>
      </c>
      <c r="C806" s="2" t="inlineStr">
        <is>
          <t>Amirhossein Hosseinzadeh</t>
        </is>
      </c>
      <c r="D806" s="2" t="inlineStr">
        <is>
          <t>Avançado</t>
        </is>
      </c>
      <c r="E806" s="2" t="inlineStr">
        <is>
          <t>Tractor Club</t>
        </is>
      </c>
      <c r="F806">
        <f>VLOOKUP(E806,Clubes!B$2:D$438,2)</f>
        <v/>
      </c>
      <c r="G806">
        <f>VLOOKUP(E806,Clubes!B$2:D$438,3)</f>
        <v/>
      </c>
      <c r="H806" s="2" t="n">
        <v>30</v>
      </c>
      <c r="J806">
        <f>I806/H806</f>
        <v/>
      </c>
      <c r="K806">
        <f>H806*90</f>
        <v/>
      </c>
      <c r="M806">
        <f>L806/K806</f>
        <v/>
      </c>
    </row>
    <row r="807">
      <c r="A807" s="1" t="n">
        <v>806</v>
      </c>
      <c r="B807" s="2" t="inlineStr">
        <is>
          <t>IR Iran</t>
        </is>
      </c>
      <c r="C807" s="2" t="inlineStr">
        <is>
          <t>Shahriar Moghanlou</t>
        </is>
      </c>
      <c r="D807" s="2" t="inlineStr">
        <is>
          <t>Avançado</t>
        </is>
      </c>
      <c r="E807" s="2" t="inlineStr">
        <is>
          <t>Al Ittihad Kalba</t>
        </is>
      </c>
      <c r="F807">
        <f>VLOOKUP(E807,Clubes!B$2:D$438,2)</f>
        <v/>
      </c>
      <c r="G807">
        <f>VLOOKUP(E807,Clubes!B$2:D$438,3)</f>
        <v/>
      </c>
      <c r="H807" s="2" t="n">
        <v>26</v>
      </c>
      <c r="J807">
        <f>I807/H807</f>
        <v/>
      </c>
      <c r="K807">
        <f>H807*90</f>
        <v/>
      </c>
      <c r="M807">
        <f>L807/K807</f>
        <v/>
      </c>
    </row>
    <row r="808">
      <c r="A808" s="1" t="n">
        <v>807</v>
      </c>
      <c r="B808" s="2" t="inlineStr">
        <is>
          <t>IR Iran</t>
        </is>
      </c>
      <c r="C808" s="2" t="inlineStr">
        <is>
          <t>Mehdi Ghaedi</t>
        </is>
      </c>
      <c r="D808" s="2" t="inlineStr">
        <is>
          <t>Avançado</t>
        </is>
      </c>
      <c r="E808" s="2" t="inlineStr">
        <is>
          <t>Al-Nasr</t>
        </is>
      </c>
      <c r="F808">
        <f>VLOOKUP(E808,Clubes!B$2:D$438,2)</f>
        <v/>
      </c>
      <c r="G808">
        <f>VLOOKUP(E808,Clubes!B$2:D$438,3)</f>
        <v/>
      </c>
      <c r="H808" s="2" t="n">
        <v>26</v>
      </c>
      <c r="J808">
        <f>I808/H808</f>
        <v/>
      </c>
      <c r="K808">
        <f>H808*90</f>
        <v/>
      </c>
      <c r="M808">
        <f>L808/K808</f>
        <v/>
      </c>
    </row>
    <row r="809">
      <c r="A809" s="1" t="n">
        <v>808</v>
      </c>
      <c r="B809" s="2" t="inlineStr">
        <is>
          <t>Iraq</t>
        </is>
      </c>
      <c r="C809" s="2" t="inlineStr">
        <is>
          <t>Kumel Al Rekabe</t>
        </is>
      </c>
      <c r="D809" s="2" t="inlineStr">
        <is>
          <t>Guarda Redes</t>
        </is>
      </c>
      <c r="E809" s="2" t="inlineStr">
        <is>
          <t>Erbil</t>
        </is>
      </c>
      <c r="F809">
        <f>VLOOKUP(E809,Clubes!B$2:D$438,2)</f>
        <v/>
      </c>
      <c r="G809">
        <f>VLOOKUP(E809,Clubes!B$2:D$438,3)</f>
        <v/>
      </c>
      <c r="H809" s="2" t="n">
        <v>38</v>
      </c>
      <c r="J809">
        <f>I809/H809</f>
        <v/>
      </c>
      <c r="K809">
        <f>H809*90</f>
        <v/>
      </c>
      <c r="M809">
        <f>L809/K809</f>
        <v/>
      </c>
    </row>
    <row r="810">
      <c r="A810" s="1" t="n">
        <v>809</v>
      </c>
      <c r="B810" s="2" t="inlineStr">
        <is>
          <t>Iraq</t>
        </is>
      </c>
      <c r="C810" s="2" t="inlineStr">
        <is>
          <t>Ahmed Basil</t>
        </is>
      </c>
      <c r="D810" s="2" t="inlineStr">
        <is>
          <t>Guarda Redes</t>
        </is>
      </c>
      <c r="E810" s="2" t="inlineStr">
        <is>
          <t>Al-Shorta Bagdad</t>
        </is>
      </c>
      <c r="F810">
        <f>VLOOKUP(E810,Clubes!B$2:D$438,2)</f>
        <v/>
      </c>
      <c r="G810">
        <f>VLOOKUP(E810,Clubes!B$2:D$438,3)</f>
        <v/>
      </c>
      <c r="H810" s="2" t="n">
        <v>38</v>
      </c>
      <c r="J810">
        <f>I810/H810</f>
        <v/>
      </c>
      <c r="K810">
        <f>H810*90</f>
        <v/>
      </c>
      <c r="M810">
        <f>L810/K810</f>
        <v/>
      </c>
    </row>
    <row r="811">
      <c r="A811" s="1" t="n">
        <v>810</v>
      </c>
      <c r="B811" s="2" t="inlineStr">
        <is>
          <t>Iraq</t>
        </is>
      </c>
      <c r="C811" s="2" t="inlineStr">
        <is>
          <t>Fahad Talib</t>
        </is>
      </c>
      <c r="D811" s="2" t="inlineStr">
        <is>
          <t>Guarda Redes</t>
        </is>
      </c>
      <c r="E811" s="2" t="inlineStr">
        <is>
          <t>Al-Talaba</t>
        </is>
      </c>
      <c r="F811">
        <f>VLOOKUP(E811,Clubes!B$2:D$438,2)</f>
        <v/>
      </c>
      <c r="G811">
        <f>VLOOKUP(E811,Clubes!B$2:D$438,3)</f>
        <v/>
      </c>
      <c r="H811" s="2" t="n">
        <v>38</v>
      </c>
      <c r="J811">
        <f>I811/H811</f>
        <v/>
      </c>
      <c r="K811">
        <f>H811*90</f>
        <v/>
      </c>
      <c r="M811">
        <f>L811/K811</f>
        <v/>
      </c>
    </row>
    <row r="812">
      <c r="A812" s="1" t="n">
        <v>811</v>
      </c>
      <c r="B812" s="2" t="inlineStr">
        <is>
          <t>Iraq</t>
        </is>
      </c>
      <c r="C812" s="2" t="inlineStr">
        <is>
          <t>Jalal Hassan</t>
        </is>
      </c>
      <c r="D812" s="2" t="inlineStr">
        <is>
          <t>Guarda Redes</t>
        </is>
      </c>
      <c r="E812" s="2" t="inlineStr">
        <is>
          <t>Al-Zawra´a</t>
        </is>
      </c>
      <c r="F812">
        <f>VLOOKUP(E812,Clubes!B$2:D$438,2)</f>
        <v/>
      </c>
      <c r="G812">
        <f>VLOOKUP(E812,Clubes!B$2:D$438,3)</f>
        <v/>
      </c>
      <c r="H812" s="2" t="n">
        <v>38</v>
      </c>
      <c r="J812">
        <f>I812/H812</f>
        <v/>
      </c>
      <c r="K812">
        <f>H812*90</f>
        <v/>
      </c>
      <c r="M812">
        <f>L812/K812</f>
        <v/>
      </c>
    </row>
    <row r="813">
      <c r="A813" s="1" t="n">
        <v>812</v>
      </c>
      <c r="B813" s="2" t="inlineStr">
        <is>
          <t>Iraq</t>
        </is>
      </c>
      <c r="C813" s="2" t="inlineStr">
        <is>
          <t>Frans Putros</t>
        </is>
      </c>
      <c r="D813" s="2" t="inlineStr">
        <is>
          <t>Defesa</t>
        </is>
      </c>
      <c r="E813" s="2" t="inlineStr">
        <is>
          <t>Persib Bandung</t>
        </is>
      </c>
      <c r="F813">
        <f>VLOOKUP(E813,Clubes!B$2:D$438,2)</f>
        <v/>
      </c>
      <c r="G813">
        <f>VLOOKUP(E813,Clubes!B$2:D$438,3)</f>
        <v/>
      </c>
      <c r="H813" s="2" t="n">
        <v>34</v>
      </c>
      <c r="J813">
        <f>I813/H813</f>
        <v/>
      </c>
      <c r="K813">
        <f>H813*90</f>
        <v/>
      </c>
      <c r="M813">
        <f>L813/K813</f>
        <v/>
      </c>
    </row>
    <row r="814" ht="16" customHeight="1" s="25">
      <c r="A814" s="1" t="n">
        <v>813</v>
      </c>
      <c r="B814" s="2" t="inlineStr">
        <is>
          <t>Iraq</t>
        </is>
      </c>
      <c r="C814" s="2" t="inlineStr">
        <is>
          <t>Ahmed Yahia</t>
        </is>
      </c>
      <c r="D814" s="2" t="inlineStr">
        <is>
          <t>Defesa</t>
        </is>
      </c>
      <c r="E814" s="3" t="n"/>
      <c r="F814">
        <f>VLOOKUP(E814,Clubes!B$2:D$438,2)</f>
        <v/>
      </c>
      <c r="G814">
        <f>VLOOKUP(E814,Clubes!B$2:D$438,3)</f>
        <v/>
      </c>
      <c r="H814" s="3" t="n"/>
      <c r="J814">
        <f>I814/H814</f>
        <v/>
      </c>
      <c r="K814">
        <f>H814*90</f>
        <v/>
      </c>
      <c r="M814">
        <f>L814/K814</f>
        <v/>
      </c>
    </row>
    <row r="815">
      <c r="A815" s="1" t="n">
        <v>814</v>
      </c>
      <c r="B815" s="2" t="inlineStr">
        <is>
          <t>Iraq</t>
        </is>
      </c>
      <c r="C815" s="2" t="inlineStr">
        <is>
          <t>Maytham Jabbar</t>
        </is>
      </c>
      <c r="D815" s="2" t="inlineStr">
        <is>
          <t>Defesa</t>
        </is>
      </c>
      <c r="E815" s="2" t="inlineStr">
        <is>
          <t>Al-Zawra´a</t>
        </is>
      </c>
      <c r="F815">
        <f>VLOOKUP(E815,Clubes!B$2:D$438,2)</f>
        <v/>
      </c>
      <c r="G815">
        <f>VLOOKUP(E815,Clubes!B$2:D$438,3)</f>
        <v/>
      </c>
      <c r="H815" s="2" t="n">
        <v>38</v>
      </c>
      <c r="J815">
        <f>I815/H815</f>
        <v/>
      </c>
      <c r="K815">
        <f>H815*90</f>
        <v/>
      </c>
      <c r="M815">
        <f>L815/K815</f>
        <v/>
      </c>
    </row>
    <row r="816">
      <c r="A816" s="1" t="n">
        <v>815</v>
      </c>
      <c r="B816" s="2" t="inlineStr">
        <is>
          <t>Iraq</t>
        </is>
      </c>
      <c r="C816" s="2" t="inlineStr">
        <is>
          <t>Hussein Ali</t>
        </is>
      </c>
      <c r="D816" s="2" t="inlineStr">
        <is>
          <t>Defesa</t>
        </is>
      </c>
      <c r="E816" s="2" t="inlineStr">
        <is>
          <t>Pogon Szczecin</t>
        </is>
      </c>
      <c r="F816">
        <f>VLOOKUP(E816,Clubes!B$2:D$438,2)</f>
        <v/>
      </c>
      <c r="G816">
        <f>VLOOKUP(E816,Clubes!B$2:D$438,3)</f>
        <v/>
      </c>
      <c r="H816" s="2" t="n">
        <v>34</v>
      </c>
      <c r="J816">
        <f>I816/H816</f>
        <v/>
      </c>
      <c r="K816">
        <f>H816*90</f>
        <v/>
      </c>
      <c r="M816">
        <f>L816/K816</f>
        <v/>
      </c>
    </row>
    <row r="817">
      <c r="A817" s="1" t="n">
        <v>816</v>
      </c>
      <c r="B817" s="2" t="inlineStr">
        <is>
          <t>Iraq</t>
        </is>
      </c>
      <c r="C817" s="2" t="inlineStr">
        <is>
          <t>Zaid Tahseen</t>
        </is>
      </c>
      <c r="D817" s="2" t="inlineStr">
        <is>
          <t>Defesa</t>
        </is>
      </c>
      <c r="E817" s="2" t="inlineStr">
        <is>
          <t>Al-Quwa Al-Jawiya</t>
        </is>
      </c>
      <c r="F817">
        <f>VLOOKUP(E817,Clubes!B$2:D$438,2)</f>
        <v/>
      </c>
      <c r="G817">
        <f>VLOOKUP(E817,Clubes!B$2:D$438,3)</f>
        <v/>
      </c>
      <c r="H817" s="2" t="n">
        <v>38</v>
      </c>
      <c r="J817">
        <f>I817/H817</f>
        <v/>
      </c>
      <c r="K817">
        <f>H817*90</f>
        <v/>
      </c>
      <c r="M817">
        <f>L817/K817</f>
        <v/>
      </c>
    </row>
    <row r="818">
      <c r="A818" s="1" t="n">
        <v>817</v>
      </c>
      <c r="B818" s="2" t="inlineStr">
        <is>
          <t>Iraq</t>
        </is>
      </c>
      <c r="C818" s="2" t="inlineStr">
        <is>
          <t>Akam Hashim</t>
        </is>
      </c>
      <c r="D818" s="2" t="inlineStr">
        <is>
          <t>Defesa</t>
        </is>
      </c>
      <c r="E818" s="2" t="inlineStr">
        <is>
          <t>Al-Zawra´a</t>
        </is>
      </c>
      <c r="F818">
        <f>VLOOKUP(E818,Clubes!B$2:D$438,2)</f>
        <v/>
      </c>
      <c r="G818">
        <f>VLOOKUP(E818,Clubes!B$2:D$438,3)</f>
        <v/>
      </c>
      <c r="H818" s="2" t="n">
        <v>38</v>
      </c>
      <c r="J818">
        <f>I818/H818</f>
        <v/>
      </c>
      <c r="K818">
        <f>H818*90</f>
        <v/>
      </c>
      <c r="M818">
        <f>L818/K818</f>
        <v/>
      </c>
    </row>
    <row r="819">
      <c r="A819" s="1" t="n">
        <v>818</v>
      </c>
      <c r="B819" s="2" t="inlineStr">
        <is>
          <t>Iraq</t>
        </is>
      </c>
      <c r="C819" s="2" t="inlineStr">
        <is>
          <t>Mustafa Saadoun</t>
        </is>
      </c>
      <c r="D819" s="2" t="inlineStr">
        <is>
          <t>Defesa</t>
        </is>
      </c>
      <c r="E819" s="2" t="inlineStr">
        <is>
          <t>Al-Quwa Al-Jawiya</t>
        </is>
      </c>
      <c r="F819">
        <f>VLOOKUP(E819,Clubes!B$2:D$438,2)</f>
        <v/>
      </c>
      <c r="G819">
        <f>VLOOKUP(E819,Clubes!B$2:D$438,3)</f>
        <v/>
      </c>
      <c r="H819" s="2" t="n">
        <v>38</v>
      </c>
      <c r="J819">
        <f>I819/H819</f>
        <v/>
      </c>
      <c r="K819">
        <f>H819*90</f>
        <v/>
      </c>
      <c r="M819">
        <f>L819/K819</f>
        <v/>
      </c>
    </row>
    <row r="820">
      <c r="A820" s="1" t="n">
        <v>819</v>
      </c>
      <c r="B820" s="2" t="inlineStr">
        <is>
          <t>Iraq</t>
        </is>
      </c>
      <c r="C820" s="2" t="inlineStr">
        <is>
          <t>Ahmed Yahya</t>
        </is>
      </c>
      <c r="D820" s="2" t="inlineStr">
        <is>
          <t>Defesa</t>
        </is>
      </c>
      <c r="E820" s="2" t="inlineStr">
        <is>
          <t>Al-Shorta Bagdad</t>
        </is>
      </c>
      <c r="F820">
        <f>VLOOKUP(E820,Clubes!B$2:D$438,2)</f>
        <v/>
      </c>
      <c r="G820">
        <f>VLOOKUP(E820,Clubes!B$2:D$438,3)</f>
        <v/>
      </c>
      <c r="H820" s="2" t="n">
        <v>38</v>
      </c>
      <c r="J820">
        <f>I820/H820</f>
        <v/>
      </c>
      <c r="K820">
        <f>H820*90</f>
        <v/>
      </c>
      <c r="M820">
        <f>L820/K820</f>
        <v/>
      </c>
    </row>
    <row r="821">
      <c r="A821" s="1" t="n">
        <v>820</v>
      </c>
      <c r="B821" s="2" t="inlineStr">
        <is>
          <t>Iraq</t>
        </is>
      </c>
      <c r="C821" s="2" t="inlineStr">
        <is>
          <t>Rebin Sulaka</t>
        </is>
      </c>
      <c r="D821" s="2" t="inlineStr">
        <is>
          <t>Defesa</t>
        </is>
      </c>
      <c r="E821" s="2" t="inlineStr">
        <is>
          <t>Port FC</t>
        </is>
      </c>
      <c r="F821">
        <f>VLOOKUP(E821,Clubes!B$2:D$438,2)</f>
        <v/>
      </c>
      <c r="G821">
        <f>VLOOKUP(E821,Clubes!B$2:D$438,3)</f>
        <v/>
      </c>
      <c r="H821" s="2" t="n">
        <v>30</v>
      </c>
      <c r="J821">
        <f>I821/H821</f>
        <v/>
      </c>
      <c r="K821">
        <f>H821*90</f>
        <v/>
      </c>
      <c r="M821">
        <f>L821/K821</f>
        <v/>
      </c>
    </row>
    <row r="822">
      <c r="A822" s="1" t="n">
        <v>821</v>
      </c>
      <c r="B822" s="2" t="inlineStr">
        <is>
          <t>Iraq</t>
        </is>
      </c>
      <c r="C822" s="2" t="inlineStr">
        <is>
          <t>Ahmad Hasan</t>
        </is>
      </c>
      <c r="D822" s="2" t="inlineStr">
        <is>
          <t>Defesa</t>
        </is>
      </c>
      <c r="E822" s="2" t="inlineStr">
        <is>
          <t>Al-Karma</t>
        </is>
      </c>
      <c r="F822">
        <f>VLOOKUP(E822,Clubes!B$2:D$438,2)</f>
        <v/>
      </c>
      <c r="G822">
        <f>VLOOKUP(E822,Clubes!B$2:D$438,3)</f>
        <v/>
      </c>
      <c r="H822" s="2" t="n">
        <v>38</v>
      </c>
      <c r="J822">
        <f>I822/H822</f>
        <v/>
      </c>
      <c r="K822">
        <f>H822*90</f>
        <v/>
      </c>
      <c r="M822">
        <f>L822/K822</f>
        <v/>
      </c>
    </row>
    <row r="823">
      <c r="A823" s="1" t="n">
        <v>822</v>
      </c>
      <c r="B823" s="2" t="inlineStr">
        <is>
          <t>Iraq</t>
        </is>
      </c>
      <c r="C823" s="2" t="inlineStr">
        <is>
          <t>Manaf Younis</t>
        </is>
      </c>
      <c r="D823" s="2" t="inlineStr">
        <is>
          <t>Defesa</t>
        </is>
      </c>
      <c r="E823" s="2" t="inlineStr">
        <is>
          <t>Al-Shorta Bagdad</t>
        </is>
      </c>
      <c r="F823">
        <f>VLOOKUP(E823,Clubes!B$2:D$438,2)</f>
        <v/>
      </c>
      <c r="G823">
        <f>VLOOKUP(E823,Clubes!B$2:D$438,3)</f>
        <v/>
      </c>
      <c r="H823" s="2" t="n">
        <v>38</v>
      </c>
      <c r="J823">
        <f>I823/H823</f>
        <v/>
      </c>
      <c r="K823">
        <f>H823*90</f>
        <v/>
      </c>
      <c r="M823">
        <f>L823/K823</f>
        <v/>
      </c>
    </row>
    <row r="824">
      <c r="A824" s="1" t="n">
        <v>823</v>
      </c>
      <c r="B824" s="2" t="inlineStr">
        <is>
          <t>Iraq</t>
        </is>
      </c>
      <c r="C824" s="2" t="inlineStr">
        <is>
          <t>Merchas Doski</t>
        </is>
      </c>
      <c r="D824" s="2" t="inlineStr">
        <is>
          <t>Defesa</t>
        </is>
      </c>
      <c r="E824" s="2" t="inlineStr">
        <is>
          <t>Viktoria Plzeň</t>
        </is>
      </c>
      <c r="F824">
        <f>VLOOKUP(E824,Clubes!B$2:D$438,2)</f>
        <v/>
      </c>
      <c r="G824">
        <f>VLOOKUP(E824,Clubes!B$2:D$438,3)</f>
        <v/>
      </c>
      <c r="H824" s="2" t="n">
        <v>35</v>
      </c>
      <c r="J824">
        <f>I824/H824</f>
        <v/>
      </c>
      <c r="K824">
        <f>H824*90</f>
        <v/>
      </c>
      <c r="M824">
        <f>L824/K824</f>
        <v/>
      </c>
    </row>
    <row r="825">
      <c r="A825" s="1" t="n">
        <v>824</v>
      </c>
      <c r="B825" s="2" t="inlineStr">
        <is>
          <t>Iraq</t>
        </is>
      </c>
      <c r="C825" s="2" t="inlineStr">
        <is>
          <t>Dario Naamo</t>
        </is>
      </c>
      <c r="D825" s="2" t="inlineStr">
        <is>
          <t>Defesa</t>
        </is>
      </c>
      <c r="E825" s="2" t="inlineStr">
        <is>
          <t>Dundee United</t>
        </is>
      </c>
      <c r="F825">
        <f>VLOOKUP(E825,Clubes!B$2:D$438,2)</f>
        <v/>
      </c>
      <c r="G825">
        <f>VLOOKUP(E825,Clubes!B$2:D$438,3)</f>
        <v/>
      </c>
      <c r="H825" s="2" t="n">
        <v>38</v>
      </c>
      <c r="J825">
        <f>I825/H825</f>
        <v/>
      </c>
      <c r="K825">
        <f>H825*90</f>
        <v/>
      </c>
      <c r="M825">
        <f>L825/K825</f>
        <v/>
      </c>
    </row>
    <row r="826">
      <c r="A826" s="1" t="n">
        <v>825</v>
      </c>
      <c r="B826" s="2" t="inlineStr">
        <is>
          <t>Iraq</t>
        </is>
      </c>
      <c r="C826" s="2" t="inlineStr">
        <is>
          <t>Amir Al-Ammari</t>
        </is>
      </c>
      <c r="D826" s="2" t="inlineStr">
        <is>
          <t>Médio</t>
        </is>
      </c>
      <c r="E826" s="2" t="inlineStr">
        <is>
          <t>KS Cracovia</t>
        </is>
      </c>
      <c r="F826">
        <f>VLOOKUP(E826,Clubes!B$2:D$438,2)</f>
        <v/>
      </c>
      <c r="G826">
        <f>VLOOKUP(E826,Clubes!B$2:D$438,3)</f>
        <v/>
      </c>
      <c r="H826" s="2" t="n">
        <v>34</v>
      </c>
      <c r="J826">
        <f>I826/H826</f>
        <v/>
      </c>
      <c r="K826">
        <f>H826*90</f>
        <v/>
      </c>
      <c r="M826">
        <f>L826/K826</f>
        <v/>
      </c>
    </row>
    <row r="827">
      <c r="A827" s="1" t="n">
        <v>826</v>
      </c>
      <c r="B827" s="2" t="inlineStr">
        <is>
          <t>Iraq</t>
        </is>
      </c>
      <c r="C827" s="2" t="inlineStr">
        <is>
          <t>Ahmed Qasem</t>
        </is>
      </c>
      <c r="D827" s="2" t="inlineStr">
        <is>
          <t>Médio</t>
        </is>
      </c>
      <c r="E827" s="2" t="inlineStr">
        <is>
          <t>Nashville SC</t>
        </is>
      </c>
      <c r="F827">
        <f>VLOOKUP(E827,Clubes!B$2:D$438,2)</f>
        <v/>
      </c>
      <c r="G827">
        <f>VLOOKUP(E827,Clubes!B$2:D$438,3)</f>
        <v/>
      </c>
      <c r="H827" s="2" t="n">
        <v>34</v>
      </c>
      <c r="J827">
        <f>I827/H827</f>
        <v/>
      </c>
      <c r="K827">
        <f>H827*90</f>
        <v/>
      </c>
      <c r="M827">
        <f>L827/K827</f>
        <v/>
      </c>
    </row>
    <row r="828">
      <c r="A828" s="1" t="n">
        <v>827</v>
      </c>
      <c r="B828" s="2" t="inlineStr">
        <is>
          <t>Iraq</t>
        </is>
      </c>
      <c r="C828" s="2" t="inlineStr">
        <is>
          <t>Zidane Iqbal</t>
        </is>
      </c>
      <c r="D828" s="2" t="inlineStr">
        <is>
          <t>Médio</t>
        </is>
      </c>
      <c r="E828" s="2" t="inlineStr">
        <is>
          <t>FC Utrecht</t>
        </is>
      </c>
      <c r="F828">
        <f>VLOOKUP(E828,Clubes!B$2:D$438,2)</f>
        <v/>
      </c>
      <c r="G828">
        <f>VLOOKUP(E828,Clubes!B$2:D$438,3)</f>
        <v/>
      </c>
      <c r="H828" s="2" t="n">
        <v>34</v>
      </c>
      <c r="J828">
        <f>I828/H828</f>
        <v/>
      </c>
      <c r="K828">
        <f>H828*90</f>
        <v/>
      </c>
      <c r="M828">
        <f>L828/K828</f>
        <v/>
      </c>
    </row>
    <row r="829">
      <c r="A829" s="1" t="n">
        <v>828</v>
      </c>
      <c r="B829" s="2" t="inlineStr">
        <is>
          <t>Iraq</t>
        </is>
      </c>
      <c r="C829" s="2" t="inlineStr">
        <is>
          <t>Kevin Yakob</t>
        </is>
      </c>
      <c r="D829" s="2" t="inlineStr">
        <is>
          <t>Médio</t>
        </is>
      </c>
      <c r="E829" s="2" t="inlineStr">
        <is>
          <t>AGF Aarhus</t>
        </is>
      </c>
      <c r="F829">
        <f>VLOOKUP(E829,Clubes!B$2:D$438,2)</f>
        <v/>
      </c>
      <c r="G829">
        <f>VLOOKUP(E829,Clubes!B$2:D$438,3)</f>
        <v/>
      </c>
      <c r="H829" s="2" t="n">
        <v>32</v>
      </c>
      <c r="J829">
        <f>I829/H829</f>
        <v/>
      </c>
      <c r="K829">
        <f>H829*90</f>
        <v/>
      </c>
      <c r="M829">
        <f>L829/K829</f>
        <v/>
      </c>
    </row>
    <row r="830">
      <c r="A830" s="1" t="n">
        <v>829</v>
      </c>
      <c r="B830" s="2" t="inlineStr">
        <is>
          <t>Iraq</t>
        </is>
      </c>
      <c r="C830" s="2" t="inlineStr">
        <is>
          <t>Aimar Sher</t>
        </is>
      </c>
      <c r="D830" s="2" t="inlineStr">
        <is>
          <t>Médio</t>
        </is>
      </c>
      <c r="E830" s="2" t="inlineStr">
        <is>
          <t>Sarpsborg 08</t>
        </is>
      </c>
      <c r="F830">
        <f>VLOOKUP(E830,Clubes!B$2:D$438,2)</f>
        <v/>
      </c>
      <c r="G830">
        <f>VLOOKUP(E830,Clubes!B$2:D$438,3)</f>
        <v/>
      </c>
      <c r="H830" s="2" t="n">
        <v>40</v>
      </c>
      <c r="J830">
        <f>I830/H830</f>
        <v/>
      </c>
      <c r="K830">
        <f>H830*90</f>
        <v/>
      </c>
      <c r="M830">
        <f>L830/K830</f>
        <v/>
      </c>
    </row>
    <row r="831">
      <c r="A831" s="1" t="n">
        <v>830</v>
      </c>
      <c r="B831" s="2" t="inlineStr">
        <is>
          <t>Iraq</t>
        </is>
      </c>
      <c r="C831" s="2" t="inlineStr">
        <is>
          <t>Marko Farji</t>
        </is>
      </c>
      <c r="D831" s="2" t="inlineStr">
        <is>
          <t>Médio</t>
        </is>
      </c>
      <c r="E831" s="2" t="inlineStr">
        <is>
          <t>Venezia</t>
        </is>
      </c>
      <c r="F831">
        <f>VLOOKUP(E831,Clubes!B$2:D$438,2)</f>
        <v/>
      </c>
      <c r="G831">
        <f>VLOOKUP(E831,Clubes!B$2:D$438,3)</f>
        <v/>
      </c>
      <c r="H831" s="2" t="n">
        <v>38</v>
      </c>
      <c r="J831">
        <f>I831/H831</f>
        <v/>
      </c>
      <c r="K831">
        <f>H831*90</f>
        <v/>
      </c>
      <c r="M831">
        <f>L831/K831</f>
        <v/>
      </c>
    </row>
    <row r="832">
      <c r="A832" s="1" t="n">
        <v>831</v>
      </c>
      <c r="B832" s="2" t="inlineStr">
        <is>
          <t>Iraq</t>
        </is>
      </c>
      <c r="C832" s="2" t="inlineStr">
        <is>
          <t>Zaid Ismail</t>
        </is>
      </c>
      <c r="D832" s="2" t="inlineStr">
        <is>
          <t>Médio</t>
        </is>
      </c>
      <c r="E832" s="2" t="inlineStr">
        <is>
          <t>Al-Talaba</t>
        </is>
      </c>
      <c r="F832">
        <f>VLOOKUP(E832,Clubes!B$2:D$438,2)</f>
        <v/>
      </c>
      <c r="G832">
        <f>VLOOKUP(E832,Clubes!B$2:D$438,3)</f>
        <v/>
      </c>
      <c r="H832" s="2" t="n">
        <v>38</v>
      </c>
      <c r="J832">
        <f>I832/H832</f>
        <v/>
      </c>
      <c r="K832">
        <f>H832*90</f>
        <v/>
      </c>
      <c r="M832">
        <f>L832/K832</f>
        <v/>
      </c>
    </row>
    <row r="833">
      <c r="A833" s="1" t="n">
        <v>832</v>
      </c>
      <c r="B833" s="2" t="inlineStr">
        <is>
          <t>Iraq</t>
        </is>
      </c>
      <c r="C833" s="2" t="inlineStr">
        <is>
          <t>Jussef Nasrawe</t>
        </is>
      </c>
      <c r="D833" s="2" t="inlineStr">
        <is>
          <t>Médio</t>
        </is>
      </c>
      <c r="E833" s="2" t="inlineStr">
        <is>
          <t>SV Ried</t>
        </is>
      </c>
      <c r="F833">
        <f>VLOOKUP(E833,Clubes!B$2:D$438,2)</f>
        <v/>
      </c>
      <c r="G833">
        <f>VLOOKUP(E833,Clubes!B$2:D$438,3)</f>
        <v/>
      </c>
      <c r="H833" s="2" t="n">
        <v>26</v>
      </c>
      <c r="J833">
        <f>I833/H833</f>
        <v/>
      </c>
      <c r="K833">
        <f>H833*90</f>
        <v/>
      </c>
      <c r="M833">
        <f>L833/K833</f>
        <v/>
      </c>
    </row>
    <row r="834">
      <c r="A834" s="1" t="n">
        <v>833</v>
      </c>
      <c r="B834" s="2" t="inlineStr">
        <is>
          <t>Iraq</t>
        </is>
      </c>
      <c r="C834" s="2" t="inlineStr">
        <is>
          <t>Ali Al-Hamadi</t>
        </is>
      </c>
      <c r="D834" s="2" t="inlineStr">
        <is>
          <t>Avançado</t>
        </is>
      </c>
      <c r="E834" s="2" t="inlineStr">
        <is>
          <t>Luton Town</t>
        </is>
      </c>
      <c r="F834">
        <f>VLOOKUP(E834,Clubes!B$2:D$438,2)</f>
        <v/>
      </c>
      <c r="G834">
        <f>VLOOKUP(E834,Clubes!B$2:D$438,3)</f>
        <v/>
      </c>
      <c r="H834" s="2" t="n">
        <v>46</v>
      </c>
      <c r="J834">
        <f>I834/H834</f>
        <v/>
      </c>
      <c r="K834">
        <f>H834*90</f>
        <v/>
      </c>
      <c r="M834">
        <f>L834/K834</f>
        <v/>
      </c>
    </row>
    <row r="835">
      <c r="A835" s="1" t="n">
        <v>834</v>
      </c>
      <c r="B835" s="2" t="inlineStr">
        <is>
          <t>Iraq</t>
        </is>
      </c>
      <c r="C835" s="2" t="inlineStr">
        <is>
          <t>Ali Jasim</t>
        </is>
      </c>
      <c r="D835" s="2" t="inlineStr">
        <is>
          <t>Avançado</t>
        </is>
      </c>
      <c r="E835" s="2" t="inlineStr">
        <is>
          <t>Al-Najma</t>
        </is>
      </c>
      <c r="F835">
        <f>VLOOKUP(E835,Clubes!B$2:D$438,2)</f>
        <v/>
      </c>
      <c r="G835">
        <f>VLOOKUP(E835,Clubes!B$2:D$438,3)</f>
        <v/>
      </c>
      <c r="H835" s="2" t="n">
        <v>34</v>
      </c>
      <c r="J835">
        <f>I835/H835</f>
        <v/>
      </c>
      <c r="K835">
        <f>H835*90</f>
        <v/>
      </c>
      <c r="M835">
        <f>L835/K835</f>
        <v/>
      </c>
    </row>
    <row r="836">
      <c r="A836" s="1" t="n">
        <v>835</v>
      </c>
      <c r="B836" s="2" t="inlineStr">
        <is>
          <t>Iraq</t>
        </is>
      </c>
      <c r="C836" s="2" t="inlineStr">
        <is>
          <t>Ali Yousif</t>
        </is>
      </c>
      <c r="D836" s="2" t="inlineStr">
        <is>
          <t>Avançado</t>
        </is>
      </c>
      <c r="E836" s="2" t="inlineStr">
        <is>
          <t>Al-Talaba</t>
        </is>
      </c>
      <c r="F836">
        <f>VLOOKUP(E836,Clubes!B$2:D$438,2)</f>
        <v/>
      </c>
      <c r="G836">
        <f>VLOOKUP(E836,Clubes!B$2:D$438,3)</f>
        <v/>
      </c>
      <c r="H836" s="2" t="n">
        <v>38</v>
      </c>
      <c r="J836">
        <f>I836/H836</f>
        <v/>
      </c>
      <c r="K836">
        <f>H836*90</f>
        <v/>
      </c>
      <c r="M836">
        <f>L836/K836</f>
        <v/>
      </c>
    </row>
    <row r="837">
      <c r="A837" s="1" t="n">
        <v>836</v>
      </c>
      <c r="B837" s="2" t="inlineStr">
        <is>
          <t>Iraq</t>
        </is>
      </c>
      <c r="C837" s="2" t="inlineStr">
        <is>
          <t>Mohanad Ali</t>
        </is>
      </c>
      <c r="D837" s="2" t="inlineStr">
        <is>
          <t>Avançado</t>
        </is>
      </c>
      <c r="E837" s="2" t="inlineStr">
        <is>
          <t>Dibba Al Fujairah</t>
        </is>
      </c>
      <c r="F837">
        <f>VLOOKUP(E837,Clubes!B$2:D$438,2)</f>
        <v/>
      </c>
      <c r="G837">
        <f>VLOOKUP(E837,Clubes!B$2:D$438,3)</f>
        <v/>
      </c>
      <c r="H837" s="2" t="n">
        <v>26</v>
      </c>
      <c r="J837">
        <f>I837/H837</f>
        <v/>
      </c>
      <c r="K837">
        <f>H837*90</f>
        <v/>
      </c>
      <c r="M837">
        <f>L837/K837</f>
        <v/>
      </c>
    </row>
    <row r="838">
      <c r="A838" s="1" t="n">
        <v>837</v>
      </c>
      <c r="B838" s="2" t="inlineStr">
        <is>
          <t>Iraq</t>
        </is>
      </c>
      <c r="C838" s="2" t="inlineStr">
        <is>
          <t>Hasan Abdulkareem</t>
        </is>
      </c>
      <c r="D838" s="2" t="inlineStr">
        <is>
          <t>Avançado</t>
        </is>
      </c>
      <c r="E838" s="2" t="inlineStr">
        <is>
          <t>Al-Zawra´a</t>
        </is>
      </c>
      <c r="F838">
        <f>VLOOKUP(E838,Clubes!B$2:D$438,2)</f>
        <v/>
      </c>
      <c r="G838">
        <f>VLOOKUP(E838,Clubes!B$2:D$438,3)</f>
        <v/>
      </c>
      <c r="H838" s="2" t="n">
        <v>38</v>
      </c>
      <c r="J838">
        <f>I838/H838</f>
        <v/>
      </c>
      <c r="K838">
        <f>H838*90</f>
        <v/>
      </c>
      <c r="M838">
        <f>L838/K838</f>
        <v/>
      </c>
    </row>
    <row r="839">
      <c r="A839" s="1" t="n">
        <v>838</v>
      </c>
      <c r="B839" s="2" t="inlineStr">
        <is>
          <t>Iraq</t>
        </is>
      </c>
      <c r="C839" s="2" t="inlineStr">
        <is>
          <t>Ayman Hussein</t>
        </is>
      </c>
      <c r="D839" s="2" t="inlineStr">
        <is>
          <t>Avançado</t>
        </is>
      </c>
      <c r="E839" s="2" t="inlineStr">
        <is>
          <t>Al-Karma</t>
        </is>
      </c>
      <c r="F839">
        <f>VLOOKUP(E839,Clubes!B$2:D$438,2)</f>
        <v/>
      </c>
      <c r="G839">
        <f>VLOOKUP(E839,Clubes!B$2:D$438,3)</f>
        <v/>
      </c>
      <c r="H839" s="2" t="n">
        <v>38</v>
      </c>
      <c r="J839">
        <f>I839/H839</f>
        <v/>
      </c>
      <c r="K839">
        <f>H839*90</f>
        <v/>
      </c>
      <c r="M839">
        <f>L839/K839</f>
        <v/>
      </c>
    </row>
    <row r="840">
      <c r="A840" s="1" t="n">
        <v>839</v>
      </c>
      <c r="B840" s="2" t="inlineStr">
        <is>
          <t>Iraq</t>
        </is>
      </c>
      <c r="C840" s="2" t="inlineStr">
        <is>
          <t>Ibrahim Bayesh</t>
        </is>
      </c>
      <c r="D840" s="2" t="inlineStr">
        <is>
          <t>Avançado</t>
        </is>
      </c>
      <c r="E840" s="2" t="inlineStr">
        <is>
          <t>Al Dhafra</t>
        </is>
      </c>
      <c r="F840">
        <f>VLOOKUP(E840,Clubes!B$2:D$438,2)</f>
        <v/>
      </c>
      <c r="G840">
        <f>VLOOKUP(E840,Clubes!B$2:D$438,3)</f>
        <v/>
      </c>
      <c r="H840" s="2" t="n">
        <v>30</v>
      </c>
      <c r="J840">
        <f>I840/H840</f>
        <v/>
      </c>
      <c r="K840">
        <f>H840*90</f>
        <v/>
      </c>
      <c r="M840">
        <f>L840/K840</f>
        <v/>
      </c>
    </row>
    <row r="841">
      <c r="A841" s="1" t="n">
        <v>840</v>
      </c>
      <c r="B841" s="2" t="inlineStr">
        <is>
          <t>Iraq</t>
        </is>
      </c>
      <c r="C841" s="2" t="inlineStr">
        <is>
          <t>Youssef Amyn</t>
        </is>
      </c>
      <c r="D841" s="2" t="inlineStr">
        <is>
          <t>Avançado</t>
        </is>
      </c>
      <c r="E841" s="2" t="inlineStr">
        <is>
          <t>AEK Larnaca</t>
        </is>
      </c>
      <c r="F841">
        <f>VLOOKUP(E841,Clubes!B$2:D$438,2)</f>
        <v/>
      </c>
      <c r="G841">
        <f>VLOOKUP(E841,Clubes!B$2:D$438,3)</f>
        <v/>
      </c>
      <c r="H841" s="2" t="n">
        <v>36</v>
      </c>
      <c r="J841">
        <f>I841/H841</f>
        <v/>
      </c>
      <c r="K841">
        <f>H841*90</f>
        <v/>
      </c>
      <c r="M841">
        <f>L841/K841</f>
        <v/>
      </c>
    </row>
    <row r="842">
      <c r="A842" s="1" t="n">
        <v>841</v>
      </c>
      <c r="B842" s="2" t="inlineStr">
        <is>
          <t>Iraq</t>
        </is>
      </c>
      <c r="C842" s="2" t="inlineStr">
        <is>
          <t>Karar Nabeel</t>
        </is>
      </c>
      <c r="D842" s="2" t="inlineStr">
        <is>
          <t>Avançado</t>
        </is>
      </c>
      <c r="E842" s="2" t="inlineStr">
        <is>
          <t>Al-Zawra´a</t>
        </is>
      </c>
      <c r="F842">
        <f>VLOOKUP(E842,Clubes!B$2:D$438,2)</f>
        <v/>
      </c>
      <c r="G842">
        <f>VLOOKUP(E842,Clubes!B$2:D$438,3)</f>
        <v/>
      </c>
      <c r="H842" s="2" t="n">
        <v>38</v>
      </c>
      <c r="J842">
        <f>I842/H842</f>
        <v/>
      </c>
      <c r="K842">
        <f>H842*90</f>
        <v/>
      </c>
      <c r="M842">
        <f>L842/K842</f>
        <v/>
      </c>
    </row>
    <row r="843">
      <c r="A843" s="1" t="n">
        <v>842</v>
      </c>
      <c r="B843" s="2" t="inlineStr">
        <is>
          <t>Iraq</t>
        </is>
      </c>
      <c r="C843" s="2" t="inlineStr">
        <is>
          <t>Peter Gwargis</t>
        </is>
      </c>
      <c r="D843" s="2" t="inlineStr">
        <is>
          <t>Avançado</t>
        </is>
      </c>
      <c r="E843" s="2" t="inlineStr">
        <is>
          <t>Duhok</t>
        </is>
      </c>
      <c r="F843">
        <f>VLOOKUP(E843,Clubes!B$2:D$438,2)</f>
        <v/>
      </c>
      <c r="G843">
        <f>VLOOKUP(E843,Clubes!B$2:D$438,3)</f>
        <v/>
      </c>
      <c r="H843" s="2" t="n">
        <v>38</v>
      </c>
      <c r="J843">
        <f>I843/H843</f>
        <v/>
      </c>
      <c r="K843">
        <f>H843*90</f>
        <v/>
      </c>
      <c r="M843">
        <f>L843/K843</f>
        <v/>
      </c>
    </row>
    <row r="844">
      <c r="A844" s="1" t="n">
        <v>843</v>
      </c>
      <c r="B844" s="2" t="inlineStr">
        <is>
          <t>Japan</t>
        </is>
      </c>
      <c r="C844" s="2" t="inlineStr">
        <is>
          <t>Zion Suzuki</t>
        </is>
      </c>
      <c r="D844" s="2" t="inlineStr">
        <is>
          <t>Guarda Redes</t>
        </is>
      </c>
      <c r="E844" s="2" t="inlineStr">
        <is>
          <t>Parma</t>
        </is>
      </c>
      <c r="F844">
        <f>VLOOKUP(E844,Clubes!B$2:D$438,2)</f>
        <v/>
      </c>
      <c r="G844">
        <f>VLOOKUP(E844,Clubes!B$2:D$438,3)</f>
        <v/>
      </c>
      <c r="H844" s="2" t="n">
        <v>38</v>
      </c>
      <c r="J844">
        <f>I844/H844</f>
        <v/>
      </c>
      <c r="K844">
        <f>H844*90</f>
        <v/>
      </c>
      <c r="M844">
        <f>L844/K844</f>
        <v/>
      </c>
    </row>
    <row r="845">
      <c r="A845" s="1" t="n">
        <v>844</v>
      </c>
      <c r="B845" s="2" t="inlineStr">
        <is>
          <t>Japan</t>
        </is>
      </c>
      <c r="C845" s="2" t="inlineStr">
        <is>
          <t>Keisuke Osako</t>
        </is>
      </c>
      <c r="D845" s="2" t="inlineStr">
        <is>
          <t>Guarda Redes</t>
        </is>
      </c>
      <c r="E845" s="2" t="inlineStr">
        <is>
          <t>Sanfrecce Hiroshima</t>
        </is>
      </c>
      <c r="F845">
        <f>VLOOKUP(E845,Clubes!B$2:D$438,2)</f>
        <v/>
      </c>
      <c r="G845">
        <f>VLOOKUP(E845,Clubes!B$2:D$438,3)</f>
        <v/>
      </c>
      <c r="H845" s="2" t="n">
        <v>40</v>
      </c>
      <c r="J845">
        <f>I845/H845</f>
        <v/>
      </c>
      <c r="K845">
        <f>H845*90</f>
        <v/>
      </c>
      <c r="M845">
        <f>L845/K845</f>
        <v/>
      </c>
    </row>
    <row r="846">
      <c r="A846" s="1" t="n">
        <v>845</v>
      </c>
      <c r="B846" s="2" t="inlineStr">
        <is>
          <t>Japan</t>
        </is>
      </c>
      <c r="C846" s="2" t="inlineStr">
        <is>
          <t>Tomoki Hayakawa</t>
        </is>
      </c>
      <c r="D846" s="2" t="inlineStr">
        <is>
          <t>Guarda Redes</t>
        </is>
      </c>
      <c r="E846" s="2" t="inlineStr">
        <is>
          <t>Kashima Antlers</t>
        </is>
      </c>
      <c r="F846">
        <f>VLOOKUP(E846,Clubes!B$2:D$438,2)</f>
        <v/>
      </c>
      <c r="G846">
        <f>VLOOKUP(E846,Clubes!B$2:D$438,3)</f>
        <v/>
      </c>
      <c r="H846" s="2" t="n">
        <v>38</v>
      </c>
      <c r="J846">
        <f>I846/H846</f>
        <v/>
      </c>
      <c r="K846">
        <f>H846*90</f>
        <v/>
      </c>
      <c r="M846">
        <f>L846/K846</f>
        <v/>
      </c>
    </row>
    <row r="847">
      <c r="A847" s="1" t="n">
        <v>846</v>
      </c>
      <c r="B847" s="2" t="inlineStr">
        <is>
          <t>Japan</t>
        </is>
      </c>
      <c r="C847" s="2" t="inlineStr">
        <is>
          <t>Yukinari Sugawara</t>
        </is>
      </c>
      <c r="D847" s="2" t="inlineStr">
        <is>
          <t>Defesa</t>
        </is>
      </c>
      <c r="E847" s="2" t="inlineStr">
        <is>
          <t>Werder Bremen</t>
        </is>
      </c>
      <c r="F847">
        <f>VLOOKUP(E847,Clubes!B$2:D$438,2)</f>
        <v/>
      </c>
      <c r="G847">
        <f>VLOOKUP(E847,Clubes!B$2:D$438,3)</f>
        <v/>
      </c>
      <c r="H847" s="2" t="n">
        <v>32</v>
      </c>
      <c r="J847">
        <f>I847/H847</f>
        <v/>
      </c>
      <c r="K847">
        <f>H847*90</f>
        <v/>
      </c>
      <c r="M847">
        <f>L847/K847</f>
        <v/>
      </c>
    </row>
    <row r="848">
      <c r="A848" s="1" t="n">
        <v>847</v>
      </c>
      <c r="B848" s="2" t="inlineStr">
        <is>
          <t>Japan</t>
        </is>
      </c>
      <c r="C848" s="2" t="inlineStr">
        <is>
          <t>Takehiro Tomiyasu</t>
        </is>
      </c>
      <c r="D848" s="2" t="inlineStr">
        <is>
          <t>Defesa</t>
        </is>
      </c>
      <c r="E848" s="2" t="inlineStr">
        <is>
          <t>Ajax</t>
        </is>
      </c>
      <c r="F848">
        <f>VLOOKUP(E848,Clubes!B$2:D$438,2)</f>
        <v/>
      </c>
      <c r="G848">
        <f>VLOOKUP(E848,Clubes!B$2:D$438,3)</f>
        <v/>
      </c>
      <c r="H848" s="2" t="n">
        <v>34</v>
      </c>
      <c r="J848">
        <f>I848/H848</f>
        <v/>
      </c>
      <c r="K848">
        <f>H848*90</f>
        <v/>
      </c>
      <c r="M848">
        <f>L848/K848</f>
        <v/>
      </c>
    </row>
    <row r="849">
      <c r="A849" s="1" t="n">
        <v>848</v>
      </c>
      <c r="B849" s="2" t="inlineStr">
        <is>
          <t>Japan</t>
        </is>
      </c>
      <c r="C849" s="2" t="inlineStr">
        <is>
          <t>Shogo Taniguchi</t>
        </is>
      </c>
      <c r="D849" s="2" t="inlineStr">
        <is>
          <t>Defesa</t>
        </is>
      </c>
      <c r="E849" s="2" t="inlineStr">
        <is>
          <t>Sint-Truiden</t>
        </is>
      </c>
      <c r="F849">
        <f>VLOOKUP(E849,Clubes!B$2:D$438,2)</f>
        <v/>
      </c>
      <c r="G849">
        <f>VLOOKUP(E849,Clubes!B$2:D$438,3)</f>
        <v/>
      </c>
      <c r="H849" s="2" t="n">
        <v>40</v>
      </c>
      <c r="J849">
        <f>I849/H849</f>
        <v/>
      </c>
      <c r="K849">
        <f>H849*90</f>
        <v/>
      </c>
      <c r="M849">
        <f>L849/K849</f>
        <v/>
      </c>
    </row>
    <row r="850">
      <c r="A850" s="1" t="n">
        <v>849</v>
      </c>
      <c r="B850" s="2" t="inlineStr">
        <is>
          <t>Japan</t>
        </is>
      </c>
      <c r="C850" s="2" t="inlineStr">
        <is>
          <t>Ko Itakura</t>
        </is>
      </c>
      <c r="D850" s="2" t="inlineStr">
        <is>
          <t>Defesa</t>
        </is>
      </c>
      <c r="E850" s="2" t="inlineStr">
        <is>
          <t>Ajax</t>
        </is>
      </c>
      <c r="F850">
        <f>VLOOKUP(E850,Clubes!B$2:D$438,2)</f>
        <v/>
      </c>
      <c r="G850">
        <f>VLOOKUP(E850,Clubes!B$2:D$438,3)</f>
        <v/>
      </c>
      <c r="H850" s="2" t="n">
        <v>34</v>
      </c>
      <c r="J850">
        <f>I850/H850</f>
        <v/>
      </c>
      <c r="K850">
        <f>H850*90</f>
        <v/>
      </c>
      <c r="M850">
        <f>L850/K850</f>
        <v/>
      </c>
    </row>
    <row r="851">
      <c r="A851" s="1" t="n">
        <v>850</v>
      </c>
      <c r="B851" s="2" t="inlineStr">
        <is>
          <t>Japan</t>
        </is>
      </c>
      <c r="C851" s="2" t="inlineStr">
        <is>
          <t>Tsuyoshi Watanabe</t>
        </is>
      </c>
      <c r="D851" s="2" t="inlineStr">
        <is>
          <t>Defesa</t>
        </is>
      </c>
      <c r="E851" s="2" t="inlineStr">
        <is>
          <t>Feyenoord</t>
        </is>
      </c>
      <c r="F851">
        <f>VLOOKUP(E851,Clubes!B$2:D$438,2)</f>
        <v/>
      </c>
      <c r="G851">
        <f>VLOOKUP(E851,Clubes!B$2:D$438,3)</f>
        <v/>
      </c>
      <c r="H851" s="2" t="n">
        <v>40</v>
      </c>
      <c r="J851">
        <f>I851/H851</f>
        <v/>
      </c>
      <c r="K851">
        <f>H851*90</f>
        <v/>
      </c>
      <c r="M851">
        <f>L851/K851</f>
        <v/>
      </c>
    </row>
    <row r="852">
      <c r="A852" s="1" t="n">
        <v>851</v>
      </c>
      <c r="B852" s="2" t="inlineStr">
        <is>
          <t>Japan</t>
        </is>
      </c>
      <c r="C852" s="2" t="inlineStr">
        <is>
          <t>Hiroki Ito</t>
        </is>
      </c>
      <c r="D852" s="2" t="inlineStr">
        <is>
          <t>Defesa</t>
        </is>
      </c>
      <c r="E852" s="2" t="inlineStr">
        <is>
          <t>Bayern München</t>
        </is>
      </c>
      <c r="F852">
        <f>VLOOKUP(E852,Clubes!B$2:D$438,2)</f>
        <v/>
      </c>
      <c r="G852">
        <f>VLOOKUP(E852,Clubes!B$2:D$438,3)</f>
        <v/>
      </c>
      <c r="H852" s="2" t="n">
        <v>34</v>
      </c>
      <c r="J852">
        <f>I852/H852</f>
        <v/>
      </c>
      <c r="K852">
        <f>H852*90</f>
        <v/>
      </c>
      <c r="M852">
        <f>L852/K852</f>
        <v/>
      </c>
    </row>
    <row r="853">
      <c r="A853" s="1" t="n">
        <v>852</v>
      </c>
      <c r="B853" s="2" t="inlineStr">
        <is>
          <t>Japan</t>
        </is>
      </c>
      <c r="C853" s="2" t="inlineStr">
        <is>
          <t>Junnosuke Suzuki</t>
        </is>
      </c>
      <c r="D853" s="2" t="inlineStr">
        <is>
          <t>Defesa</t>
        </is>
      </c>
      <c r="E853" s="2" t="inlineStr">
        <is>
          <t>FC Kobenhavn</t>
        </is>
      </c>
      <c r="F853">
        <f>VLOOKUP(E853,Clubes!B$2:D$438,2)</f>
        <v/>
      </c>
      <c r="G853">
        <f>VLOOKUP(E853,Clubes!B$2:D$438,3)</f>
        <v/>
      </c>
      <c r="H853" s="2" t="n">
        <v>32</v>
      </c>
      <c r="J853">
        <f>I853/H853</f>
        <v/>
      </c>
      <c r="K853">
        <f>H853*90</f>
        <v/>
      </c>
      <c r="M853">
        <f>L853/K853</f>
        <v/>
      </c>
    </row>
    <row r="854">
      <c r="A854" s="1" t="n">
        <v>853</v>
      </c>
      <c r="B854" s="2" t="inlineStr">
        <is>
          <t>Japan</t>
        </is>
      </c>
      <c r="C854" s="2" t="inlineStr">
        <is>
          <t>Yuto Nagatomo</t>
        </is>
      </c>
      <c r="D854" s="2" t="inlineStr">
        <is>
          <t>Defesa</t>
        </is>
      </c>
      <c r="E854" s="2" t="inlineStr">
        <is>
          <t>FC Tokyo</t>
        </is>
      </c>
      <c r="F854">
        <f>VLOOKUP(E854,Clubes!B$2:D$438,2)</f>
        <v/>
      </c>
      <c r="G854">
        <f>VLOOKUP(E854,Clubes!B$2:D$438,3)</f>
        <v/>
      </c>
      <c r="H854" s="2" t="n">
        <v>38</v>
      </c>
      <c r="J854">
        <f>I854/H854</f>
        <v/>
      </c>
      <c r="K854">
        <f>H854*90</f>
        <v/>
      </c>
      <c r="M854">
        <f>L854/K854</f>
        <v/>
      </c>
    </row>
    <row r="855">
      <c r="A855" s="1" t="n">
        <v>854</v>
      </c>
      <c r="B855" s="2" t="inlineStr">
        <is>
          <t>Japan</t>
        </is>
      </c>
      <c r="C855" s="2" t="inlineStr">
        <is>
          <t>Wataru Endo</t>
        </is>
      </c>
      <c r="D855" s="2" t="inlineStr">
        <is>
          <t>Médio</t>
        </is>
      </c>
      <c r="E855" s="2" t="inlineStr">
        <is>
          <t>Liverpool</t>
        </is>
      </c>
      <c r="F855">
        <f>VLOOKUP(E855,Clubes!B$2:D$438,2)</f>
        <v/>
      </c>
      <c r="G855">
        <f>VLOOKUP(E855,Clubes!B$2:D$438,3)</f>
        <v/>
      </c>
      <c r="H855" s="2" t="n">
        <v>38</v>
      </c>
      <c r="J855">
        <f>I855/H855</f>
        <v/>
      </c>
      <c r="K855">
        <f>H855*90</f>
        <v/>
      </c>
      <c r="M855">
        <f>L855/K855</f>
        <v/>
      </c>
    </row>
    <row r="856">
      <c r="A856" s="1" t="n">
        <v>855</v>
      </c>
      <c r="B856" s="2" t="inlineStr">
        <is>
          <t>Japan</t>
        </is>
      </c>
      <c r="C856" s="2" t="inlineStr">
        <is>
          <t>Ayumu Seko</t>
        </is>
      </c>
      <c r="D856" s="2" t="inlineStr">
        <is>
          <t>Médio</t>
        </is>
      </c>
      <c r="E856" s="2" t="inlineStr">
        <is>
          <t>Le Havre</t>
        </is>
      </c>
      <c r="F856">
        <f>VLOOKUP(E856,Clubes!B$2:D$438,2)</f>
        <v/>
      </c>
      <c r="G856">
        <f>VLOOKUP(E856,Clubes!B$2:D$438,3)</f>
        <v/>
      </c>
      <c r="H856" s="2" t="n">
        <v>34</v>
      </c>
      <c r="J856">
        <f>I856/H856</f>
        <v/>
      </c>
      <c r="K856">
        <f>H856*90</f>
        <v/>
      </c>
      <c r="M856">
        <f>L856/K856</f>
        <v/>
      </c>
    </row>
    <row r="857">
      <c r="A857" s="1" t="n">
        <v>856</v>
      </c>
      <c r="B857" s="2" t="inlineStr">
        <is>
          <t>Japan</t>
        </is>
      </c>
      <c r="C857" s="2" t="inlineStr">
        <is>
          <t>Kaishu Sano</t>
        </is>
      </c>
      <c r="D857" s="2" t="inlineStr">
        <is>
          <t>Médio</t>
        </is>
      </c>
      <c r="E857" s="2" t="inlineStr">
        <is>
          <t>Mainz</t>
        </is>
      </c>
      <c r="F857">
        <f>VLOOKUP(E857,Clubes!B$2:D$438,2)</f>
        <v/>
      </c>
      <c r="G857">
        <f>VLOOKUP(E857,Clubes!B$2:D$438,3)</f>
        <v/>
      </c>
      <c r="H857" s="2" t="n">
        <v>34</v>
      </c>
      <c r="J857">
        <f>I857/H857</f>
        <v/>
      </c>
      <c r="K857">
        <f>H857*90</f>
        <v/>
      </c>
      <c r="M857">
        <f>L857/K857</f>
        <v/>
      </c>
    </row>
    <row r="858">
      <c r="A858" s="1" t="n">
        <v>857</v>
      </c>
      <c r="B858" s="2" t="inlineStr">
        <is>
          <t>Japan</t>
        </is>
      </c>
      <c r="C858" s="2" t="inlineStr">
        <is>
          <t>Ao Tanaka</t>
        </is>
      </c>
      <c r="D858" s="2" t="inlineStr">
        <is>
          <t>Médio</t>
        </is>
      </c>
      <c r="E858" s="2" t="inlineStr">
        <is>
          <t>Leeds United</t>
        </is>
      </c>
      <c r="F858">
        <f>VLOOKUP(E858,Clubes!B$2:D$438,2)</f>
        <v/>
      </c>
      <c r="G858">
        <f>VLOOKUP(E858,Clubes!B$2:D$438,3)</f>
        <v/>
      </c>
      <c r="H858" s="2" t="n">
        <v>38</v>
      </c>
      <c r="J858">
        <f>I858/H858</f>
        <v/>
      </c>
      <c r="K858">
        <f>H858*90</f>
        <v/>
      </c>
      <c r="M858">
        <f>L858/K858</f>
        <v/>
      </c>
    </row>
    <row r="859">
      <c r="A859" s="1" t="n">
        <v>858</v>
      </c>
      <c r="B859" s="2" t="inlineStr">
        <is>
          <t>Japan</t>
        </is>
      </c>
      <c r="C859" s="2" t="inlineStr">
        <is>
          <t>Daichi Kamada</t>
        </is>
      </c>
      <c r="D859" s="2" t="inlineStr">
        <is>
          <t>Médio</t>
        </is>
      </c>
      <c r="E859" s="2" t="inlineStr">
        <is>
          <t>Crystal Palace</t>
        </is>
      </c>
      <c r="F859">
        <f>VLOOKUP(E859,Clubes!B$2:D$438,2)</f>
        <v/>
      </c>
      <c r="G859">
        <f>VLOOKUP(E859,Clubes!B$2:D$438,3)</f>
        <v/>
      </c>
      <c r="H859" s="2" t="n">
        <v>38</v>
      </c>
      <c r="J859">
        <f>I859/H859</f>
        <v/>
      </c>
      <c r="K859">
        <f>H859*90</f>
        <v/>
      </c>
      <c r="M859">
        <f>L859/K859</f>
        <v/>
      </c>
    </row>
    <row r="860">
      <c r="A860" s="1" t="n">
        <v>859</v>
      </c>
      <c r="B860" s="2" t="inlineStr">
        <is>
          <t>Japan</t>
        </is>
      </c>
      <c r="C860" s="2" t="inlineStr">
        <is>
          <t>Takefusa Kubo</t>
        </is>
      </c>
      <c r="D860" s="2" t="inlineStr">
        <is>
          <t>Avançado</t>
        </is>
      </c>
      <c r="E860" s="2" t="inlineStr">
        <is>
          <t>Real Sociedad</t>
        </is>
      </c>
      <c r="F860">
        <f>VLOOKUP(E860,Clubes!B$2:D$438,2)</f>
        <v/>
      </c>
      <c r="G860">
        <f>VLOOKUP(E860,Clubes!B$2:D$438,3)</f>
        <v/>
      </c>
      <c r="H860" s="2" t="n">
        <v>38</v>
      </c>
      <c r="J860">
        <f>I860/H860</f>
        <v/>
      </c>
      <c r="K860">
        <f>H860*90</f>
        <v/>
      </c>
      <c r="M860">
        <f>L860/K860</f>
        <v/>
      </c>
    </row>
    <row r="861">
      <c r="A861" s="1" t="n">
        <v>860</v>
      </c>
      <c r="B861" s="2" t="inlineStr">
        <is>
          <t>Japan</t>
        </is>
      </c>
      <c r="C861" s="2" t="inlineStr">
        <is>
          <t>Ritsu Doan</t>
        </is>
      </c>
      <c r="D861" s="2" t="inlineStr">
        <is>
          <t>Avançado</t>
        </is>
      </c>
      <c r="E861" s="2" t="inlineStr">
        <is>
          <t>Eintracht Frankfurt</t>
        </is>
      </c>
      <c r="F861">
        <f>VLOOKUP(E861,Clubes!B$2:D$438,2)</f>
        <v/>
      </c>
      <c r="G861">
        <f>VLOOKUP(E861,Clubes!B$2:D$438,3)</f>
        <v/>
      </c>
      <c r="H861" s="2" t="n">
        <v>34</v>
      </c>
      <c r="J861">
        <f>I861/H861</f>
        <v/>
      </c>
      <c r="K861">
        <f>H861*90</f>
        <v/>
      </c>
      <c r="M861">
        <f>L861/K861</f>
        <v/>
      </c>
    </row>
    <row r="862">
      <c r="A862" s="1" t="n">
        <v>861</v>
      </c>
      <c r="B862" s="2" t="inlineStr">
        <is>
          <t>Japan</t>
        </is>
      </c>
      <c r="C862" s="2" t="inlineStr">
        <is>
          <t>Junya Ito</t>
        </is>
      </c>
      <c r="D862" s="2" t="inlineStr">
        <is>
          <t>Avançado</t>
        </is>
      </c>
      <c r="E862" s="2" t="inlineStr">
        <is>
          <t>Genk</t>
        </is>
      </c>
      <c r="F862">
        <f>VLOOKUP(E862,Clubes!B$2:D$438,2)</f>
        <v/>
      </c>
      <c r="G862">
        <f>VLOOKUP(E862,Clubes!B$2:D$438,3)</f>
        <v/>
      </c>
      <c r="H862" s="2" t="n">
        <v>34</v>
      </c>
      <c r="J862">
        <f>I862/H862</f>
        <v/>
      </c>
      <c r="K862">
        <f>H862*90</f>
        <v/>
      </c>
      <c r="M862">
        <f>L862/K862</f>
        <v/>
      </c>
    </row>
    <row r="863">
      <c r="A863" s="1" t="n">
        <v>862</v>
      </c>
      <c r="B863" s="2" t="inlineStr">
        <is>
          <t>Japan</t>
        </is>
      </c>
      <c r="C863" s="2" t="inlineStr">
        <is>
          <t>Yuito Suzuki</t>
        </is>
      </c>
      <c r="D863" s="2" t="inlineStr">
        <is>
          <t>Avançado</t>
        </is>
      </c>
      <c r="E863" s="2" t="inlineStr">
        <is>
          <t>SC Freiburg</t>
        </is>
      </c>
      <c r="F863">
        <f>VLOOKUP(E863,Clubes!B$2:D$438,2)</f>
        <v/>
      </c>
      <c r="G863">
        <f>VLOOKUP(E863,Clubes!B$2:D$438,3)</f>
        <v/>
      </c>
      <c r="H863" s="2" t="n">
        <v>38</v>
      </c>
      <c r="J863">
        <f>I863/H863</f>
        <v/>
      </c>
      <c r="K863">
        <f>H863*90</f>
        <v/>
      </c>
      <c r="M863">
        <f>L863/K863</f>
        <v/>
      </c>
    </row>
    <row r="864">
      <c r="A864" s="1" t="n">
        <v>863</v>
      </c>
      <c r="B864" s="2" t="inlineStr">
        <is>
          <t>Japan</t>
        </is>
      </c>
      <c r="C864" s="2" t="inlineStr">
        <is>
          <t>Keisuke Goto</t>
        </is>
      </c>
      <c r="D864" s="2" t="inlineStr">
        <is>
          <t>Avançado</t>
        </is>
      </c>
      <c r="E864" s="2" t="inlineStr">
        <is>
          <t>Sint-Truiden</t>
        </is>
      </c>
      <c r="F864">
        <f>VLOOKUP(E864,Clubes!B$2:D$438,2)</f>
        <v/>
      </c>
      <c r="G864">
        <f>VLOOKUP(E864,Clubes!B$2:D$438,3)</f>
        <v/>
      </c>
      <c r="H864" s="2" t="n">
        <v>40</v>
      </c>
      <c r="J864">
        <f>I864/H864</f>
        <v/>
      </c>
      <c r="K864">
        <f>H864*90</f>
        <v/>
      </c>
      <c r="M864">
        <f>L864/K864</f>
        <v/>
      </c>
    </row>
    <row r="865">
      <c r="A865" s="1" t="n">
        <v>864</v>
      </c>
      <c r="B865" s="2" t="inlineStr">
        <is>
          <t>Japan</t>
        </is>
      </c>
      <c r="C865" s="2" t="inlineStr">
        <is>
          <t>Ayase Ueda</t>
        </is>
      </c>
      <c r="D865" s="2" t="inlineStr">
        <is>
          <t>Avançado</t>
        </is>
      </c>
      <c r="E865" s="2" t="inlineStr">
        <is>
          <t>Feyenoord</t>
        </is>
      </c>
      <c r="F865">
        <f>VLOOKUP(E865,Clubes!B$2:D$438,2)</f>
        <v/>
      </c>
      <c r="G865">
        <f>VLOOKUP(E865,Clubes!B$2:D$438,3)</f>
        <v/>
      </c>
      <c r="H865" s="2" t="n">
        <v>40</v>
      </c>
      <c r="J865">
        <f>I865/H865</f>
        <v/>
      </c>
      <c r="K865">
        <f>H865*90</f>
        <v/>
      </c>
      <c r="M865">
        <f>L865/K865</f>
        <v/>
      </c>
    </row>
    <row r="866">
      <c r="A866" s="1" t="n">
        <v>865</v>
      </c>
      <c r="B866" s="2" t="inlineStr">
        <is>
          <t>Japan</t>
        </is>
      </c>
      <c r="C866" s="2" t="inlineStr">
        <is>
          <t>Koki Ogawa</t>
        </is>
      </c>
      <c r="D866" s="2" t="inlineStr">
        <is>
          <t>Avançado</t>
        </is>
      </c>
      <c r="E866" s="2" t="inlineStr">
        <is>
          <t>NEC</t>
        </is>
      </c>
      <c r="F866">
        <f>VLOOKUP(E866,Clubes!B$2:D$438,2)</f>
        <v/>
      </c>
      <c r="G866">
        <f>VLOOKUP(E866,Clubes!B$2:D$438,3)</f>
        <v/>
      </c>
      <c r="H866" s="2" t="n">
        <v>26</v>
      </c>
      <c r="J866">
        <f>I866/H866</f>
        <v/>
      </c>
      <c r="K866">
        <f>H866*90</f>
        <v/>
      </c>
      <c r="M866">
        <f>L866/K866</f>
        <v/>
      </c>
    </row>
    <row r="867">
      <c r="A867" s="1" t="n">
        <v>866</v>
      </c>
      <c r="B867" s="2" t="inlineStr">
        <is>
          <t>Japan</t>
        </is>
      </c>
      <c r="C867" s="2" t="inlineStr">
        <is>
          <t>Kento Shiogai</t>
        </is>
      </c>
      <c r="D867" s="2" t="inlineStr">
        <is>
          <t>Avançado</t>
        </is>
      </c>
      <c r="E867" s="2" t="inlineStr">
        <is>
          <t>Wolfsburg</t>
        </is>
      </c>
      <c r="F867">
        <f>VLOOKUP(E867,Clubes!B$2:D$438,2)</f>
        <v/>
      </c>
      <c r="G867">
        <f>VLOOKUP(E867,Clubes!B$2:D$438,3)</f>
        <v/>
      </c>
      <c r="H867" s="2" t="n">
        <v>34</v>
      </c>
      <c r="J867">
        <f>I867/H867</f>
        <v/>
      </c>
      <c r="K867">
        <f>H867*90</f>
        <v/>
      </c>
      <c r="M867">
        <f>L867/K867</f>
        <v/>
      </c>
    </row>
    <row r="868">
      <c r="A868" s="1" t="n">
        <v>867</v>
      </c>
      <c r="B868" s="2" t="inlineStr">
        <is>
          <t>Japan</t>
        </is>
      </c>
      <c r="C868" s="2" t="inlineStr">
        <is>
          <t>Daizen Maeda</t>
        </is>
      </c>
      <c r="D868" s="2" t="inlineStr">
        <is>
          <t>Avançado</t>
        </is>
      </c>
      <c r="E868" s="2" t="inlineStr">
        <is>
          <t>Celtic</t>
        </is>
      </c>
      <c r="F868">
        <f>VLOOKUP(E868,Clubes!B$2:D$438,2)</f>
        <v/>
      </c>
      <c r="G868">
        <f>VLOOKUP(E868,Clubes!B$2:D$438,3)</f>
        <v/>
      </c>
      <c r="H868" s="2" t="n">
        <v>38</v>
      </c>
      <c r="J868">
        <f>I868/H868</f>
        <v/>
      </c>
      <c r="K868">
        <f>H868*90</f>
        <v/>
      </c>
      <c r="M868">
        <f>L868/K868</f>
        <v/>
      </c>
    </row>
    <row r="869">
      <c r="A869" s="1" t="n">
        <v>868</v>
      </c>
      <c r="B869" s="2" t="inlineStr">
        <is>
          <t>Japan</t>
        </is>
      </c>
      <c r="C869" s="2" t="inlineStr">
        <is>
          <t>Keito Nakamura</t>
        </is>
      </c>
      <c r="D869" s="2" t="inlineStr">
        <is>
          <t>Avançado</t>
        </is>
      </c>
      <c r="E869" s="2" t="inlineStr">
        <is>
          <t>Stade de Reims</t>
        </is>
      </c>
      <c r="F869">
        <f>VLOOKUP(E869,Clubes!B$2:D$438,2)</f>
        <v/>
      </c>
      <c r="G869">
        <f>VLOOKUP(E869,Clubes!B$2:D$438,3)</f>
        <v/>
      </c>
      <c r="H869" s="2" t="n">
        <v>36</v>
      </c>
      <c r="J869">
        <f>I869/H869</f>
        <v/>
      </c>
      <c r="K869">
        <f>H869*90</f>
        <v/>
      </c>
      <c r="M869">
        <f>L869/K869</f>
        <v/>
      </c>
    </row>
    <row r="870">
      <c r="A870" s="1" t="n">
        <v>895</v>
      </c>
      <c r="B870" s="2" t="inlineStr">
        <is>
          <t>Morocco</t>
        </is>
      </c>
      <c r="C870" s="2" t="inlineStr">
        <is>
          <t>Yassine Bono</t>
        </is>
      </c>
      <c r="D870" s="2" t="inlineStr">
        <is>
          <t>Guarda Redes</t>
        </is>
      </c>
      <c r="E870" s="2" t="inlineStr">
        <is>
          <t>Al-Hilal</t>
        </is>
      </c>
      <c r="F870">
        <f>VLOOKUP(E870,Clubes!B$2:D$438,2)</f>
        <v/>
      </c>
      <c r="G870">
        <f>VLOOKUP(E870,Clubes!B$2:D$438,3)</f>
        <v/>
      </c>
      <c r="H870" s="2" t="n">
        <v>34</v>
      </c>
      <c r="J870">
        <f>I870/H870</f>
        <v/>
      </c>
      <c r="K870">
        <f>H870*90</f>
        <v/>
      </c>
      <c r="M870">
        <f>L870/K870</f>
        <v/>
      </c>
    </row>
    <row r="871">
      <c r="A871" s="1" t="n">
        <v>896</v>
      </c>
      <c r="B871" s="2" t="inlineStr">
        <is>
          <t>Morocco</t>
        </is>
      </c>
      <c r="C871" s="2" t="inlineStr">
        <is>
          <t>Munir Mohamedi</t>
        </is>
      </c>
      <c r="D871" s="2" t="inlineStr">
        <is>
          <t>Guarda Redes</t>
        </is>
      </c>
      <c r="E871" s="2" t="inlineStr">
        <is>
          <t>RS Berkane</t>
        </is>
      </c>
      <c r="F871">
        <f>VLOOKUP(E871,Clubes!B$2:D$438,2)</f>
        <v/>
      </c>
      <c r="G871">
        <f>VLOOKUP(E871,Clubes!B$2:D$438,3)</f>
        <v/>
      </c>
      <c r="H871" s="2" t="n">
        <v>40</v>
      </c>
      <c r="J871">
        <f>I871/H871</f>
        <v/>
      </c>
      <c r="K871">
        <f>H871*90</f>
        <v/>
      </c>
      <c r="M871">
        <f>L871/K871</f>
        <v/>
      </c>
    </row>
    <row r="872">
      <c r="A872" s="1" t="n">
        <v>897</v>
      </c>
      <c r="B872" s="2" t="inlineStr">
        <is>
          <t>Morocco</t>
        </is>
      </c>
      <c r="C872" s="2" t="inlineStr">
        <is>
          <t>Reda Tagnaouti</t>
        </is>
      </c>
      <c r="D872" s="2" t="inlineStr">
        <is>
          <t>Guarda Redes</t>
        </is>
      </c>
      <c r="E872" s="2" t="inlineStr">
        <is>
          <t>FAR Rabat</t>
        </is>
      </c>
      <c r="F872">
        <f>VLOOKUP(E872,Clubes!B$2:D$438,2)</f>
        <v/>
      </c>
      <c r="G872">
        <f>VLOOKUP(E872,Clubes!B$2:D$438,3)</f>
        <v/>
      </c>
      <c r="H872" s="2" t="n">
        <v>30</v>
      </c>
      <c r="J872">
        <f>I872/H872</f>
        <v/>
      </c>
      <c r="K872">
        <f>H872*90</f>
        <v/>
      </c>
      <c r="M872">
        <f>L872/K872</f>
        <v/>
      </c>
    </row>
    <row r="873">
      <c r="A873" s="1" t="n">
        <v>898</v>
      </c>
      <c r="B873" s="2" t="inlineStr">
        <is>
          <t>Morocco</t>
        </is>
      </c>
      <c r="C873" s="2" t="inlineStr">
        <is>
          <t>Achraf Hakimi</t>
        </is>
      </c>
      <c r="D873" s="2" t="inlineStr">
        <is>
          <t>Defesa</t>
        </is>
      </c>
      <c r="E873" s="2" t="inlineStr">
        <is>
          <t>PSG</t>
        </is>
      </c>
      <c r="F873">
        <f>VLOOKUP(E873,Clubes!B$2:D$438,2)</f>
        <v/>
      </c>
      <c r="G873">
        <f>VLOOKUP(E873,Clubes!B$2:D$438,3)</f>
        <v/>
      </c>
      <c r="H873" s="2" t="n">
        <v>46</v>
      </c>
      <c r="J873">
        <f>I873/H873</f>
        <v/>
      </c>
      <c r="K873">
        <f>H873*90</f>
        <v/>
      </c>
      <c r="M873">
        <f>L873/K873</f>
        <v/>
      </c>
    </row>
    <row r="874">
      <c r="A874" s="1" t="n">
        <v>899</v>
      </c>
      <c r="B874" s="2" t="inlineStr">
        <is>
          <t>Morocco</t>
        </is>
      </c>
      <c r="C874" s="2" t="inlineStr">
        <is>
          <t>Noussair Mazraoui</t>
        </is>
      </c>
      <c r="D874" s="2" t="inlineStr">
        <is>
          <t>Defesa</t>
        </is>
      </c>
      <c r="E874" s="2" t="inlineStr">
        <is>
          <t>Manchester United</t>
        </is>
      </c>
      <c r="F874">
        <f>VLOOKUP(E874,Clubes!B$2:D$438,2)</f>
        <v/>
      </c>
      <c r="G874">
        <f>VLOOKUP(E874,Clubes!B$2:D$438,3)</f>
        <v/>
      </c>
      <c r="H874" s="2" t="n">
        <v>38</v>
      </c>
      <c r="J874">
        <f>I874/H874</f>
        <v/>
      </c>
      <c r="K874">
        <f>H874*90</f>
        <v/>
      </c>
      <c r="M874">
        <f>L874/K874</f>
        <v/>
      </c>
    </row>
    <row r="875">
      <c r="A875" s="1" t="n">
        <v>900</v>
      </c>
      <c r="B875" s="2" t="inlineStr">
        <is>
          <t>Morocco</t>
        </is>
      </c>
      <c r="C875" s="2" t="inlineStr">
        <is>
          <t>Zakaria El Ouahdi</t>
        </is>
      </c>
      <c r="D875" s="2" t="inlineStr">
        <is>
          <t>Defesa</t>
        </is>
      </c>
      <c r="E875" s="2" t="inlineStr">
        <is>
          <t>Genk</t>
        </is>
      </c>
      <c r="F875">
        <f>VLOOKUP(E875,Clubes!B$2:D$438,2)</f>
        <v/>
      </c>
      <c r="G875">
        <f>VLOOKUP(E875,Clubes!B$2:D$438,3)</f>
        <v/>
      </c>
      <c r="H875" s="2" t="n">
        <v>34</v>
      </c>
      <c r="J875">
        <f>I875/H875</f>
        <v/>
      </c>
      <c r="K875">
        <f>H875*90</f>
        <v/>
      </c>
      <c r="M875">
        <f>L875/K875</f>
        <v/>
      </c>
    </row>
    <row r="876">
      <c r="A876" s="1" t="n">
        <v>901</v>
      </c>
      <c r="B876" s="2" t="inlineStr">
        <is>
          <t>Morocco</t>
        </is>
      </c>
      <c r="C876" s="2" t="inlineStr">
        <is>
          <t>Nayef Aguerd</t>
        </is>
      </c>
      <c r="D876" s="2" t="inlineStr">
        <is>
          <t>Defesa</t>
        </is>
      </c>
      <c r="E876" s="2" t="inlineStr">
        <is>
          <t>Marseille</t>
        </is>
      </c>
      <c r="F876">
        <f>VLOOKUP(E876,Clubes!B$2:D$438,2)</f>
        <v/>
      </c>
      <c r="G876">
        <f>VLOOKUP(E876,Clubes!B$2:D$438,3)</f>
        <v/>
      </c>
      <c r="H876" s="2" t="n">
        <v>34</v>
      </c>
      <c r="J876">
        <f>I876/H876</f>
        <v/>
      </c>
      <c r="K876">
        <f>H876*90</f>
        <v/>
      </c>
      <c r="M876">
        <f>L876/K876</f>
        <v/>
      </c>
    </row>
    <row r="877">
      <c r="A877" s="1" t="n">
        <v>902</v>
      </c>
      <c r="B877" s="2" t="inlineStr">
        <is>
          <t>Morocco</t>
        </is>
      </c>
      <c r="C877" s="2" t="inlineStr">
        <is>
          <t>Issa Diop</t>
        </is>
      </c>
      <c r="D877" s="2" t="inlineStr">
        <is>
          <t>Defesa</t>
        </is>
      </c>
      <c r="E877" s="2" t="inlineStr">
        <is>
          <t>Fulham</t>
        </is>
      </c>
      <c r="F877">
        <f>VLOOKUP(E877,Clubes!B$2:D$438,2)</f>
        <v/>
      </c>
      <c r="G877">
        <f>VLOOKUP(E877,Clubes!B$2:D$438,3)</f>
        <v/>
      </c>
      <c r="H877" s="2" t="n">
        <v>38</v>
      </c>
      <c r="J877">
        <f>I877/H877</f>
        <v/>
      </c>
      <c r="K877">
        <f>H877*90</f>
        <v/>
      </c>
      <c r="M877">
        <f>L877/K877</f>
        <v/>
      </c>
    </row>
    <row r="878">
      <c r="A878" s="1" t="n">
        <v>903</v>
      </c>
      <c r="B878" s="2" t="inlineStr">
        <is>
          <t>Morocco</t>
        </is>
      </c>
      <c r="C878" s="2" t="inlineStr">
        <is>
          <t>Chadi Riad</t>
        </is>
      </c>
      <c r="D878" s="2" t="inlineStr">
        <is>
          <t>Defesa</t>
        </is>
      </c>
      <c r="E878" s="2" t="inlineStr">
        <is>
          <t>Crystal Palace</t>
        </is>
      </c>
      <c r="F878">
        <f>VLOOKUP(E878,Clubes!B$2:D$438,2)</f>
        <v/>
      </c>
      <c r="G878">
        <f>VLOOKUP(E878,Clubes!B$2:D$438,3)</f>
        <v/>
      </c>
      <c r="H878" s="2" t="n">
        <v>38</v>
      </c>
      <c r="J878">
        <f>I878/H878</f>
        <v/>
      </c>
      <c r="K878">
        <f>H878*90</f>
        <v/>
      </c>
      <c r="M878">
        <f>L878/K878</f>
        <v/>
      </c>
    </row>
    <row r="879">
      <c r="A879" s="1" t="n">
        <v>904</v>
      </c>
      <c r="B879" s="2" t="inlineStr">
        <is>
          <t>Morocco</t>
        </is>
      </c>
      <c r="C879" s="2" t="inlineStr">
        <is>
          <t>Redouane Halhal</t>
        </is>
      </c>
      <c r="D879" s="2" t="inlineStr">
        <is>
          <t>Defesa</t>
        </is>
      </c>
      <c r="E879" s="2" t="inlineStr">
        <is>
          <t>KV Mechelen</t>
        </is>
      </c>
      <c r="F879">
        <f>VLOOKUP(E879,Clubes!B$2:D$438,2)</f>
        <v/>
      </c>
      <c r="G879">
        <f>VLOOKUP(E879,Clubes!B$2:D$438,3)</f>
        <v/>
      </c>
      <c r="H879" s="2" t="n">
        <v>34</v>
      </c>
      <c r="J879">
        <f>I879/H879</f>
        <v/>
      </c>
      <c r="K879">
        <f>H879*90</f>
        <v/>
      </c>
      <c r="M879">
        <f>L879/K879</f>
        <v/>
      </c>
    </row>
    <row r="880">
      <c r="A880" s="1" t="n">
        <v>905</v>
      </c>
      <c r="B880" s="2" t="inlineStr">
        <is>
          <t>Morocco</t>
        </is>
      </c>
      <c r="C880" s="2" t="inlineStr">
        <is>
          <t>Youssef Belammari</t>
        </is>
      </c>
      <c r="D880" s="2" t="inlineStr">
        <is>
          <t>Defesa</t>
        </is>
      </c>
      <c r="E880" s="2" t="inlineStr">
        <is>
          <t>Al-Ahly</t>
        </is>
      </c>
      <c r="F880">
        <f>VLOOKUP(E880,Clubes!B$2:D$438,2)</f>
        <v/>
      </c>
      <c r="G880">
        <f>VLOOKUP(E880,Clubes!B$2:D$438,3)</f>
        <v/>
      </c>
      <c r="H880" s="2" t="n">
        <v>34</v>
      </c>
      <c r="J880">
        <f>I880/H880</f>
        <v/>
      </c>
      <c r="K880">
        <f>H880*90</f>
        <v/>
      </c>
      <c r="M880">
        <f>L880/K880</f>
        <v/>
      </c>
    </row>
    <row r="881">
      <c r="A881" s="1" t="n">
        <v>906</v>
      </c>
      <c r="B881" s="2" t="inlineStr">
        <is>
          <t>Morocco</t>
        </is>
      </c>
      <c r="C881" s="2" t="inlineStr">
        <is>
          <t>Anass Salah-Eddine</t>
        </is>
      </c>
      <c r="D881" s="2" t="inlineStr">
        <is>
          <t>Defesa</t>
        </is>
      </c>
      <c r="E881" s="2" t="inlineStr">
        <is>
          <t>PSV</t>
        </is>
      </c>
      <c r="F881">
        <f>VLOOKUP(E881,Clubes!B$2:D$438,2)</f>
        <v/>
      </c>
      <c r="G881">
        <f>VLOOKUP(E881,Clubes!B$2:D$438,3)</f>
        <v/>
      </c>
      <c r="H881" s="2" t="n">
        <v>46</v>
      </c>
      <c r="J881">
        <f>I881/H881</f>
        <v/>
      </c>
      <c r="K881">
        <f>H881*90</f>
        <v/>
      </c>
      <c r="M881">
        <f>L881/K881</f>
        <v/>
      </c>
    </row>
    <row r="882">
      <c r="A882" s="1" t="n">
        <v>907</v>
      </c>
      <c r="B882" s="2" t="inlineStr">
        <is>
          <t>Morocco</t>
        </is>
      </c>
      <c r="C882" s="2" t="inlineStr">
        <is>
          <t>Sofyan Amrabat</t>
        </is>
      </c>
      <c r="D882" s="2" t="inlineStr">
        <is>
          <t>Médio</t>
        </is>
      </c>
      <c r="E882" s="2" t="inlineStr">
        <is>
          <t>Real Betis</t>
        </is>
      </c>
      <c r="F882">
        <f>VLOOKUP(E882,Clubes!B$2:D$438,2)</f>
        <v/>
      </c>
      <c r="G882">
        <f>VLOOKUP(E882,Clubes!B$2:D$438,3)</f>
        <v/>
      </c>
      <c r="H882" s="2" t="n">
        <v>34</v>
      </c>
      <c r="J882">
        <f>I882/H882</f>
        <v/>
      </c>
      <c r="K882">
        <f>H882*90</f>
        <v/>
      </c>
      <c r="M882">
        <f>L882/K882</f>
        <v/>
      </c>
    </row>
    <row r="883">
      <c r="A883" s="1" t="n">
        <v>908</v>
      </c>
      <c r="B883" s="2" t="inlineStr">
        <is>
          <t>Morocco</t>
        </is>
      </c>
      <c r="C883" s="2" t="inlineStr">
        <is>
          <t>Ayyoub Bouaddi</t>
        </is>
      </c>
      <c r="D883" s="2" t="inlineStr">
        <is>
          <t>Médio</t>
        </is>
      </c>
      <c r="E883" s="2" t="inlineStr">
        <is>
          <t>Lille</t>
        </is>
      </c>
      <c r="F883">
        <f>VLOOKUP(E883,Clubes!B$2:D$438,2)</f>
        <v/>
      </c>
      <c r="G883">
        <f>VLOOKUP(E883,Clubes!B$2:D$438,3)</f>
        <v/>
      </c>
      <c r="H883" s="2" t="n">
        <v>34</v>
      </c>
      <c r="J883">
        <f>I883/H883</f>
        <v/>
      </c>
      <c r="K883">
        <f>H883*90</f>
        <v/>
      </c>
      <c r="M883">
        <f>L883/K883</f>
        <v/>
      </c>
    </row>
    <row r="884">
      <c r="A884" s="1" t="n">
        <v>909</v>
      </c>
      <c r="B884" s="2" t="inlineStr">
        <is>
          <t>Morocco</t>
        </is>
      </c>
      <c r="C884" s="2" t="inlineStr">
        <is>
          <t>Azzedine Ounahi</t>
        </is>
      </c>
      <c r="D884" s="2" t="inlineStr">
        <is>
          <t>Médio</t>
        </is>
      </c>
      <c r="E884" s="2" t="inlineStr">
        <is>
          <t>Girona</t>
        </is>
      </c>
      <c r="F884">
        <f>VLOOKUP(E884,Clubes!B$2:D$438,2)</f>
        <v/>
      </c>
      <c r="G884">
        <f>VLOOKUP(E884,Clubes!B$2:D$438,3)</f>
        <v/>
      </c>
      <c r="H884" s="2" t="n">
        <v>38</v>
      </c>
      <c r="J884">
        <f>I884/H884</f>
        <v/>
      </c>
      <c r="K884">
        <f>H884*90</f>
        <v/>
      </c>
      <c r="M884">
        <f>L884/K884</f>
        <v/>
      </c>
    </row>
    <row r="885">
      <c r="A885" s="1" t="n">
        <v>910</v>
      </c>
      <c r="B885" s="2" t="inlineStr">
        <is>
          <t>Morocco</t>
        </is>
      </c>
      <c r="C885" s="2" t="inlineStr">
        <is>
          <t>Samir El Mourabet</t>
        </is>
      </c>
      <c r="D885" s="2" t="inlineStr">
        <is>
          <t>Médio</t>
        </is>
      </c>
      <c r="E885" s="2" t="inlineStr">
        <is>
          <t>Strasbourg</t>
        </is>
      </c>
      <c r="F885">
        <f>VLOOKUP(E885,Clubes!B$2:D$438,2)</f>
        <v/>
      </c>
      <c r="G885">
        <f>VLOOKUP(E885,Clubes!B$2:D$438,3)</f>
        <v/>
      </c>
      <c r="H885" s="2" t="n">
        <v>34</v>
      </c>
      <c r="J885">
        <f>I885/H885</f>
        <v/>
      </c>
      <c r="K885">
        <f>H885*90</f>
        <v/>
      </c>
      <c r="M885">
        <f>L885/K885</f>
        <v/>
      </c>
    </row>
    <row r="886">
      <c r="A886" s="1" t="n">
        <v>911</v>
      </c>
      <c r="B886" s="2" t="inlineStr">
        <is>
          <t>Morocco</t>
        </is>
      </c>
      <c r="C886" s="2" t="inlineStr">
        <is>
          <t>Neil El Aynaoui</t>
        </is>
      </c>
      <c r="D886" s="2" t="inlineStr">
        <is>
          <t>Médio</t>
        </is>
      </c>
      <c r="E886" s="2" t="inlineStr">
        <is>
          <t>Roma</t>
        </is>
      </c>
      <c r="F886">
        <f>VLOOKUP(E886,Clubes!B$2:D$438,2)</f>
        <v/>
      </c>
      <c r="G886">
        <f>VLOOKUP(E886,Clubes!B$2:D$438,3)</f>
        <v/>
      </c>
      <c r="H886" s="2" t="n">
        <v>38</v>
      </c>
      <c r="J886">
        <f>I886/H886</f>
        <v/>
      </c>
      <c r="K886">
        <f>H886*90</f>
        <v/>
      </c>
      <c r="M886">
        <f>L886/K886</f>
        <v/>
      </c>
    </row>
    <row r="887">
      <c r="A887" s="1" t="n">
        <v>912</v>
      </c>
      <c r="B887" s="2" t="inlineStr">
        <is>
          <t>Morocco</t>
        </is>
      </c>
      <c r="C887" s="2" t="inlineStr">
        <is>
          <t>Ismael Saibari</t>
        </is>
      </c>
      <c r="D887" s="2" t="inlineStr">
        <is>
          <t>Médio</t>
        </is>
      </c>
      <c r="E887" s="2" t="inlineStr">
        <is>
          <t>PSV</t>
        </is>
      </c>
      <c r="F887">
        <f>VLOOKUP(E887,Clubes!B$2:D$438,2)</f>
        <v/>
      </c>
      <c r="G887">
        <f>VLOOKUP(E887,Clubes!B$2:D$438,3)</f>
        <v/>
      </c>
      <c r="H887" s="2" t="n">
        <v>46</v>
      </c>
      <c r="J887">
        <f>I887/H887</f>
        <v/>
      </c>
      <c r="K887">
        <f>H887*90</f>
        <v/>
      </c>
      <c r="M887">
        <f>L887/K887</f>
        <v/>
      </c>
    </row>
    <row r="888">
      <c r="A888" s="1" t="n">
        <v>913</v>
      </c>
      <c r="B888" s="2" t="inlineStr">
        <is>
          <t>Morocco</t>
        </is>
      </c>
      <c r="C888" s="2" t="inlineStr">
        <is>
          <t>Bilal El Khannouss</t>
        </is>
      </c>
      <c r="D888" s="2" t="inlineStr">
        <is>
          <t>Médio</t>
        </is>
      </c>
      <c r="E888" s="2" t="inlineStr">
        <is>
          <t>Stuttgart</t>
        </is>
      </c>
      <c r="F888">
        <f>VLOOKUP(E888,Clubes!B$2:D$438,2)</f>
        <v/>
      </c>
      <c r="G888">
        <f>VLOOKUP(E888,Clubes!B$2:D$438,3)</f>
        <v/>
      </c>
      <c r="H888" s="2" t="n">
        <v>34</v>
      </c>
      <c r="J888">
        <f>I888/H888</f>
        <v/>
      </c>
      <c r="K888">
        <f>H888*90</f>
        <v/>
      </c>
      <c r="M888">
        <f>L888/K888</f>
        <v/>
      </c>
    </row>
    <row r="889">
      <c r="A889" s="1" t="n">
        <v>914</v>
      </c>
      <c r="B889" s="2" t="inlineStr">
        <is>
          <t>Morocco</t>
        </is>
      </c>
      <c r="C889" s="2" t="inlineStr">
        <is>
          <t>Chemsdine Talbi</t>
        </is>
      </c>
      <c r="D889" s="2" t="inlineStr">
        <is>
          <t>Avançado</t>
        </is>
      </c>
      <c r="E889" s="2" t="inlineStr">
        <is>
          <t>Sunderland</t>
        </is>
      </c>
      <c r="F889">
        <f>VLOOKUP(E889,Clubes!B$2:D$438,2)</f>
        <v/>
      </c>
      <c r="G889">
        <f>VLOOKUP(E889,Clubes!B$2:D$438,3)</f>
        <v/>
      </c>
      <c r="H889" s="2" t="n">
        <v>38</v>
      </c>
      <c r="J889">
        <f>I889/H889</f>
        <v/>
      </c>
      <c r="K889">
        <f>H889*90</f>
        <v/>
      </c>
      <c r="M889">
        <f>L889/K889</f>
        <v/>
      </c>
    </row>
    <row r="890">
      <c r="A890" s="1" t="n">
        <v>915</v>
      </c>
      <c r="B890" s="2" t="inlineStr">
        <is>
          <t>Morocco</t>
        </is>
      </c>
      <c r="C890" s="2" t="inlineStr">
        <is>
          <t>Brahim Díaz</t>
        </is>
      </c>
      <c r="D890" s="2" t="inlineStr">
        <is>
          <t>Avançado</t>
        </is>
      </c>
      <c r="E890" s="2" t="inlineStr">
        <is>
          <t>Real Madrid</t>
        </is>
      </c>
      <c r="F890">
        <f>VLOOKUP(E890,Clubes!B$2:D$438,2)</f>
        <v/>
      </c>
      <c r="G890">
        <f>VLOOKUP(E890,Clubes!B$2:D$438,3)</f>
        <v/>
      </c>
      <c r="H890" s="2" t="n">
        <v>38</v>
      </c>
      <c r="J890">
        <f>I890/H890</f>
        <v/>
      </c>
      <c r="K890">
        <f>H890*90</f>
        <v/>
      </c>
      <c r="M890">
        <f>L890/K890</f>
        <v/>
      </c>
    </row>
    <row r="891">
      <c r="A891" s="1" t="n">
        <v>916</v>
      </c>
      <c r="B891" s="2" t="inlineStr">
        <is>
          <t>Morocco</t>
        </is>
      </c>
      <c r="C891" s="2" t="inlineStr">
        <is>
          <t>Gessime Yassine</t>
        </is>
      </c>
      <c r="D891" s="2" t="inlineStr">
        <is>
          <t>Avançado</t>
        </is>
      </c>
      <c r="E891" s="2" t="inlineStr">
        <is>
          <t>Strasbourg</t>
        </is>
      </c>
      <c r="F891">
        <f>VLOOKUP(E891,Clubes!B$2:D$438,2)</f>
        <v/>
      </c>
      <c r="G891">
        <f>VLOOKUP(E891,Clubes!B$2:D$438,3)</f>
        <v/>
      </c>
      <c r="H891" s="2" t="n">
        <v>34</v>
      </c>
      <c r="J891">
        <f>I891/H891</f>
        <v/>
      </c>
      <c r="K891">
        <f>H891*90</f>
        <v/>
      </c>
      <c r="M891">
        <f>L891/K891</f>
        <v/>
      </c>
    </row>
    <row r="892">
      <c r="A892" s="1" t="n">
        <v>917</v>
      </c>
      <c r="B892" s="2" t="inlineStr">
        <is>
          <t>Morocco</t>
        </is>
      </c>
      <c r="C892" s="2" t="inlineStr">
        <is>
          <t>Ayoub Kaabi</t>
        </is>
      </c>
      <c r="D892" s="2" t="inlineStr">
        <is>
          <t>Avançado</t>
        </is>
      </c>
      <c r="E892" s="2" t="inlineStr">
        <is>
          <t>Olympiacos</t>
        </is>
      </c>
      <c r="F892">
        <f>VLOOKUP(E892,Clubes!B$2:D$438,2)</f>
        <v/>
      </c>
      <c r="G892">
        <f>VLOOKUP(E892,Clubes!B$2:D$438,3)</f>
        <v/>
      </c>
      <c r="H892" s="2" t="n">
        <v>36</v>
      </c>
      <c r="J892">
        <f>I892/H892</f>
        <v/>
      </c>
      <c r="K892">
        <f>H892*90</f>
        <v/>
      </c>
      <c r="M892">
        <f>L892/K892</f>
        <v/>
      </c>
    </row>
    <row r="893">
      <c r="A893" s="1" t="n">
        <v>918</v>
      </c>
      <c r="B893" s="2" t="inlineStr">
        <is>
          <t>Morocco</t>
        </is>
      </c>
      <c r="C893" s="2" t="inlineStr">
        <is>
          <t>Soufiane Rahimi</t>
        </is>
      </c>
      <c r="D893" s="2" t="inlineStr">
        <is>
          <t>Avançado</t>
        </is>
      </c>
      <c r="E893" s="2" t="inlineStr">
        <is>
          <t>Al Ain</t>
        </is>
      </c>
      <c r="F893">
        <f>VLOOKUP(E893,Clubes!B$2:D$438,2)</f>
        <v/>
      </c>
      <c r="G893">
        <f>VLOOKUP(E893,Clubes!B$2:D$438,3)</f>
        <v/>
      </c>
      <c r="H893" s="2" t="n">
        <v>26</v>
      </c>
      <c r="J893">
        <f>I893/H893</f>
        <v/>
      </c>
      <c r="K893">
        <f>H893*90</f>
        <v/>
      </c>
      <c r="M893">
        <f>L893/K893</f>
        <v/>
      </c>
    </row>
    <row r="894">
      <c r="A894" s="1" t="n">
        <v>919</v>
      </c>
      <c r="B894" s="2" t="inlineStr">
        <is>
          <t>Morocco</t>
        </is>
      </c>
      <c r="C894" s="2" t="inlineStr">
        <is>
          <t>Abde Ezzalzouli</t>
        </is>
      </c>
      <c r="D894" s="2" t="inlineStr">
        <is>
          <t>Avançado</t>
        </is>
      </c>
      <c r="E894" s="2" t="inlineStr">
        <is>
          <t>Real Betis</t>
        </is>
      </c>
      <c r="F894">
        <f>VLOOKUP(E894,Clubes!B$2:D$438,2)</f>
        <v/>
      </c>
      <c r="G894">
        <f>VLOOKUP(E894,Clubes!B$2:D$438,3)</f>
        <v/>
      </c>
      <c r="H894" s="2" t="n">
        <v>34</v>
      </c>
      <c r="J894">
        <f>I894/H894</f>
        <v/>
      </c>
      <c r="K894">
        <f>H894*90</f>
        <v/>
      </c>
      <c r="M894">
        <f>L894/K894</f>
        <v/>
      </c>
    </row>
    <row r="895">
      <c r="A895" s="1" t="n">
        <v>920</v>
      </c>
      <c r="B895" s="2" t="inlineStr">
        <is>
          <t>Morocco</t>
        </is>
      </c>
      <c r="C895" s="2" t="inlineStr">
        <is>
          <t>Amaimouni-Echghouyab</t>
        </is>
      </c>
      <c r="D895" s="2" t="inlineStr">
        <is>
          <t>Avançado</t>
        </is>
      </c>
      <c r="E895" s="2" t="inlineStr">
        <is>
          <t>Eintracht Frankfurt</t>
        </is>
      </c>
      <c r="F895">
        <f>VLOOKUP(E895,Clubes!B$2:D$438,2)</f>
        <v/>
      </c>
      <c r="G895">
        <f>VLOOKUP(E895,Clubes!B$2:D$438,3)</f>
        <v/>
      </c>
      <c r="H895" s="2" t="n">
        <v>34</v>
      </c>
      <c r="J895">
        <f>I895/H895</f>
        <v/>
      </c>
      <c r="K895">
        <f>H895*90</f>
        <v/>
      </c>
      <c r="M895">
        <f>L895/K895</f>
        <v/>
      </c>
    </row>
    <row r="896">
      <c r="A896" s="1" t="n">
        <v>921</v>
      </c>
      <c r="B896" s="2" t="inlineStr">
        <is>
          <t>Mexico</t>
        </is>
      </c>
      <c r="C896" s="2" t="inlineStr">
        <is>
          <t>José Rangel</t>
        </is>
      </c>
      <c r="D896" s="2" t="inlineStr">
        <is>
          <t>Guarda Redes</t>
        </is>
      </c>
      <c r="E896" s="2" t="inlineStr">
        <is>
          <t>Chivas</t>
        </is>
      </c>
      <c r="F896">
        <f>VLOOKUP(E896,Clubes!B$2:D$438,2)</f>
        <v/>
      </c>
      <c r="G896">
        <f>VLOOKUP(E896,Clubes!B$2:D$438,3)</f>
        <v/>
      </c>
      <c r="H896" s="2" t="n">
        <v>34</v>
      </c>
      <c r="J896">
        <f>I896/H896</f>
        <v/>
      </c>
      <c r="K896">
        <f>H896*90</f>
        <v/>
      </c>
      <c r="M896">
        <f>L896/K896</f>
        <v/>
      </c>
    </row>
    <row r="897">
      <c r="A897" s="1" t="n">
        <v>922</v>
      </c>
      <c r="B897" s="2" t="inlineStr">
        <is>
          <t>Mexico</t>
        </is>
      </c>
      <c r="C897" s="2" t="inlineStr">
        <is>
          <t>Carlos Acevedo</t>
        </is>
      </c>
      <c r="D897" s="2" t="inlineStr">
        <is>
          <t>Guarda Redes</t>
        </is>
      </c>
      <c r="E897" s="2" t="inlineStr">
        <is>
          <t>Santos Laguna</t>
        </is>
      </c>
      <c r="F897">
        <f>VLOOKUP(E897,Clubes!B$2:D$438,2)</f>
        <v/>
      </c>
      <c r="G897">
        <f>VLOOKUP(E897,Clubes!B$2:D$438,3)</f>
        <v/>
      </c>
      <c r="H897" s="2" t="n">
        <v>40</v>
      </c>
      <c r="J897">
        <f>I897/H897</f>
        <v/>
      </c>
      <c r="K897">
        <f>H897*90</f>
        <v/>
      </c>
      <c r="M897">
        <f>L897/K897</f>
        <v/>
      </c>
    </row>
    <row r="898">
      <c r="A898" s="1" t="n">
        <v>923</v>
      </c>
      <c r="B898" s="2" t="inlineStr">
        <is>
          <t>Mexico</t>
        </is>
      </c>
      <c r="C898" s="2" t="inlineStr">
        <is>
          <t>Guillermo Ochoa</t>
        </is>
      </c>
      <c r="D898" s="2" t="inlineStr">
        <is>
          <t>Guarda Redes</t>
        </is>
      </c>
      <c r="E898" s="2" t="inlineStr">
        <is>
          <t>AEL Limassol</t>
        </is>
      </c>
      <c r="F898">
        <f>VLOOKUP(E898,Clubes!B$2:D$438,2)</f>
        <v/>
      </c>
      <c r="G898">
        <f>VLOOKUP(E898,Clubes!B$2:D$438,3)</f>
        <v/>
      </c>
      <c r="H898" s="2" t="n">
        <v>36</v>
      </c>
      <c r="J898">
        <f>I898/H898</f>
        <v/>
      </c>
      <c r="K898">
        <f>H898*90</f>
        <v/>
      </c>
      <c r="M898">
        <f>L898/K898</f>
        <v/>
      </c>
    </row>
    <row r="899">
      <c r="A899" s="1" t="n">
        <v>924</v>
      </c>
      <c r="B899" s="2" t="inlineStr">
        <is>
          <t>Mexico</t>
        </is>
      </c>
      <c r="C899" s="2" t="inlineStr">
        <is>
          <t>Jorge Sánchez</t>
        </is>
      </c>
      <c r="D899" s="2" t="inlineStr">
        <is>
          <t>Defesa</t>
        </is>
      </c>
      <c r="E899" s="2" t="inlineStr">
        <is>
          <t>PAOK</t>
        </is>
      </c>
      <c r="F899">
        <f>VLOOKUP(E899,Clubes!B$2:D$438,2)</f>
        <v/>
      </c>
      <c r="G899">
        <f>VLOOKUP(E899,Clubes!B$2:D$438,3)</f>
        <v/>
      </c>
      <c r="H899" s="2" t="n">
        <v>36</v>
      </c>
      <c r="J899">
        <f>I899/H899</f>
        <v/>
      </c>
      <c r="K899">
        <f>H899*90</f>
        <v/>
      </c>
      <c r="M899">
        <f>L899/K899</f>
        <v/>
      </c>
    </row>
    <row r="900">
      <c r="A900" s="1" t="n">
        <v>925</v>
      </c>
      <c r="B900" s="2" t="inlineStr">
        <is>
          <t>Mexico</t>
        </is>
      </c>
      <c r="C900" s="2" t="inlineStr">
        <is>
          <t>Israel Reyes</t>
        </is>
      </c>
      <c r="D900" s="2" t="inlineStr">
        <is>
          <t>Defesa</t>
        </is>
      </c>
      <c r="E900" s="2" t="inlineStr">
        <is>
          <t>Club América</t>
        </is>
      </c>
      <c r="F900">
        <f>VLOOKUP(E900,Clubes!B$2:D$438,2)</f>
        <v/>
      </c>
      <c r="G900">
        <f>VLOOKUP(E900,Clubes!B$2:D$438,3)</f>
        <v/>
      </c>
      <c r="H900" s="2" t="n">
        <v>34</v>
      </c>
      <c r="J900">
        <f>I900/H900</f>
        <v/>
      </c>
      <c r="K900">
        <f>H900*90</f>
        <v/>
      </c>
      <c r="M900">
        <f>L900/K900</f>
        <v/>
      </c>
    </row>
    <row r="901">
      <c r="A901" s="1" t="n">
        <v>926</v>
      </c>
      <c r="B901" s="2" t="inlineStr">
        <is>
          <t>Mexico</t>
        </is>
      </c>
      <c r="C901" s="2" t="inlineStr">
        <is>
          <t>César Montes</t>
        </is>
      </c>
      <c r="D901" s="2" t="inlineStr">
        <is>
          <t>Defesa</t>
        </is>
      </c>
      <c r="E901" s="2" t="inlineStr">
        <is>
          <t>Lokomotiv</t>
        </is>
      </c>
      <c r="F901">
        <f>VLOOKUP(E901,Clubes!B$2:D$438,2)</f>
        <v/>
      </c>
      <c r="G901">
        <f>VLOOKUP(E901,Clubes!B$2:D$438,3)</f>
        <v/>
      </c>
      <c r="H901" s="2" t="n">
        <v>30</v>
      </c>
      <c r="J901">
        <f>I901/H901</f>
        <v/>
      </c>
      <c r="K901">
        <f>H901*90</f>
        <v/>
      </c>
      <c r="M901">
        <f>L901/K901</f>
        <v/>
      </c>
    </row>
    <row r="902">
      <c r="A902" s="1" t="n">
        <v>927</v>
      </c>
      <c r="B902" s="2" t="inlineStr">
        <is>
          <t>Mexico</t>
        </is>
      </c>
      <c r="C902" s="2" t="inlineStr">
        <is>
          <t>Johan Vásquez</t>
        </is>
      </c>
      <c r="D902" s="2" t="inlineStr">
        <is>
          <t>Defesa</t>
        </is>
      </c>
      <c r="E902" s="2" t="inlineStr">
        <is>
          <t>Genoa</t>
        </is>
      </c>
      <c r="F902">
        <f>VLOOKUP(E902,Clubes!B$2:D$438,2)</f>
        <v/>
      </c>
      <c r="G902">
        <f>VLOOKUP(E902,Clubes!B$2:D$438,3)</f>
        <v/>
      </c>
      <c r="H902" s="2" t="n">
        <v>34</v>
      </c>
      <c r="J902">
        <f>I902/H902</f>
        <v/>
      </c>
      <c r="K902">
        <f>H902*90</f>
        <v/>
      </c>
      <c r="M902">
        <f>L902/K902</f>
        <v/>
      </c>
    </row>
    <row r="903">
      <c r="A903" s="1" t="n">
        <v>928</v>
      </c>
      <c r="B903" s="2" t="inlineStr">
        <is>
          <t>Mexico</t>
        </is>
      </c>
      <c r="C903" s="2" t="inlineStr">
        <is>
          <t>Mateo Chávez</t>
        </is>
      </c>
      <c r="D903" s="2" t="inlineStr">
        <is>
          <t>Defesa</t>
        </is>
      </c>
      <c r="E903" s="2" t="inlineStr">
        <is>
          <t>AZ Alkmaar</t>
        </is>
      </c>
      <c r="F903">
        <f>VLOOKUP(E903,Clubes!B$2:D$438,2)</f>
        <v/>
      </c>
      <c r="G903">
        <f>VLOOKUP(E903,Clubes!B$2:D$438,3)</f>
        <v/>
      </c>
      <c r="H903" s="2" t="n">
        <v>34</v>
      </c>
      <c r="J903">
        <f>I903/H903</f>
        <v/>
      </c>
      <c r="K903">
        <f>H903*90</f>
        <v/>
      </c>
      <c r="M903">
        <f>L903/K903</f>
        <v/>
      </c>
    </row>
    <row r="904">
      <c r="A904" s="1" t="n">
        <v>929</v>
      </c>
      <c r="B904" s="2" t="inlineStr">
        <is>
          <t>Mexico</t>
        </is>
      </c>
      <c r="C904" s="2" t="inlineStr">
        <is>
          <t>Jesús Gallardo</t>
        </is>
      </c>
      <c r="D904" s="2" t="inlineStr">
        <is>
          <t>Defesa</t>
        </is>
      </c>
      <c r="E904" s="2" t="inlineStr">
        <is>
          <t>Toluca</t>
        </is>
      </c>
      <c r="F904">
        <f>VLOOKUP(E904,Clubes!B$2:D$438,2)</f>
        <v/>
      </c>
      <c r="G904">
        <f>VLOOKUP(E904,Clubes!B$2:D$438,3)</f>
        <v/>
      </c>
      <c r="H904" s="2" t="n">
        <v>38</v>
      </c>
      <c r="J904">
        <f>I904/H904</f>
        <v/>
      </c>
      <c r="K904">
        <f>H904*90</f>
        <v/>
      </c>
      <c r="M904">
        <f>L904/K904</f>
        <v/>
      </c>
    </row>
    <row r="905">
      <c r="A905" s="1" t="n">
        <v>930</v>
      </c>
      <c r="B905" s="2" t="inlineStr">
        <is>
          <t>Mexico</t>
        </is>
      </c>
      <c r="C905" s="2" t="inlineStr">
        <is>
          <t>Edson Álvarez</t>
        </is>
      </c>
      <c r="D905" s="2" t="inlineStr">
        <is>
          <t>Médio</t>
        </is>
      </c>
      <c r="E905" s="2" t="inlineStr">
        <is>
          <t>Fenerbahçe</t>
        </is>
      </c>
      <c r="F905">
        <f>VLOOKUP(E905,Clubes!B$2:D$438,2)</f>
        <v/>
      </c>
      <c r="G905">
        <f>VLOOKUP(E905,Clubes!B$2:D$438,3)</f>
        <v/>
      </c>
      <c r="H905" s="2" t="n">
        <v>40</v>
      </c>
      <c r="J905">
        <f>I905/H905</f>
        <v/>
      </c>
      <c r="K905">
        <f>H905*90</f>
        <v/>
      </c>
      <c r="M905">
        <f>L905/K905</f>
        <v/>
      </c>
    </row>
    <row r="906">
      <c r="A906" s="1" t="n">
        <v>931</v>
      </c>
      <c r="B906" s="2" t="inlineStr">
        <is>
          <t>Mexico</t>
        </is>
      </c>
      <c r="C906" s="2" t="inlineStr">
        <is>
          <t>Erik Lira</t>
        </is>
      </c>
      <c r="D906" s="2" t="inlineStr">
        <is>
          <t>Médio</t>
        </is>
      </c>
      <c r="E906" s="2" t="inlineStr">
        <is>
          <t>Cruz Azul</t>
        </is>
      </c>
      <c r="F906">
        <f>VLOOKUP(E906,Clubes!B$2:D$438,2)</f>
        <v/>
      </c>
      <c r="G906">
        <f>VLOOKUP(E906,Clubes!B$2:D$438,3)</f>
        <v/>
      </c>
      <c r="H906" s="2" t="n">
        <v>34</v>
      </c>
      <c r="J906">
        <f>I906/H906</f>
        <v/>
      </c>
      <c r="K906">
        <f>H906*90</f>
        <v/>
      </c>
      <c r="M906">
        <f>L906/K906</f>
        <v/>
      </c>
    </row>
    <row r="907">
      <c r="A907" s="1" t="n">
        <v>932</v>
      </c>
      <c r="B907" s="2" t="inlineStr">
        <is>
          <t>Mexico</t>
        </is>
      </c>
      <c r="C907" s="2" t="inlineStr">
        <is>
          <t>Luis Chávez</t>
        </is>
      </c>
      <c r="D907" s="2" t="inlineStr">
        <is>
          <t>Médio</t>
        </is>
      </c>
      <c r="E907" s="2" t="inlineStr">
        <is>
          <t>Dynamo Moskva</t>
        </is>
      </c>
      <c r="F907">
        <f>VLOOKUP(E907,Clubes!B$2:D$438,2)</f>
        <v/>
      </c>
      <c r="G907">
        <f>VLOOKUP(E907,Clubes!B$2:D$438,3)</f>
        <v/>
      </c>
      <c r="H907" s="2" t="n">
        <v>30</v>
      </c>
      <c r="J907">
        <f>I907/H907</f>
        <v/>
      </c>
      <c r="K907">
        <f>H907*90</f>
        <v/>
      </c>
      <c r="M907">
        <f>L907/K907</f>
        <v/>
      </c>
    </row>
    <row r="908">
      <c r="A908" s="1" t="n">
        <v>933</v>
      </c>
      <c r="B908" s="2" t="inlineStr">
        <is>
          <t>Mexico</t>
        </is>
      </c>
      <c r="C908" s="2" t="inlineStr">
        <is>
          <t>Luis Romo</t>
        </is>
      </c>
      <c r="D908" s="2" t="inlineStr">
        <is>
          <t>Médio</t>
        </is>
      </c>
      <c r="E908" s="2" t="inlineStr">
        <is>
          <t>Chivas</t>
        </is>
      </c>
      <c r="F908">
        <f>VLOOKUP(E908,Clubes!B$2:D$438,2)</f>
        <v/>
      </c>
      <c r="G908">
        <f>VLOOKUP(E908,Clubes!B$2:D$438,3)</f>
        <v/>
      </c>
      <c r="H908" s="2" t="n">
        <v>34</v>
      </c>
      <c r="J908">
        <f>I908/H908</f>
        <v/>
      </c>
      <c r="K908">
        <f>H908*90</f>
        <v/>
      </c>
      <c r="M908">
        <f>L908/K908</f>
        <v/>
      </c>
    </row>
    <row r="909">
      <c r="A909" s="1" t="n">
        <v>934</v>
      </c>
      <c r="B909" s="2" t="inlineStr">
        <is>
          <t>Mexico</t>
        </is>
      </c>
      <c r="C909" s="2" t="inlineStr">
        <is>
          <t>Álvaro Fidalgo</t>
        </is>
      </c>
      <c r="D909" s="2" t="inlineStr">
        <is>
          <t>Médio</t>
        </is>
      </c>
      <c r="E909" s="2" t="inlineStr">
        <is>
          <t>Real Betis</t>
        </is>
      </c>
      <c r="F909">
        <f>VLOOKUP(E909,Clubes!B$2:D$438,2)</f>
        <v/>
      </c>
      <c r="G909">
        <f>VLOOKUP(E909,Clubes!B$2:D$438,3)</f>
        <v/>
      </c>
      <c r="H909" s="2" t="n">
        <v>34</v>
      </c>
      <c r="J909">
        <f>I909/H909</f>
        <v/>
      </c>
      <c r="K909">
        <f>H909*90</f>
        <v/>
      </c>
      <c r="M909">
        <f>L909/K909</f>
        <v/>
      </c>
    </row>
    <row r="910">
      <c r="A910" s="1" t="n">
        <v>935</v>
      </c>
      <c r="B910" s="2" t="inlineStr">
        <is>
          <t>Mexico</t>
        </is>
      </c>
      <c r="C910" s="2" t="inlineStr">
        <is>
          <t>Orbelín Pineda</t>
        </is>
      </c>
      <c r="D910" s="2" t="inlineStr">
        <is>
          <t>Médio</t>
        </is>
      </c>
      <c r="E910" s="2" t="inlineStr">
        <is>
          <t>AEK</t>
        </is>
      </c>
      <c r="F910">
        <f>VLOOKUP(E910,Clubes!B$2:D$438,2)</f>
        <v/>
      </c>
      <c r="G910">
        <f>VLOOKUP(E910,Clubes!B$2:D$438,3)</f>
        <v/>
      </c>
      <c r="H910" s="2" t="n">
        <v>36</v>
      </c>
      <c r="J910">
        <f>I910/H910</f>
        <v/>
      </c>
      <c r="K910">
        <f>H910*90</f>
        <v/>
      </c>
      <c r="M910">
        <f>L910/K910</f>
        <v/>
      </c>
    </row>
    <row r="911">
      <c r="A911" s="1" t="n">
        <v>936</v>
      </c>
      <c r="B911" s="2" t="inlineStr">
        <is>
          <t>Mexico</t>
        </is>
      </c>
      <c r="C911" s="2" t="inlineStr">
        <is>
          <t>Obed Vargas</t>
        </is>
      </c>
      <c r="D911" s="2" t="inlineStr">
        <is>
          <t>Médio</t>
        </is>
      </c>
      <c r="E911" s="2" t="inlineStr">
        <is>
          <t>Atlético de Madrid</t>
        </is>
      </c>
      <c r="F911">
        <f>VLOOKUP(E911,Clubes!B$2:D$438,2)</f>
        <v/>
      </c>
      <c r="G911">
        <f>VLOOKUP(E911,Clubes!B$2:D$438,3)</f>
        <v/>
      </c>
      <c r="H911" s="2" t="n">
        <v>34</v>
      </c>
      <c r="J911">
        <f>I911/H911</f>
        <v/>
      </c>
      <c r="K911">
        <f>H911*90</f>
        <v/>
      </c>
      <c r="M911">
        <f>L911/K911</f>
        <v/>
      </c>
    </row>
    <row r="912">
      <c r="A912" s="1" t="n">
        <v>937</v>
      </c>
      <c r="B912" s="2" t="inlineStr">
        <is>
          <t>Mexico</t>
        </is>
      </c>
      <c r="C912" s="2" t="inlineStr">
        <is>
          <t>Gilberto Mora</t>
        </is>
      </c>
      <c r="D912" s="2" t="inlineStr">
        <is>
          <t>Médio</t>
        </is>
      </c>
      <c r="E912" s="2" t="inlineStr">
        <is>
          <t>Club Tijuana</t>
        </is>
      </c>
      <c r="F912">
        <f>VLOOKUP(E912,Clubes!B$2:D$438,2)</f>
        <v/>
      </c>
      <c r="G912">
        <f>VLOOKUP(E912,Clubes!B$2:D$438,3)</f>
        <v/>
      </c>
      <c r="H912" s="2" t="n">
        <v>34</v>
      </c>
      <c r="J912">
        <f>I912/H912</f>
        <v/>
      </c>
      <c r="K912">
        <f>H912*90</f>
        <v/>
      </c>
      <c r="M912">
        <f>L912/K912</f>
        <v/>
      </c>
    </row>
    <row r="913">
      <c r="A913" s="1" t="n">
        <v>938</v>
      </c>
      <c r="B913" s="2" t="inlineStr">
        <is>
          <t>Mexico</t>
        </is>
      </c>
      <c r="C913" s="2" t="inlineStr">
        <is>
          <t>Roberto Alvarado</t>
        </is>
      </c>
      <c r="D913" s="2" t="inlineStr">
        <is>
          <t>Avançado</t>
        </is>
      </c>
      <c r="E913" s="2" t="inlineStr">
        <is>
          <t>Chivas</t>
        </is>
      </c>
      <c r="F913">
        <f>VLOOKUP(E913,Clubes!B$2:D$438,2)</f>
        <v/>
      </c>
      <c r="G913">
        <f>VLOOKUP(E913,Clubes!B$2:D$438,3)</f>
        <v/>
      </c>
      <c r="H913" s="2" t="n">
        <v>34</v>
      </c>
      <c r="J913">
        <f>I913/H913</f>
        <v/>
      </c>
      <c r="K913">
        <f>H913*90</f>
        <v/>
      </c>
      <c r="M913">
        <f>L913/K913</f>
        <v/>
      </c>
    </row>
    <row r="914">
      <c r="A914" s="1" t="n">
        <v>939</v>
      </c>
      <c r="B914" s="2" t="inlineStr">
        <is>
          <t>Mexico</t>
        </is>
      </c>
      <c r="C914" s="2" t="inlineStr">
        <is>
          <t>Raúl Jiménez</t>
        </is>
      </c>
      <c r="D914" s="2" t="inlineStr">
        <is>
          <t>Avançado</t>
        </is>
      </c>
      <c r="E914" s="2" t="inlineStr">
        <is>
          <t>Fulham</t>
        </is>
      </c>
      <c r="F914">
        <f>VLOOKUP(E914,Clubes!B$2:D$438,2)</f>
        <v/>
      </c>
      <c r="G914">
        <f>VLOOKUP(E914,Clubes!B$2:D$438,3)</f>
        <v/>
      </c>
      <c r="H914" s="2" t="n">
        <v>38</v>
      </c>
      <c r="J914">
        <f>I914/H914</f>
        <v/>
      </c>
      <c r="K914">
        <f>H914*90</f>
        <v/>
      </c>
      <c r="M914">
        <f>L914/K914</f>
        <v/>
      </c>
    </row>
    <row r="915">
      <c r="A915" s="1" t="n">
        <v>940</v>
      </c>
      <c r="B915" s="2" t="inlineStr">
        <is>
          <t>Mexico</t>
        </is>
      </c>
      <c r="C915" s="2" t="inlineStr">
        <is>
          <t>Santiago Giménez</t>
        </is>
      </c>
      <c r="D915" s="2" t="inlineStr">
        <is>
          <t>Avançado</t>
        </is>
      </c>
      <c r="E915" s="2" t="inlineStr">
        <is>
          <t>Milan</t>
        </is>
      </c>
      <c r="F915">
        <f>VLOOKUP(E915,Clubes!B$2:D$438,2)</f>
        <v/>
      </c>
      <c r="G915">
        <f>VLOOKUP(E915,Clubes!B$2:D$438,3)</f>
        <v/>
      </c>
      <c r="H915" s="2" t="n">
        <v>38</v>
      </c>
      <c r="J915">
        <f>I915/H915</f>
        <v/>
      </c>
      <c r="K915">
        <f>H915*90</f>
        <v/>
      </c>
      <c r="M915">
        <f>L915/K915</f>
        <v/>
      </c>
    </row>
    <row r="916">
      <c r="A916" s="1" t="n">
        <v>941</v>
      </c>
      <c r="B916" s="2" t="inlineStr">
        <is>
          <t>Mexico</t>
        </is>
      </c>
      <c r="C916" s="2" t="inlineStr">
        <is>
          <t>Armando González</t>
        </is>
      </c>
      <c r="D916" s="2" t="inlineStr">
        <is>
          <t>Avançado</t>
        </is>
      </c>
      <c r="E916" s="2" t="inlineStr">
        <is>
          <t>Chivas</t>
        </is>
      </c>
      <c r="F916">
        <f>VLOOKUP(E916,Clubes!B$2:D$438,2)</f>
        <v/>
      </c>
      <c r="G916">
        <f>VLOOKUP(E916,Clubes!B$2:D$438,3)</f>
        <v/>
      </c>
      <c r="H916" s="2" t="n">
        <v>34</v>
      </c>
      <c r="J916">
        <f>I916/H916</f>
        <v/>
      </c>
      <c r="K916">
        <f>H916*90</f>
        <v/>
      </c>
      <c r="M916">
        <f>L916/K916</f>
        <v/>
      </c>
    </row>
    <row r="917">
      <c r="A917" s="1" t="n">
        <v>942</v>
      </c>
      <c r="B917" s="2" t="inlineStr">
        <is>
          <t>Mexico</t>
        </is>
      </c>
      <c r="C917" s="2" t="inlineStr">
        <is>
          <t>Julián Quiñones</t>
        </is>
      </c>
      <c r="D917" s="2" t="inlineStr">
        <is>
          <t>Avançado</t>
        </is>
      </c>
      <c r="E917" s="2" t="inlineStr">
        <is>
          <t>Al-Qadisiyah</t>
        </is>
      </c>
      <c r="F917">
        <f>VLOOKUP(E917,Clubes!B$2:D$438,2)</f>
        <v/>
      </c>
      <c r="G917">
        <f>VLOOKUP(E917,Clubes!B$2:D$438,3)</f>
        <v/>
      </c>
      <c r="H917" s="2" t="n">
        <v>34</v>
      </c>
      <c r="J917">
        <f>I917/H917</f>
        <v/>
      </c>
      <c r="K917">
        <f>H917*90</f>
        <v/>
      </c>
      <c r="M917">
        <f>L917/K917</f>
        <v/>
      </c>
    </row>
    <row r="918">
      <c r="A918" s="1" t="n">
        <v>943</v>
      </c>
      <c r="B918" s="2" t="inlineStr">
        <is>
          <t>Mexico</t>
        </is>
      </c>
      <c r="C918" s="2" t="inlineStr">
        <is>
          <t>Guillermo Martínez</t>
        </is>
      </c>
      <c r="D918" s="2" t="inlineStr">
        <is>
          <t>Avançado</t>
        </is>
      </c>
      <c r="E918" s="2" t="inlineStr">
        <is>
          <t>Pumas</t>
        </is>
      </c>
      <c r="F918">
        <f>VLOOKUP(E918,Clubes!B$2:D$438,2)</f>
        <v/>
      </c>
      <c r="G918">
        <f>VLOOKUP(E918,Clubes!B$2:D$438,3)</f>
        <v/>
      </c>
      <c r="H918" s="2" t="n">
        <v>34</v>
      </c>
      <c r="J918">
        <f>I918/H918</f>
        <v/>
      </c>
      <c r="K918">
        <f>H918*90</f>
        <v/>
      </c>
      <c r="M918">
        <f>L918/K918</f>
        <v/>
      </c>
    </row>
    <row r="919">
      <c r="A919" s="1" t="n">
        <v>944</v>
      </c>
      <c r="B919" s="2" t="inlineStr">
        <is>
          <t>Mexico</t>
        </is>
      </c>
      <c r="C919" s="2" t="inlineStr">
        <is>
          <t>Alexis Vega</t>
        </is>
      </c>
      <c r="D919" s="2" t="inlineStr">
        <is>
          <t>Avançado</t>
        </is>
      </c>
      <c r="E919" s="2" t="inlineStr">
        <is>
          <t>Toluca</t>
        </is>
      </c>
      <c r="F919">
        <f>VLOOKUP(E919,Clubes!B$2:D$438,2)</f>
        <v/>
      </c>
      <c r="G919">
        <f>VLOOKUP(E919,Clubes!B$2:D$438,3)</f>
        <v/>
      </c>
      <c r="H919" s="2" t="n">
        <v>38</v>
      </c>
      <c r="J919">
        <f>I919/H919</f>
        <v/>
      </c>
      <c r="K919">
        <f>H919*90</f>
        <v/>
      </c>
      <c r="M919">
        <f>L919/K919</f>
        <v/>
      </c>
    </row>
    <row r="920">
      <c r="A920" s="1" t="n">
        <v>945</v>
      </c>
      <c r="B920" s="2" t="inlineStr">
        <is>
          <t>Mexico</t>
        </is>
      </c>
      <c r="C920" s="2" t="inlineStr">
        <is>
          <t>César Huerta</t>
        </is>
      </c>
      <c r="D920" s="2" t="inlineStr">
        <is>
          <t>Avançado</t>
        </is>
      </c>
      <c r="E920" s="2" t="inlineStr">
        <is>
          <t>Anderlecht</t>
        </is>
      </c>
      <c r="F920">
        <f>VLOOKUP(E920,Clubes!B$2:D$438,2)</f>
        <v/>
      </c>
      <c r="G920">
        <f>VLOOKUP(E920,Clubes!B$2:D$438,3)</f>
        <v/>
      </c>
      <c r="H920" s="2" t="n">
        <v>40</v>
      </c>
      <c r="J920">
        <f>I920/H920</f>
        <v/>
      </c>
      <c r="K920">
        <f>H920*90</f>
        <v/>
      </c>
      <c r="M920">
        <f>L920/K920</f>
        <v/>
      </c>
    </row>
    <row r="921">
      <c r="A921" s="1" t="n">
        <v>946</v>
      </c>
      <c r="B921" s="2" t="inlineStr">
        <is>
          <t>Mexico</t>
        </is>
      </c>
      <c r="C921" s="2" t="inlineStr">
        <is>
          <t>Brian Gutiérrez</t>
        </is>
      </c>
      <c r="D921" s="2" t="inlineStr">
        <is>
          <t>Avançado</t>
        </is>
      </c>
      <c r="E921" s="2" t="inlineStr">
        <is>
          <t>Chivas</t>
        </is>
      </c>
      <c r="F921">
        <f>VLOOKUP(E921,Clubes!B$2:D$438,2)</f>
        <v/>
      </c>
      <c r="G921">
        <f>VLOOKUP(E921,Clubes!B$2:D$438,3)</f>
        <v/>
      </c>
      <c r="H921" s="2" t="n">
        <v>34</v>
      </c>
      <c r="J921">
        <f>I921/H921</f>
        <v/>
      </c>
      <c r="K921">
        <f>H921*90</f>
        <v/>
      </c>
      <c r="M921">
        <f>L921/K921</f>
        <v/>
      </c>
    </row>
    <row r="922">
      <c r="A922" s="1" t="n">
        <v>947</v>
      </c>
      <c r="B922" s="2" t="inlineStr">
        <is>
          <t>Norway</t>
        </is>
      </c>
      <c r="C922" s="2" t="inlineStr">
        <is>
          <t>Orjan Nyland</t>
        </is>
      </c>
      <c r="D922" s="2" t="inlineStr">
        <is>
          <t>Guarda Redes</t>
        </is>
      </c>
      <c r="E922" s="2" t="inlineStr">
        <is>
          <t>Sevilla</t>
        </is>
      </c>
      <c r="F922">
        <f>VLOOKUP(E922,Clubes!B$2:D$438,2)</f>
        <v/>
      </c>
      <c r="G922">
        <f>VLOOKUP(E922,Clubes!B$2:D$438,3)</f>
        <v/>
      </c>
      <c r="H922" s="2" t="n">
        <v>38</v>
      </c>
      <c r="J922">
        <f>I922/H922</f>
        <v/>
      </c>
      <c r="K922">
        <f>H922*90</f>
        <v/>
      </c>
      <c r="M922">
        <f>L922/K922</f>
        <v/>
      </c>
    </row>
    <row r="923">
      <c r="A923" s="1" t="n">
        <v>948</v>
      </c>
      <c r="B923" s="2" t="inlineStr">
        <is>
          <t>Norway</t>
        </is>
      </c>
      <c r="C923" s="2" t="inlineStr">
        <is>
          <t>Sander Tangvik</t>
        </is>
      </c>
      <c r="D923" s="2" t="inlineStr">
        <is>
          <t>Guarda Redes</t>
        </is>
      </c>
      <c r="E923" s="2" t="inlineStr">
        <is>
          <t>Hamburger SV</t>
        </is>
      </c>
      <c r="F923">
        <f>VLOOKUP(E923,Clubes!B$2:D$438,2)</f>
        <v/>
      </c>
      <c r="G923">
        <f>VLOOKUP(E923,Clubes!B$2:D$438,3)</f>
        <v/>
      </c>
      <c r="H923" s="2" t="n">
        <v>34</v>
      </c>
      <c r="J923">
        <f>I923/H923</f>
        <v/>
      </c>
      <c r="K923">
        <f>H923*90</f>
        <v/>
      </c>
      <c r="M923">
        <f>L923/K923</f>
        <v/>
      </c>
    </row>
    <row r="924">
      <c r="A924" s="1" t="n">
        <v>949</v>
      </c>
      <c r="B924" s="2" t="inlineStr">
        <is>
          <t>Norway</t>
        </is>
      </c>
      <c r="C924" s="2" t="inlineStr">
        <is>
          <t>Egil Selvik</t>
        </is>
      </c>
      <c r="D924" s="2" t="inlineStr">
        <is>
          <t>Guarda Redes</t>
        </is>
      </c>
      <c r="E924" s="2" t="inlineStr">
        <is>
          <t>Watford</t>
        </is>
      </c>
      <c r="F924">
        <f>VLOOKUP(E924,Clubes!B$2:D$438,2)</f>
        <v/>
      </c>
      <c r="G924">
        <f>VLOOKUP(E924,Clubes!B$2:D$438,3)</f>
        <v/>
      </c>
      <c r="H924" s="2" t="n">
        <v>32</v>
      </c>
      <c r="J924">
        <f>I924/H924</f>
        <v/>
      </c>
      <c r="K924">
        <f>H924*90</f>
        <v/>
      </c>
      <c r="M924">
        <f>L924/K924</f>
        <v/>
      </c>
    </row>
    <row r="925">
      <c r="A925" s="1" t="n">
        <v>950</v>
      </c>
      <c r="B925" s="2" t="inlineStr">
        <is>
          <t>Norway</t>
        </is>
      </c>
      <c r="C925" s="2" t="inlineStr">
        <is>
          <t>Marcus Pedersen</t>
        </is>
      </c>
      <c r="D925" s="2" t="inlineStr">
        <is>
          <t>Defesa</t>
        </is>
      </c>
      <c r="E925" s="2" t="inlineStr">
        <is>
          <t>Torino</t>
        </is>
      </c>
      <c r="F925">
        <f>VLOOKUP(E925,Clubes!B$2:D$438,2)</f>
        <v/>
      </c>
      <c r="G925">
        <f>VLOOKUP(E925,Clubes!B$2:D$438,3)</f>
        <v/>
      </c>
      <c r="H925" s="2" t="n">
        <v>38</v>
      </c>
      <c r="J925">
        <f>I925/H925</f>
        <v/>
      </c>
      <c r="K925">
        <f>H925*90</f>
        <v/>
      </c>
      <c r="M925">
        <f>L925/K925</f>
        <v/>
      </c>
    </row>
    <row r="926">
      <c r="A926" s="1" t="n">
        <v>951</v>
      </c>
      <c r="B926" s="2" t="inlineStr">
        <is>
          <t>Norway</t>
        </is>
      </c>
      <c r="C926" s="2" t="inlineStr">
        <is>
          <t>Julian Ryerson</t>
        </is>
      </c>
      <c r="D926" s="2" t="inlineStr">
        <is>
          <t>Defesa</t>
        </is>
      </c>
      <c r="E926" s="2" t="inlineStr">
        <is>
          <t>Borussia Dortmund</t>
        </is>
      </c>
      <c r="F926">
        <f>VLOOKUP(E926,Clubes!B$2:D$438,2)</f>
        <v/>
      </c>
      <c r="G926">
        <f>VLOOKUP(E926,Clubes!B$2:D$438,3)</f>
        <v/>
      </c>
      <c r="H926" s="2" t="n">
        <v>34</v>
      </c>
      <c r="J926">
        <f>I926/H926</f>
        <v/>
      </c>
      <c r="K926">
        <f>H926*90</f>
        <v/>
      </c>
      <c r="M926">
        <f>L926/K926</f>
        <v/>
      </c>
    </row>
    <row r="927">
      <c r="A927" s="1" t="n">
        <v>952</v>
      </c>
      <c r="B927" s="2" t="inlineStr">
        <is>
          <t>Norway</t>
        </is>
      </c>
      <c r="C927" s="2" t="inlineStr">
        <is>
          <t>Kristoffer Ajer</t>
        </is>
      </c>
      <c r="D927" s="2" t="inlineStr">
        <is>
          <t>Defesa</t>
        </is>
      </c>
      <c r="E927" s="2" t="inlineStr">
        <is>
          <t>Brentford</t>
        </is>
      </c>
      <c r="F927">
        <f>VLOOKUP(E927,Clubes!B$2:D$438,2)</f>
        <v/>
      </c>
      <c r="G927">
        <f>VLOOKUP(E927,Clubes!B$2:D$438,3)</f>
        <v/>
      </c>
      <c r="H927" s="2" t="n">
        <v>38</v>
      </c>
      <c r="J927">
        <f>I927/H927</f>
        <v/>
      </c>
      <c r="K927">
        <f>H927*90</f>
        <v/>
      </c>
      <c r="M927">
        <f>L927/K927</f>
        <v/>
      </c>
    </row>
    <row r="928">
      <c r="A928" s="1" t="n">
        <v>953</v>
      </c>
      <c r="B928" s="2" t="inlineStr">
        <is>
          <t>Norway</t>
        </is>
      </c>
      <c r="C928" s="2" t="inlineStr">
        <is>
          <t>Leo Ostigard</t>
        </is>
      </c>
      <c r="D928" s="2" t="inlineStr">
        <is>
          <t>Defesa</t>
        </is>
      </c>
      <c r="E928" s="2" t="inlineStr">
        <is>
          <t>Genoa</t>
        </is>
      </c>
      <c r="F928">
        <f>VLOOKUP(E928,Clubes!B$2:D$438,2)</f>
        <v/>
      </c>
      <c r="G928">
        <f>VLOOKUP(E928,Clubes!B$2:D$438,3)</f>
        <v/>
      </c>
      <c r="H928" s="2" t="n">
        <v>34</v>
      </c>
      <c r="J928">
        <f>I928/H928</f>
        <v/>
      </c>
      <c r="K928">
        <f>H928*90</f>
        <v/>
      </c>
      <c r="M928">
        <f>L928/K928</f>
        <v/>
      </c>
    </row>
    <row r="929">
      <c r="A929" s="1" t="n">
        <v>954</v>
      </c>
      <c r="B929" s="2" t="inlineStr">
        <is>
          <t>Norway</t>
        </is>
      </c>
      <c r="C929" s="2" t="inlineStr">
        <is>
          <t>Torbjorn Heggem</t>
        </is>
      </c>
      <c r="D929" s="2" t="inlineStr">
        <is>
          <t>Defesa</t>
        </is>
      </c>
      <c r="E929" s="2" t="inlineStr">
        <is>
          <t>Bologna</t>
        </is>
      </c>
      <c r="F929">
        <f>VLOOKUP(E929,Clubes!B$2:D$438,2)</f>
        <v/>
      </c>
      <c r="G929">
        <f>VLOOKUP(E929,Clubes!B$2:D$438,3)</f>
        <v/>
      </c>
      <c r="H929" s="2" t="n">
        <v>38</v>
      </c>
      <c r="J929">
        <f>I929/H929</f>
        <v/>
      </c>
      <c r="K929">
        <f>H929*90</f>
        <v/>
      </c>
      <c r="M929">
        <f>L929/K929</f>
        <v/>
      </c>
    </row>
    <row r="930">
      <c r="A930" s="1" t="n">
        <v>955</v>
      </c>
      <c r="B930" s="2" t="inlineStr">
        <is>
          <t>Norway</t>
        </is>
      </c>
      <c r="C930" s="2" t="inlineStr">
        <is>
          <t>Sondre Langas</t>
        </is>
      </c>
      <c r="D930" s="2" t="inlineStr">
        <is>
          <t>Defesa</t>
        </is>
      </c>
      <c r="E930" s="2" t="inlineStr">
        <is>
          <t>Derby County</t>
        </is>
      </c>
      <c r="F930">
        <f>VLOOKUP(E930,Clubes!B$2:D$438,2)</f>
        <v/>
      </c>
      <c r="G930">
        <f>VLOOKUP(E930,Clubes!B$2:D$438,3)</f>
        <v/>
      </c>
      <c r="H930" s="2" t="n">
        <v>46</v>
      </c>
      <c r="J930">
        <f>I930/H930</f>
        <v/>
      </c>
      <c r="K930">
        <f>H930*90</f>
        <v/>
      </c>
      <c r="M930">
        <f>L930/K930</f>
        <v/>
      </c>
    </row>
    <row r="931">
      <c r="A931" s="1" t="n">
        <v>956</v>
      </c>
      <c r="B931" s="2" t="inlineStr">
        <is>
          <t>Norway</t>
        </is>
      </c>
      <c r="C931" s="2" t="inlineStr">
        <is>
          <t>Henrik Falchener</t>
        </is>
      </c>
      <c r="D931" s="2" t="inlineStr">
        <is>
          <t>Defesa</t>
        </is>
      </c>
      <c r="E931" s="2" t="inlineStr">
        <is>
          <t>Viking</t>
        </is>
      </c>
      <c r="F931">
        <f>VLOOKUP(E931,Clubes!B$2:D$438,2)</f>
        <v/>
      </c>
      <c r="G931">
        <f>VLOOKUP(E931,Clubes!B$2:D$438,3)</f>
        <v/>
      </c>
      <c r="H931" s="2" t="n">
        <v>30</v>
      </c>
      <c r="J931">
        <f>I931/H931</f>
        <v/>
      </c>
      <c r="K931">
        <f>H931*90</f>
        <v/>
      </c>
      <c r="M931">
        <f>L931/K931</f>
        <v/>
      </c>
    </row>
    <row r="932">
      <c r="A932" s="1" t="n">
        <v>957</v>
      </c>
      <c r="B932" s="2" t="inlineStr">
        <is>
          <t>Norway</t>
        </is>
      </c>
      <c r="C932" s="2" t="inlineStr">
        <is>
          <t>David Wolfe</t>
        </is>
      </c>
      <c r="D932" s="2" t="inlineStr">
        <is>
          <t>Defesa</t>
        </is>
      </c>
      <c r="E932" s="2" t="inlineStr">
        <is>
          <t>Wolverhampton</t>
        </is>
      </c>
      <c r="F932">
        <f>VLOOKUP(E932,Clubes!B$2:D$438,2)</f>
        <v/>
      </c>
      <c r="G932">
        <f>VLOOKUP(E932,Clubes!B$2:D$438,3)</f>
        <v/>
      </c>
      <c r="H932" s="2" t="n">
        <v>38</v>
      </c>
      <c r="J932">
        <f>I932/H932</f>
        <v/>
      </c>
      <c r="K932">
        <f>H932*90</f>
        <v/>
      </c>
      <c r="M932">
        <f>L932/K932</f>
        <v/>
      </c>
    </row>
    <row r="933">
      <c r="A933" s="1" t="n">
        <v>958</v>
      </c>
      <c r="B933" s="2" t="inlineStr">
        <is>
          <t>Norway</t>
        </is>
      </c>
      <c r="C933" s="2" t="inlineStr">
        <is>
          <t>Fredrik Bjorkan</t>
        </is>
      </c>
      <c r="D933" s="2" t="inlineStr">
        <is>
          <t>Defesa</t>
        </is>
      </c>
      <c r="E933" s="2" t="inlineStr">
        <is>
          <t>Bodo/Glimt</t>
        </is>
      </c>
      <c r="F933">
        <f>VLOOKUP(E933,Clubes!B$2:D$438,2)</f>
        <v/>
      </c>
      <c r="G933">
        <f>VLOOKUP(E933,Clubes!B$2:D$438,3)</f>
        <v/>
      </c>
      <c r="H933" s="2" t="n">
        <v>30</v>
      </c>
      <c r="J933">
        <f>I933/H933</f>
        <v/>
      </c>
      <c r="K933">
        <f>H933*90</f>
        <v/>
      </c>
      <c r="M933">
        <f>L933/K933</f>
        <v/>
      </c>
    </row>
    <row r="934">
      <c r="A934" s="1" t="n">
        <v>959</v>
      </c>
      <c r="B934" s="2" t="inlineStr">
        <is>
          <t>Norway</t>
        </is>
      </c>
      <c r="C934" s="2" t="inlineStr">
        <is>
          <t>Morten Thorsby</t>
        </is>
      </c>
      <c r="D934" s="2" t="inlineStr">
        <is>
          <t>Médio</t>
        </is>
      </c>
      <c r="E934" s="2" t="inlineStr">
        <is>
          <t>Cremonese</t>
        </is>
      </c>
      <c r="F934">
        <f>VLOOKUP(E934,Clubes!B$2:D$438,2)</f>
        <v/>
      </c>
      <c r="G934">
        <f>VLOOKUP(E934,Clubes!B$2:D$438,3)</f>
        <v/>
      </c>
      <c r="H934" s="2" t="n">
        <v>38</v>
      </c>
      <c r="J934">
        <f>I934/H934</f>
        <v/>
      </c>
      <c r="K934">
        <f>H934*90</f>
        <v/>
      </c>
      <c r="M934">
        <f>L934/K934</f>
        <v/>
      </c>
    </row>
    <row r="935">
      <c r="A935" s="1" t="n">
        <v>960</v>
      </c>
      <c r="B935" s="2" t="inlineStr">
        <is>
          <t>Norway</t>
        </is>
      </c>
      <c r="C935" s="2" t="inlineStr">
        <is>
          <t>Patrick Berg</t>
        </is>
      </c>
      <c r="D935" s="2" t="inlineStr">
        <is>
          <t>Médio</t>
        </is>
      </c>
      <c r="E935" s="2" t="inlineStr">
        <is>
          <t>Bodo/Glimt</t>
        </is>
      </c>
      <c r="F935">
        <f>VLOOKUP(E935,Clubes!B$2:D$438,2)</f>
        <v/>
      </c>
      <c r="G935">
        <f>VLOOKUP(E935,Clubes!B$2:D$438,3)</f>
        <v/>
      </c>
      <c r="H935" s="2" t="n">
        <v>30</v>
      </c>
      <c r="J935">
        <f>I935/H935</f>
        <v/>
      </c>
      <c r="K935">
        <f>H935*90</f>
        <v/>
      </c>
      <c r="M935">
        <f>L935/K935</f>
        <v/>
      </c>
    </row>
    <row r="936">
      <c r="A936" s="1" t="n">
        <v>961</v>
      </c>
      <c r="B936" s="2" t="inlineStr">
        <is>
          <t>Norway</t>
        </is>
      </c>
      <c r="C936" s="2" t="inlineStr">
        <is>
          <t>Sander Berge</t>
        </is>
      </c>
      <c r="D936" s="2" t="inlineStr">
        <is>
          <t>Médio</t>
        </is>
      </c>
      <c r="E936" s="2" t="inlineStr">
        <is>
          <t>Fulham</t>
        </is>
      </c>
      <c r="F936">
        <f>VLOOKUP(E936,Clubes!B$2:D$438,2)</f>
        <v/>
      </c>
      <c r="G936">
        <f>VLOOKUP(E936,Clubes!B$2:D$438,3)</f>
        <v/>
      </c>
      <c r="H936" s="2" t="n">
        <v>38</v>
      </c>
      <c r="J936">
        <f>I936/H936</f>
        <v/>
      </c>
      <c r="K936">
        <f>H936*90</f>
        <v/>
      </c>
      <c r="M936">
        <f>L936/K936</f>
        <v/>
      </c>
    </row>
    <row r="937">
      <c r="A937" s="1" t="n">
        <v>962</v>
      </c>
      <c r="B937" s="2" t="inlineStr">
        <is>
          <t>Norway</t>
        </is>
      </c>
      <c r="C937" s="2" t="inlineStr">
        <is>
          <t>Fredrik Aursnes</t>
        </is>
      </c>
      <c r="D937" s="2" t="inlineStr">
        <is>
          <t>Médio</t>
        </is>
      </c>
      <c r="E937" s="2" t="inlineStr">
        <is>
          <t>Benfica</t>
        </is>
      </c>
      <c r="F937">
        <f>VLOOKUP(E937,Clubes!B$2:D$438,2)</f>
        <v/>
      </c>
      <c r="G937">
        <f>VLOOKUP(E937,Clubes!B$2:D$438,3)</f>
        <v/>
      </c>
      <c r="H937" s="2" t="n">
        <v>34</v>
      </c>
      <c r="J937">
        <f>I937/H937</f>
        <v/>
      </c>
      <c r="K937">
        <f>H937*90</f>
        <v/>
      </c>
      <c r="M937">
        <f>L937/K937</f>
        <v/>
      </c>
    </row>
    <row r="938">
      <c r="A938" s="1" t="n">
        <v>963</v>
      </c>
      <c r="B938" s="2" t="inlineStr">
        <is>
          <t>Norway</t>
        </is>
      </c>
      <c r="C938" s="2" t="inlineStr">
        <is>
          <t>Martin Odegaard</t>
        </is>
      </c>
      <c r="D938" s="2" t="inlineStr">
        <is>
          <t>Médio</t>
        </is>
      </c>
      <c r="E938" s="2" t="inlineStr">
        <is>
          <t>Arsenal</t>
        </is>
      </c>
      <c r="F938">
        <f>VLOOKUP(E938,Clubes!B$2:D$438,2)</f>
        <v/>
      </c>
      <c r="G938">
        <f>VLOOKUP(E938,Clubes!B$2:D$438,3)</f>
        <v/>
      </c>
      <c r="H938" s="2" t="n">
        <v>38</v>
      </c>
      <c r="J938">
        <f>I938/H938</f>
        <v/>
      </c>
      <c r="K938">
        <f>H938*90</f>
        <v/>
      </c>
      <c r="M938">
        <f>L938/K938</f>
        <v/>
      </c>
    </row>
    <row r="939">
      <c r="A939" s="1" t="n">
        <v>964</v>
      </c>
      <c r="B939" s="2" t="inlineStr">
        <is>
          <t>Norway</t>
        </is>
      </c>
      <c r="C939" s="2" t="inlineStr">
        <is>
          <t>Kristian Thorstvedt</t>
        </is>
      </c>
      <c r="D939" s="2" t="inlineStr">
        <is>
          <t>Médio</t>
        </is>
      </c>
      <c r="E939" s="2" t="inlineStr">
        <is>
          <t>Sassuolo</t>
        </is>
      </c>
      <c r="F939">
        <f>VLOOKUP(E939,Clubes!B$2:D$438,2)</f>
        <v/>
      </c>
      <c r="G939">
        <f>VLOOKUP(E939,Clubes!B$2:D$438,3)</f>
        <v/>
      </c>
      <c r="H939" s="2" t="n">
        <v>40</v>
      </c>
      <c r="J939">
        <f>I939/H939</f>
        <v/>
      </c>
      <c r="K939">
        <f>H939*90</f>
        <v/>
      </c>
      <c r="M939">
        <f>L939/K939</f>
        <v/>
      </c>
    </row>
    <row r="940">
      <c r="A940" s="1" t="n">
        <v>965</v>
      </c>
      <c r="B940" s="2" t="inlineStr">
        <is>
          <t>Norway</t>
        </is>
      </c>
      <c r="C940" s="2" t="inlineStr">
        <is>
          <t>Thelo Aasgaard</t>
        </is>
      </c>
      <c r="D940" s="2" t="inlineStr">
        <is>
          <t>Médio</t>
        </is>
      </c>
      <c r="E940" s="2" t="inlineStr">
        <is>
          <t>Rangers</t>
        </is>
      </c>
      <c r="F940">
        <f>VLOOKUP(E940,Clubes!B$2:D$438,2)</f>
        <v/>
      </c>
      <c r="G940">
        <f>VLOOKUP(E940,Clubes!B$2:D$438,3)</f>
        <v/>
      </c>
      <c r="H940" s="2" t="n">
        <v>34</v>
      </c>
      <c r="J940">
        <f>I940/H940</f>
        <v/>
      </c>
      <c r="K940">
        <f>H940*90</f>
        <v/>
      </c>
      <c r="M940">
        <f>L940/K940</f>
        <v/>
      </c>
    </row>
    <row r="941">
      <c r="A941" s="1" t="n">
        <v>966</v>
      </c>
      <c r="B941" s="2" t="inlineStr">
        <is>
          <t>Norway</t>
        </is>
      </c>
      <c r="C941" s="2" t="inlineStr">
        <is>
          <t>Oscar Bobb</t>
        </is>
      </c>
      <c r="D941" s="2" t="inlineStr">
        <is>
          <t>Avançado</t>
        </is>
      </c>
      <c r="E941" s="2" t="inlineStr">
        <is>
          <t>Fulham</t>
        </is>
      </c>
      <c r="F941">
        <f>VLOOKUP(E941,Clubes!B$2:D$438,2)</f>
        <v/>
      </c>
      <c r="G941">
        <f>VLOOKUP(E941,Clubes!B$2:D$438,3)</f>
        <v/>
      </c>
      <c r="H941" s="2" t="n">
        <v>38</v>
      </c>
      <c r="J941">
        <f>I941/H941</f>
        <v/>
      </c>
      <c r="K941">
        <f>H941*90</f>
        <v/>
      </c>
      <c r="M941">
        <f>L941/K941</f>
        <v/>
      </c>
    </row>
    <row r="942">
      <c r="A942" s="1" t="n">
        <v>967</v>
      </c>
      <c r="B942" s="2" t="inlineStr">
        <is>
          <t>Norway</t>
        </is>
      </c>
      <c r="C942" s="2" t="inlineStr">
        <is>
          <t>Alexander Sorloth</t>
        </is>
      </c>
      <c r="D942" s="2" t="inlineStr">
        <is>
          <t>Avançado</t>
        </is>
      </c>
      <c r="E942" s="2" t="inlineStr">
        <is>
          <t>Atlético de Madrid</t>
        </is>
      </c>
      <c r="F942">
        <f>VLOOKUP(E942,Clubes!B$2:D$438,2)</f>
        <v/>
      </c>
      <c r="G942">
        <f>VLOOKUP(E942,Clubes!B$2:D$438,3)</f>
        <v/>
      </c>
      <c r="H942" s="2" t="n">
        <v>34</v>
      </c>
      <c r="J942">
        <f>I942/H942</f>
        <v/>
      </c>
      <c r="K942">
        <f>H942*90</f>
        <v/>
      </c>
      <c r="M942">
        <f>L942/K942</f>
        <v/>
      </c>
    </row>
    <row r="943">
      <c r="A943" s="1" t="n">
        <v>968</v>
      </c>
      <c r="B943" s="2" t="inlineStr">
        <is>
          <t>Norway</t>
        </is>
      </c>
      <c r="C943" s="2" t="inlineStr">
        <is>
          <t>Erling Haaland</t>
        </is>
      </c>
      <c r="D943" s="2" t="inlineStr">
        <is>
          <t>Avançado</t>
        </is>
      </c>
      <c r="E943" s="2" t="inlineStr">
        <is>
          <t>Manchester City</t>
        </is>
      </c>
      <c r="F943">
        <f>VLOOKUP(E943,Clubes!B$2:D$438,2)</f>
        <v/>
      </c>
      <c r="G943">
        <f>VLOOKUP(E943,Clubes!B$2:D$438,3)</f>
        <v/>
      </c>
      <c r="H943" s="2" t="n">
        <v>38</v>
      </c>
      <c r="J943">
        <f>I943/H943</f>
        <v/>
      </c>
      <c r="K943">
        <f>H943*90</f>
        <v/>
      </c>
      <c r="M943">
        <f>L943/K943</f>
        <v/>
      </c>
    </row>
    <row r="944">
      <c r="A944" s="1" t="n">
        <v>969</v>
      </c>
      <c r="B944" s="2" t="inlineStr">
        <is>
          <t>Norway</t>
        </is>
      </c>
      <c r="C944" s="2" t="inlineStr">
        <is>
          <t>Strand Larsen</t>
        </is>
      </c>
      <c r="D944" s="2" t="inlineStr">
        <is>
          <t>Avançado</t>
        </is>
      </c>
      <c r="E944" s="2" t="inlineStr">
        <is>
          <t>Crystal Palace</t>
        </is>
      </c>
      <c r="F944">
        <f>VLOOKUP(E944,Clubes!B$2:D$438,2)</f>
        <v/>
      </c>
      <c r="G944">
        <f>VLOOKUP(E944,Clubes!B$2:D$438,3)</f>
        <v/>
      </c>
      <c r="H944" s="2" t="n">
        <v>38</v>
      </c>
      <c r="J944">
        <f>I944/H944</f>
        <v/>
      </c>
      <c r="K944">
        <f>H944*90</f>
        <v/>
      </c>
      <c r="M944">
        <f>L944/K944</f>
        <v/>
      </c>
    </row>
    <row r="945">
      <c r="A945" s="1" t="n">
        <v>970</v>
      </c>
      <c r="B945" s="2" t="inlineStr">
        <is>
          <t>Norway</t>
        </is>
      </c>
      <c r="C945" s="2" t="inlineStr">
        <is>
          <t>Antonio Nusa</t>
        </is>
      </c>
      <c r="D945" s="2" t="inlineStr">
        <is>
          <t>Avançado</t>
        </is>
      </c>
      <c r="E945" s="2" t="inlineStr">
        <is>
          <t>RB Leipzig</t>
        </is>
      </c>
      <c r="F945">
        <f>VLOOKUP(E945,Clubes!B$2:D$438,2)</f>
        <v/>
      </c>
      <c r="G945">
        <f>VLOOKUP(E945,Clubes!B$2:D$438,3)</f>
        <v/>
      </c>
      <c r="H945" s="2" t="n">
        <v>34</v>
      </c>
      <c r="J945">
        <f>I945/H945</f>
        <v/>
      </c>
      <c r="K945">
        <f>H945*90</f>
        <v/>
      </c>
      <c r="M945">
        <f>L945/K945</f>
        <v/>
      </c>
    </row>
    <row r="946">
      <c r="A946" s="1" t="n">
        <v>971</v>
      </c>
      <c r="B946" s="2" t="inlineStr">
        <is>
          <t>Norway</t>
        </is>
      </c>
      <c r="C946" s="2" t="inlineStr">
        <is>
          <t>Andreas Schjelderup</t>
        </is>
      </c>
      <c r="D946" s="2" t="inlineStr">
        <is>
          <t>Avançado</t>
        </is>
      </c>
      <c r="E946" s="2" t="inlineStr">
        <is>
          <t>Benfica</t>
        </is>
      </c>
      <c r="F946">
        <f>VLOOKUP(E946,Clubes!B$2:D$438,2)</f>
        <v/>
      </c>
      <c r="G946">
        <f>VLOOKUP(E946,Clubes!B$2:D$438,3)</f>
        <v/>
      </c>
      <c r="H946" s="2" t="n">
        <v>34</v>
      </c>
      <c r="J946">
        <f>I946/H946</f>
        <v/>
      </c>
      <c r="K946">
        <f>H946*90</f>
        <v/>
      </c>
      <c r="M946">
        <f>L946/K946</f>
        <v/>
      </c>
    </row>
    <row r="947">
      <c r="A947" s="1" t="n">
        <v>972</v>
      </c>
      <c r="B947" s="2" t="inlineStr">
        <is>
          <t>Norway</t>
        </is>
      </c>
      <c r="C947" s="2" t="inlineStr">
        <is>
          <t>Jens Petter Hauge</t>
        </is>
      </c>
      <c r="D947" s="2" t="inlineStr">
        <is>
          <t>Avançado</t>
        </is>
      </c>
      <c r="E947" s="2" t="inlineStr">
        <is>
          <t>Bodo/Glimt</t>
        </is>
      </c>
      <c r="F947">
        <f>VLOOKUP(E947,Clubes!B$2:D$438,2)</f>
        <v/>
      </c>
      <c r="G947">
        <f>VLOOKUP(E947,Clubes!B$2:D$438,3)</f>
        <v/>
      </c>
      <c r="H947" s="2" t="n">
        <v>30</v>
      </c>
      <c r="J947">
        <f>I947/H947</f>
        <v/>
      </c>
      <c r="K947">
        <f>H947*90</f>
        <v/>
      </c>
      <c r="M947">
        <f>L947/K947</f>
        <v/>
      </c>
    </row>
    <row r="948">
      <c r="A948" s="1" t="n">
        <v>973</v>
      </c>
      <c r="B948" s="2" t="inlineStr">
        <is>
          <t>New Zealand</t>
        </is>
      </c>
      <c r="C948" s="2" t="inlineStr">
        <is>
          <t>Max Crocombe</t>
        </is>
      </c>
      <c r="D948" s="2" t="inlineStr">
        <is>
          <t>Guarda Redes</t>
        </is>
      </c>
      <c r="E948" s="2" t="inlineStr">
        <is>
          <t>Millwall</t>
        </is>
      </c>
      <c r="F948">
        <f>VLOOKUP(E948,Clubes!B$2:D$438,2)</f>
        <v/>
      </c>
      <c r="G948">
        <f>VLOOKUP(E948,Clubes!B$2:D$438,3)</f>
        <v/>
      </c>
      <c r="H948" s="2" t="n">
        <v>46</v>
      </c>
      <c r="J948">
        <f>I948/H948</f>
        <v/>
      </c>
      <c r="K948">
        <f>H948*90</f>
        <v/>
      </c>
      <c r="M948">
        <f>L948/K948</f>
        <v/>
      </c>
    </row>
    <row r="949">
      <c r="A949" s="1" t="n">
        <v>974</v>
      </c>
      <c r="B949" s="2" t="inlineStr">
        <is>
          <t>New Zealand</t>
        </is>
      </c>
      <c r="C949" s="2" t="inlineStr">
        <is>
          <t>Alex Paulsen</t>
        </is>
      </c>
      <c r="D949" s="2" t="inlineStr">
        <is>
          <t>Guarda Redes</t>
        </is>
      </c>
      <c r="E949" s="2" t="inlineStr">
        <is>
          <t>Lechia Gdansk</t>
        </is>
      </c>
      <c r="F949">
        <f>VLOOKUP(E949,Clubes!B$2:D$438,2)</f>
        <v/>
      </c>
      <c r="G949">
        <f>VLOOKUP(E949,Clubes!B$2:D$438,3)</f>
        <v/>
      </c>
      <c r="H949" s="2" t="n">
        <v>34</v>
      </c>
      <c r="J949">
        <f>I949/H949</f>
        <v/>
      </c>
      <c r="K949">
        <f>H949*90</f>
        <v/>
      </c>
      <c r="M949">
        <f>L949/K949</f>
        <v/>
      </c>
    </row>
    <row r="950">
      <c r="A950" s="1" t="n">
        <v>975</v>
      </c>
      <c r="B950" s="2" t="inlineStr">
        <is>
          <t>New Zealand</t>
        </is>
      </c>
      <c r="C950" s="2" t="inlineStr">
        <is>
          <t>Michael Woud</t>
        </is>
      </c>
      <c r="D950" s="2" t="inlineStr">
        <is>
          <t>Guarda Redes</t>
        </is>
      </c>
      <c r="E950" s="2" t="inlineStr">
        <is>
          <t>Auckland FC</t>
        </is>
      </c>
      <c r="F950">
        <f>VLOOKUP(E950,Clubes!B$2:D$438,2)</f>
        <v/>
      </c>
      <c r="G950">
        <f>VLOOKUP(E950,Clubes!B$2:D$438,3)</f>
        <v/>
      </c>
      <c r="H950" s="2" t="n">
        <v>26</v>
      </c>
      <c r="J950">
        <f>I950/H950</f>
        <v/>
      </c>
      <c r="K950">
        <f>H950*90</f>
        <v/>
      </c>
      <c r="M950">
        <f>L950/K950</f>
        <v/>
      </c>
    </row>
    <row r="951">
      <c r="A951" s="1" t="n">
        <v>976</v>
      </c>
      <c r="B951" s="2" t="inlineStr">
        <is>
          <t>New Zealand</t>
        </is>
      </c>
      <c r="C951" s="2" t="inlineStr">
        <is>
          <t>Tim Payne</t>
        </is>
      </c>
      <c r="D951" s="2" t="inlineStr">
        <is>
          <t>Defesa</t>
        </is>
      </c>
      <c r="E951" s="2" t="inlineStr">
        <is>
          <t>Wellington Phoenix</t>
        </is>
      </c>
      <c r="F951">
        <f>VLOOKUP(E951,Clubes!B$2:D$438,2)</f>
        <v/>
      </c>
      <c r="G951">
        <f>VLOOKUP(E951,Clubes!B$2:D$438,3)</f>
        <v/>
      </c>
      <c r="H951" s="2" t="n">
        <v>32</v>
      </c>
      <c r="J951">
        <f>I951/H951</f>
        <v/>
      </c>
      <c r="K951">
        <f>H951*90</f>
        <v/>
      </c>
      <c r="M951">
        <f>L951/K951</f>
        <v/>
      </c>
    </row>
    <row r="952">
      <c r="A952" s="1" t="n">
        <v>977</v>
      </c>
      <c r="B952" s="2" t="inlineStr">
        <is>
          <t>New Zealand</t>
        </is>
      </c>
      <c r="C952" s="2" t="inlineStr">
        <is>
          <t>Callan Elliot</t>
        </is>
      </c>
      <c r="D952" s="2" t="inlineStr">
        <is>
          <t>Defesa</t>
        </is>
      </c>
      <c r="E952" s="2" t="inlineStr">
        <is>
          <t>Auckland FC</t>
        </is>
      </c>
      <c r="F952">
        <f>VLOOKUP(E952,Clubes!B$2:D$438,2)</f>
        <v/>
      </c>
      <c r="G952">
        <f>VLOOKUP(E952,Clubes!B$2:D$438,3)</f>
        <v/>
      </c>
      <c r="H952" s="2" t="n">
        <v>26</v>
      </c>
      <c r="J952">
        <f>I952/H952</f>
        <v/>
      </c>
      <c r="K952">
        <f>H952*90</f>
        <v/>
      </c>
      <c r="M952">
        <f>L952/K952</f>
        <v/>
      </c>
    </row>
    <row r="953">
      <c r="A953" s="1" t="n">
        <v>978</v>
      </c>
      <c r="B953" s="2" t="inlineStr">
        <is>
          <t>New Zealand</t>
        </is>
      </c>
      <c r="C953" s="2" t="inlineStr">
        <is>
          <t>Tyler Bindon</t>
        </is>
      </c>
      <c r="D953" s="2" t="inlineStr">
        <is>
          <t>Defesa</t>
        </is>
      </c>
      <c r="E953" s="2" t="inlineStr">
        <is>
          <t>Sheffield United</t>
        </is>
      </c>
      <c r="F953">
        <f>VLOOKUP(E953,Clubes!B$2:D$438,2)</f>
        <v/>
      </c>
      <c r="G953">
        <f>VLOOKUP(E953,Clubes!B$2:D$438,3)</f>
        <v/>
      </c>
      <c r="H953" s="2" t="n">
        <v>46</v>
      </c>
      <c r="J953">
        <f>I953/H953</f>
        <v/>
      </c>
      <c r="K953">
        <f>H953*90</f>
        <v/>
      </c>
      <c r="M953">
        <f>L953/K953</f>
        <v/>
      </c>
    </row>
    <row r="954">
      <c r="A954" s="1" t="n">
        <v>979</v>
      </c>
      <c r="B954" s="2" t="inlineStr">
        <is>
          <t>New Zealand</t>
        </is>
      </c>
      <c r="C954" s="2" t="inlineStr">
        <is>
          <t>Michael Boxall</t>
        </is>
      </c>
      <c r="D954" s="2" t="inlineStr">
        <is>
          <t>Defesa</t>
        </is>
      </c>
      <c r="E954" s="2" t="inlineStr">
        <is>
          <t>Minnesota United</t>
        </is>
      </c>
      <c r="F954">
        <f>VLOOKUP(E954,Clubes!B$2:D$438,2)</f>
        <v/>
      </c>
      <c r="G954">
        <f>VLOOKUP(E954,Clubes!B$2:D$438,3)</f>
        <v/>
      </c>
      <c r="H954" s="2" t="n">
        <v>34</v>
      </c>
      <c r="J954">
        <f>I954/H954</f>
        <v/>
      </c>
      <c r="K954">
        <f>H954*90</f>
        <v/>
      </c>
      <c r="M954">
        <f>L954/K954</f>
        <v/>
      </c>
    </row>
    <row r="955">
      <c r="A955" s="1" t="n">
        <v>980</v>
      </c>
      <c r="B955" s="2" t="inlineStr">
        <is>
          <t>New Zealand</t>
        </is>
      </c>
      <c r="C955" s="2" t="inlineStr">
        <is>
          <t>Nando Pijnaker</t>
        </is>
      </c>
      <c r="D955" s="2" t="inlineStr">
        <is>
          <t>Defesa</t>
        </is>
      </c>
      <c r="E955" s="2" t="inlineStr">
        <is>
          <t>Auckland FC</t>
        </is>
      </c>
      <c r="F955">
        <f>VLOOKUP(E955,Clubes!B$2:D$438,2)</f>
        <v/>
      </c>
      <c r="G955">
        <f>VLOOKUP(E955,Clubes!B$2:D$438,3)</f>
        <v/>
      </c>
      <c r="H955" s="2" t="n">
        <v>26</v>
      </c>
      <c r="J955">
        <f>I955/H955</f>
        <v/>
      </c>
      <c r="K955">
        <f>H955*90</f>
        <v/>
      </c>
      <c r="M955">
        <f>L955/K955</f>
        <v/>
      </c>
    </row>
    <row r="956">
      <c r="A956" s="1" t="n">
        <v>981</v>
      </c>
      <c r="B956" s="2" t="inlineStr">
        <is>
          <t>New Zealand</t>
        </is>
      </c>
      <c r="C956" s="2" t="inlineStr">
        <is>
          <t>Finn Surman</t>
        </is>
      </c>
      <c r="D956" s="2" t="inlineStr">
        <is>
          <t>Defesa</t>
        </is>
      </c>
      <c r="E956" s="2" t="inlineStr">
        <is>
          <t>Portland Timbers</t>
        </is>
      </c>
      <c r="F956">
        <f>VLOOKUP(E956,Clubes!B$2:D$438,2)</f>
        <v/>
      </c>
      <c r="G956">
        <f>VLOOKUP(E956,Clubes!B$2:D$438,3)</f>
        <v/>
      </c>
      <c r="H956" s="2" t="n">
        <v>34</v>
      </c>
      <c r="J956">
        <f>I956/H956</f>
        <v/>
      </c>
      <c r="K956">
        <f>H956*90</f>
        <v/>
      </c>
      <c r="M956">
        <f>L956/K956</f>
        <v/>
      </c>
    </row>
    <row r="957">
      <c r="A957" s="1" t="n">
        <v>982</v>
      </c>
      <c r="B957" s="2" t="inlineStr">
        <is>
          <t>New Zealand</t>
        </is>
      </c>
      <c r="C957" s="2" t="inlineStr">
        <is>
          <t>Tommy Smith</t>
        </is>
      </c>
      <c r="D957" s="2" t="inlineStr">
        <is>
          <t>Defesa</t>
        </is>
      </c>
      <c r="E957" s="2" t="inlineStr">
        <is>
          <t>Braintree Town</t>
        </is>
      </c>
      <c r="F957">
        <f>VLOOKUP(E957,Clubes!B$2:D$438,2)</f>
        <v/>
      </c>
      <c r="G957">
        <f>VLOOKUP(E957,Clubes!B$2:D$438,3)</f>
        <v/>
      </c>
      <c r="H957" s="2" t="n">
        <v>46</v>
      </c>
      <c r="J957">
        <f>I957/H957</f>
        <v/>
      </c>
      <c r="K957">
        <f>H957*90</f>
        <v/>
      </c>
      <c r="M957">
        <f>L957/K957</f>
        <v/>
      </c>
    </row>
    <row r="958">
      <c r="A958" s="1" t="n">
        <v>983</v>
      </c>
      <c r="B958" s="2" t="inlineStr">
        <is>
          <t>New Zealand</t>
        </is>
      </c>
      <c r="C958" s="2" t="inlineStr">
        <is>
          <t>Francis De Vries</t>
        </is>
      </c>
      <c r="D958" s="2" t="inlineStr">
        <is>
          <t>Defesa</t>
        </is>
      </c>
      <c r="E958" s="2" t="inlineStr">
        <is>
          <t>Auckland FC</t>
        </is>
      </c>
      <c r="F958">
        <f>VLOOKUP(E958,Clubes!B$2:D$438,2)</f>
        <v/>
      </c>
      <c r="G958">
        <f>VLOOKUP(E958,Clubes!B$2:D$438,3)</f>
        <v/>
      </c>
      <c r="H958" s="2" t="n">
        <v>26</v>
      </c>
      <c r="J958">
        <f>I958/H958</f>
        <v/>
      </c>
      <c r="K958">
        <f>H958*90</f>
        <v/>
      </c>
      <c r="M958">
        <f>L958/K958</f>
        <v/>
      </c>
    </row>
    <row r="959">
      <c r="A959" s="1" t="n">
        <v>984</v>
      </c>
      <c r="B959" s="2" t="inlineStr">
        <is>
          <t>New Zealand</t>
        </is>
      </c>
      <c r="C959" s="2" t="inlineStr">
        <is>
          <t>Liberato Cacace</t>
        </is>
      </c>
      <c r="D959" s="2" t="inlineStr">
        <is>
          <t>Defesa</t>
        </is>
      </c>
      <c r="E959" s="2" t="inlineStr">
        <is>
          <t>Wrexham</t>
        </is>
      </c>
      <c r="F959">
        <f>VLOOKUP(E959,Clubes!B$2:D$438,2)</f>
        <v/>
      </c>
      <c r="G959">
        <f>VLOOKUP(E959,Clubes!B$2:D$438,3)</f>
        <v/>
      </c>
      <c r="H959" s="2" t="n">
        <v>46</v>
      </c>
      <c r="J959">
        <f>I959/H959</f>
        <v/>
      </c>
      <c r="K959">
        <f>H959*90</f>
        <v/>
      </c>
      <c r="M959">
        <f>L959/K959</f>
        <v/>
      </c>
    </row>
    <row r="960">
      <c r="A960" s="1" t="n">
        <v>985</v>
      </c>
      <c r="B960" s="2" t="inlineStr">
        <is>
          <t>New Zealand</t>
        </is>
      </c>
      <c r="C960" s="2" t="inlineStr">
        <is>
          <t>Joe Bell</t>
        </is>
      </c>
      <c r="D960" s="2" t="inlineStr">
        <is>
          <t>Médio</t>
        </is>
      </c>
      <c r="E960" s="2" t="inlineStr">
        <is>
          <t>Viking</t>
        </is>
      </c>
      <c r="F960">
        <f>VLOOKUP(E960,Clubes!B$2:D$438,2)</f>
        <v/>
      </c>
      <c r="G960">
        <f>VLOOKUP(E960,Clubes!B$2:D$438,3)</f>
        <v/>
      </c>
      <c r="H960" s="2" t="n">
        <v>30</v>
      </c>
      <c r="J960">
        <f>I960/H960</f>
        <v/>
      </c>
      <c r="K960">
        <f>H960*90</f>
        <v/>
      </c>
      <c r="M960">
        <f>L960/K960</f>
        <v/>
      </c>
    </row>
    <row r="961">
      <c r="A961" s="1" t="n">
        <v>986</v>
      </c>
      <c r="B961" s="2" t="inlineStr">
        <is>
          <t>New Zealand</t>
        </is>
      </c>
      <c r="C961" s="2" t="inlineStr">
        <is>
          <t>Marko Stamenic</t>
        </is>
      </c>
      <c r="D961" s="2" t="inlineStr">
        <is>
          <t>Médio</t>
        </is>
      </c>
      <c r="E961" s="2" t="inlineStr">
        <is>
          <t>Swansea City</t>
        </is>
      </c>
      <c r="F961">
        <f>VLOOKUP(E961,Clubes!B$2:D$438,2)</f>
        <v/>
      </c>
      <c r="G961">
        <f>VLOOKUP(E961,Clubes!B$2:D$438,3)</f>
        <v/>
      </c>
      <c r="H961" s="2" t="n">
        <v>46</v>
      </c>
      <c r="J961">
        <f>I961/H961</f>
        <v/>
      </c>
      <c r="K961">
        <f>H961*90</f>
        <v/>
      </c>
      <c r="M961">
        <f>L961/K961</f>
        <v/>
      </c>
    </row>
    <row r="962">
      <c r="A962" s="1" t="n">
        <v>987</v>
      </c>
      <c r="B962" s="2" t="inlineStr">
        <is>
          <t>New Zealand</t>
        </is>
      </c>
      <c r="C962" s="2" t="inlineStr">
        <is>
          <t>Alex Rufer</t>
        </is>
      </c>
      <c r="D962" s="2" t="inlineStr">
        <is>
          <t>Médio</t>
        </is>
      </c>
      <c r="E962" s="2" t="inlineStr">
        <is>
          <t>Wellington Phoenix</t>
        </is>
      </c>
      <c r="F962">
        <f>VLOOKUP(E962,Clubes!B$2:D$438,2)</f>
        <v/>
      </c>
      <c r="G962">
        <f>VLOOKUP(E962,Clubes!B$2:D$438,3)</f>
        <v/>
      </c>
      <c r="H962" s="2" t="n">
        <v>32</v>
      </c>
      <c r="J962">
        <f>I962/H962</f>
        <v/>
      </c>
      <c r="K962">
        <f>H962*90</f>
        <v/>
      </c>
      <c r="M962">
        <f>L962/K962</f>
        <v/>
      </c>
    </row>
    <row r="963">
      <c r="A963" s="1" t="n">
        <v>988</v>
      </c>
      <c r="B963" s="2" t="inlineStr">
        <is>
          <t>New Zealand</t>
        </is>
      </c>
      <c r="C963" s="2" t="inlineStr">
        <is>
          <t>Ryan Thomas</t>
        </is>
      </c>
      <c r="D963" s="2" t="inlineStr">
        <is>
          <t>Médio</t>
        </is>
      </c>
      <c r="E963" s="2" t="inlineStr">
        <is>
          <t>Zwolle</t>
        </is>
      </c>
      <c r="F963">
        <f>VLOOKUP(E963,Clubes!B$2:D$438,2)</f>
        <v/>
      </c>
      <c r="G963">
        <f>VLOOKUP(E963,Clubes!B$2:D$438,3)</f>
        <v/>
      </c>
      <c r="H963" s="2" t="n">
        <v>34</v>
      </c>
      <c r="J963">
        <f>I963/H963</f>
        <v/>
      </c>
      <c r="K963">
        <f>H963*90</f>
        <v/>
      </c>
      <c r="M963">
        <f>L963/K963</f>
        <v/>
      </c>
    </row>
    <row r="964">
      <c r="A964" s="1" t="n">
        <v>989</v>
      </c>
      <c r="B964" s="2" t="inlineStr">
        <is>
          <t>New Zealand</t>
        </is>
      </c>
      <c r="C964" s="2" t="inlineStr">
        <is>
          <t>Lachlan Bayliss</t>
        </is>
      </c>
      <c r="D964" s="2" t="inlineStr">
        <is>
          <t>Médio</t>
        </is>
      </c>
      <c r="E964" s="2" t="inlineStr">
        <is>
          <t>Newcastle Jets</t>
        </is>
      </c>
      <c r="F964">
        <f>VLOOKUP(E964,Clubes!B$2:D$438,2)</f>
        <v/>
      </c>
      <c r="G964">
        <f>VLOOKUP(E964,Clubes!B$2:D$438,3)</f>
        <v/>
      </c>
      <c r="H964" s="2" t="n">
        <v>26</v>
      </c>
      <c r="J964">
        <f>I964/H964</f>
        <v/>
      </c>
      <c r="K964">
        <f>H964*90</f>
        <v/>
      </c>
      <c r="M964">
        <f>L964/K964</f>
        <v/>
      </c>
    </row>
    <row r="965">
      <c r="A965" s="1" t="n">
        <v>990</v>
      </c>
      <c r="B965" s="2" t="inlineStr">
        <is>
          <t>New Zealand</t>
        </is>
      </c>
      <c r="C965" s="2" t="inlineStr">
        <is>
          <t>Matthew Garbett</t>
        </is>
      </c>
      <c r="D965" s="2" t="inlineStr">
        <is>
          <t>Médio</t>
        </is>
      </c>
      <c r="E965" s="2" t="inlineStr">
        <is>
          <t>Peterborough United</t>
        </is>
      </c>
      <c r="F965">
        <f>VLOOKUP(E965,Clubes!B$2:D$438,2)</f>
        <v/>
      </c>
      <c r="G965">
        <f>VLOOKUP(E965,Clubes!B$2:D$438,3)</f>
        <v/>
      </c>
      <c r="H965" s="2" t="n">
        <v>46</v>
      </c>
      <c r="J965">
        <f>I965/H965</f>
        <v/>
      </c>
      <c r="K965">
        <f>H965*90</f>
        <v/>
      </c>
      <c r="M965">
        <f>L965/K965</f>
        <v/>
      </c>
    </row>
    <row r="966">
      <c r="A966" s="1" t="n">
        <v>991</v>
      </c>
      <c r="B966" s="2" t="inlineStr">
        <is>
          <t>New Zealand</t>
        </is>
      </c>
      <c r="C966" s="2" t="inlineStr">
        <is>
          <t>Sarpreet Singh</t>
        </is>
      </c>
      <c r="D966" s="2" t="inlineStr">
        <is>
          <t>Médio</t>
        </is>
      </c>
      <c r="E966" s="2" t="inlineStr">
        <is>
          <t>Wellington Phoenix</t>
        </is>
      </c>
      <c r="F966">
        <f>VLOOKUP(E966,Clubes!B$2:D$438,2)</f>
        <v/>
      </c>
      <c r="G966">
        <f>VLOOKUP(E966,Clubes!B$2:D$438,3)</f>
        <v/>
      </c>
      <c r="H966" s="2" t="n">
        <v>32</v>
      </c>
      <c r="J966">
        <f>I966/H966</f>
        <v/>
      </c>
      <c r="K966">
        <f>H966*90</f>
        <v/>
      </c>
      <c r="M966">
        <f>L966/K966</f>
        <v/>
      </c>
    </row>
    <row r="967">
      <c r="A967" s="1" t="n">
        <v>992</v>
      </c>
      <c r="B967" s="2" t="inlineStr">
        <is>
          <t>New Zealand</t>
        </is>
      </c>
      <c r="C967" s="2" t="inlineStr">
        <is>
          <t>Elijah Just</t>
        </is>
      </c>
      <c r="D967" s="2" t="inlineStr">
        <is>
          <t>Avançado</t>
        </is>
      </c>
      <c r="E967" s="2" t="inlineStr">
        <is>
          <t>Motherwell</t>
        </is>
      </c>
      <c r="F967">
        <f>VLOOKUP(E967,Clubes!B$2:D$438,2)</f>
        <v/>
      </c>
      <c r="G967">
        <f>VLOOKUP(E967,Clubes!B$2:D$438,3)</f>
        <v/>
      </c>
      <c r="H967" s="2" t="n">
        <v>38</v>
      </c>
      <c r="J967">
        <f>I967/H967</f>
        <v/>
      </c>
      <c r="K967">
        <f>H967*90</f>
        <v/>
      </c>
      <c r="M967">
        <f>L967/K967</f>
        <v/>
      </c>
    </row>
    <row r="968">
      <c r="A968" s="1" t="n">
        <v>993</v>
      </c>
      <c r="B968" s="2" t="inlineStr">
        <is>
          <t>New Zealand</t>
        </is>
      </c>
      <c r="C968" s="2" t="inlineStr">
        <is>
          <t>Ben Old</t>
        </is>
      </c>
      <c r="D968" s="2" t="inlineStr">
        <is>
          <t>Avançado</t>
        </is>
      </c>
      <c r="E968" s="2" t="inlineStr">
        <is>
          <t>Saint-Étienne</t>
        </is>
      </c>
      <c r="F968">
        <f>VLOOKUP(E968,Clubes!B$2:D$438,2)</f>
        <v/>
      </c>
      <c r="G968">
        <f>VLOOKUP(E968,Clubes!B$2:D$438,3)</f>
        <v/>
      </c>
      <c r="H968" s="2" t="n">
        <v>40</v>
      </c>
      <c r="J968">
        <f>I968/H968</f>
        <v/>
      </c>
      <c r="K968">
        <f>H968*90</f>
        <v/>
      </c>
      <c r="M968">
        <f>L968/K968</f>
        <v/>
      </c>
    </row>
    <row r="969">
      <c r="A969" s="1" t="n">
        <v>994</v>
      </c>
      <c r="B969" s="2" t="inlineStr">
        <is>
          <t>New Zealand</t>
        </is>
      </c>
      <c r="C969" s="2" t="inlineStr">
        <is>
          <t>Callum Mccowatt</t>
        </is>
      </c>
      <c r="D969" s="2" t="inlineStr">
        <is>
          <t>Avançado</t>
        </is>
      </c>
      <c r="E969" s="2" t="inlineStr">
        <is>
          <t>Silkeborg</t>
        </is>
      </c>
      <c r="F969">
        <f>VLOOKUP(E969,Clubes!B$2:D$438,2)</f>
        <v/>
      </c>
      <c r="G969">
        <f>VLOOKUP(E969,Clubes!B$2:D$438,3)</f>
        <v/>
      </c>
      <c r="H969" s="2" t="n">
        <v>32</v>
      </c>
      <c r="J969">
        <f>I969/H969</f>
        <v/>
      </c>
      <c r="K969">
        <f>H969*90</f>
        <v/>
      </c>
      <c r="M969">
        <f>L969/K969</f>
        <v/>
      </c>
    </row>
    <row r="970">
      <c r="A970" s="1" t="n">
        <v>995</v>
      </c>
      <c r="B970" s="2" t="inlineStr">
        <is>
          <t>New Zealand</t>
        </is>
      </c>
      <c r="C970" s="2" t="inlineStr">
        <is>
          <t>Chris Wood</t>
        </is>
      </c>
      <c r="D970" s="2" t="inlineStr">
        <is>
          <t>Avançado</t>
        </is>
      </c>
      <c r="E970" s="2" t="inlineStr">
        <is>
          <t>Nottingham Forest</t>
        </is>
      </c>
      <c r="F970">
        <f>VLOOKUP(E970,Clubes!B$2:D$438,2)</f>
        <v/>
      </c>
      <c r="G970">
        <f>VLOOKUP(E970,Clubes!B$2:D$438,3)</f>
        <v/>
      </c>
      <c r="H970" s="2" t="n">
        <v>38</v>
      </c>
      <c r="J970">
        <f>I970/H970</f>
        <v/>
      </c>
      <c r="K970">
        <f>H970*90</f>
        <v/>
      </c>
      <c r="M970">
        <f>L970/K970</f>
        <v/>
      </c>
    </row>
    <row r="971">
      <c r="A971" s="1" t="n">
        <v>996</v>
      </c>
      <c r="B971" s="2" t="inlineStr">
        <is>
          <t>New Zealand</t>
        </is>
      </c>
      <c r="C971" s="2" t="inlineStr">
        <is>
          <t>Kosta Barbarouses</t>
        </is>
      </c>
      <c r="D971" s="2" t="inlineStr">
        <is>
          <t>Avançado</t>
        </is>
      </c>
      <c r="E971" s="2" t="inlineStr">
        <is>
          <t>WS Wanderers</t>
        </is>
      </c>
      <c r="F971">
        <f>VLOOKUP(E971,Clubes!B$2:D$438,2)</f>
        <v/>
      </c>
      <c r="G971">
        <f>VLOOKUP(E971,Clubes!B$2:D$438,3)</f>
        <v/>
      </c>
      <c r="H971" s="2" t="n">
        <v>46</v>
      </c>
      <c r="J971">
        <f>I971/H971</f>
        <v/>
      </c>
      <c r="K971">
        <f>H971*90</f>
        <v/>
      </c>
      <c r="M971">
        <f>L971/K971</f>
        <v/>
      </c>
    </row>
    <row r="972">
      <c r="A972" s="1" t="n">
        <v>997</v>
      </c>
      <c r="B972" s="2" t="inlineStr">
        <is>
          <t>New Zealand</t>
        </is>
      </c>
      <c r="C972" s="2" t="inlineStr">
        <is>
          <t>Ben Waine</t>
        </is>
      </c>
      <c r="D972" s="2" t="inlineStr">
        <is>
          <t>Avançado</t>
        </is>
      </c>
      <c r="E972" s="2" t="inlineStr">
        <is>
          <t>Port Vale</t>
        </is>
      </c>
      <c r="F972">
        <f>VLOOKUP(E972,Clubes!B$2:D$438,2)</f>
        <v/>
      </c>
      <c r="G972">
        <f>VLOOKUP(E972,Clubes!B$2:D$438,3)</f>
        <v/>
      </c>
      <c r="H972" s="2" t="n">
        <v>46</v>
      </c>
      <c r="J972">
        <f>I972/H972</f>
        <v/>
      </c>
      <c r="K972">
        <f>H972*90</f>
        <v/>
      </c>
      <c r="M972">
        <f>L972/K972</f>
        <v/>
      </c>
    </row>
    <row r="973">
      <c r="A973" s="1" t="n">
        <v>998</v>
      </c>
      <c r="B973" s="2" t="inlineStr">
        <is>
          <t>New Zealand</t>
        </is>
      </c>
      <c r="C973" s="2" t="inlineStr">
        <is>
          <t>Jesse Randall</t>
        </is>
      </c>
      <c r="D973" s="2" t="inlineStr">
        <is>
          <t>Avançado</t>
        </is>
      </c>
      <c r="E973" s="2" t="inlineStr">
        <is>
          <t>Auckland FC</t>
        </is>
      </c>
      <c r="F973">
        <f>VLOOKUP(E973,Clubes!B$2:D$438,2)</f>
        <v/>
      </c>
      <c r="G973">
        <f>VLOOKUP(E973,Clubes!B$2:D$438,3)</f>
        <v/>
      </c>
      <c r="H973" s="2" t="n">
        <v>26</v>
      </c>
      <c r="J973">
        <f>I973/H973</f>
        <v/>
      </c>
      <c r="K973">
        <f>H973*90</f>
        <v/>
      </c>
      <c r="M973">
        <f>L973/K973</f>
        <v/>
      </c>
    </row>
    <row r="974">
      <c r="A974" s="1" t="n">
        <v>999</v>
      </c>
      <c r="B974" s="2" t="inlineStr">
        <is>
          <t>Netherlands</t>
        </is>
      </c>
      <c r="C974" s="2" t="inlineStr">
        <is>
          <t>Bart Verbruggen</t>
        </is>
      </c>
      <c r="D974" s="2" t="inlineStr">
        <is>
          <t>Guarda Redes</t>
        </is>
      </c>
      <c r="E974" s="2" t="inlineStr">
        <is>
          <t>Brighton &amp; Hove Albion</t>
        </is>
      </c>
      <c r="F974">
        <f>VLOOKUP(E974,Clubes!B$2:D$438,2)</f>
        <v/>
      </c>
      <c r="G974">
        <f>VLOOKUP(E974,Clubes!B$2:D$438,3)</f>
        <v/>
      </c>
      <c r="H974" s="2" t="n">
        <v>38</v>
      </c>
      <c r="J974">
        <f>I974/H974</f>
        <v/>
      </c>
      <c r="K974">
        <f>H974*90</f>
        <v/>
      </c>
      <c r="M974">
        <f>L974/K974</f>
        <v/>
      </c>
    </row>
    <row r="975">
      <c r="A975" s="1" t="n">
        <v>1000</v>
      </c>
      <c r="B975" s="2" t="inlineStr">
        <is>
          <t>Netherlands</t>
        </is>
      </c>
      <c r="C975" s="2" t="inlineStr">
        <is>
          <t>Robin Roefs</t>
        </is>
      </c>
      <c r="D975" s="2" t="inlineStr">
        <is>
          <t>Guarda Redes</t>
        </is>
      </c>
      <c r="E975" s="2" t="inlineStr">
        <is>
          <t>Sunderland</t>
        </is>
      </c>
      <c r="F975">
        <f>VLOOKUP(E975,Clubes!B$2:D$438,2)</f>
        <v/>
      </c>
      <c r="G975">
        <f>VLOOKUP(E975,Clubes!B$2:D$438,3)</f>
        <v/>
      </c>
      <c r="H975" s="2" t="n">
        <v>38</v>
      </c>
      <c r="J975">
        <f>I975/H975</f>
        <v/>
      </c>
      <c r="K975">
        <f>H975*90</f>
        <v/>
      </c>
      <c r="M975">
        <f>L975/K975</f>
        <v/>
      </c>
    </row>
    <row r="976">
      <c r="A976" s="1" t="n">
        <v>1001</v>
      </c>
      <c r="B976" s="2" t="inlineStr">
        <is>
          <t>Netherlands</t>
        </is>
      </c>
      <c r="C976" s="2" t="inlineStr">
        <is>
          <t>Mark Flekken</t>
        </is>
      </c>
      <c r="D976" s="2" t="inlineStr">
        <is>
          <t>Guarda Redes</t>
        </is>
      </c>
      <c r="E976" s="2" t="inlineStr">
        <is>
          <t>Bayer Leverkusen</t>
        </is>
      </c>
      <c r="F976">
        <f>VLOOKUP(E976,Clubes!B$2:D$438,2)</f>
        <v/>
      </c>
      <c r="G976">
        <f>VLOOKUP(E976,Clubes!B$2:D$438,3)</f>
        <v/>
      </c>
      <c r="H976" s="2" t="n">
        <v>34</v>
      </c>
      <c r="J976">
        <f>I976/H976</f>
        <v/>
      </c>
      <c r="K976">
        <f>H976*90</f>
        <v/>
      </c>
      <c r="M976">
        <f>L976/K976</f>
        <v/>
      </c>
    </row>
    <row r="977">
      <c r="A977" s="1" t="n">
        <v>1002</v>
      </c>
      <c r="B977" s="2" t="inlineStr">
        <is>
          <t>Netherlands</t>
        </is>
      </c>
      <c r="C977" s="2" t="inlineStr">
        <is>
          <t>Lutsharel Geertruida</t>
        </is>
      </c>
      <c r="D977" s="2" t="inlineStr">
        <is>
          <t>Defesa</t>
        </is>
      </c>
      <c r="E977" s="2" t="inlineStr">
        <is>
          <t>Sunderland</t>
        </is>
      </c>
      <c r="F977">
        <f>VLOOKUP(E977,Clubes!B$2:D$438,2)</f>
        <v/>
      </c>
      <c r="G977">
        <f>VLOOKUP(E977,Clubes!B$2:D$438,3)</f>
        <v/>
      </c>
      <c r="H977" s="2" t="n">
        <v>38</v>
      </c>
      <c r="J977">
        <f>I977/H977</f>
        <v/>
      </c>
      <c r="K977">
        <f>H977*90</f>
        <v/>
      </c>
      <c r="M977">
        <f>L977/K977</f>
        <v/>
      </c>
    </row>
    <row r="978">
      <c r="A978" s="1" t="n">
        <v>1003</v>
      </c>
      <c r="B978" s="2" t="inlineStr">
        <is>
          <t>Netherlands</t>
        </is>
      </c>
      <c r="C978" s="2" t="inlineStr">
        <is>
          <t>Jurrien Timber</t>
        </is>
      </c>
      <c r="D978" s="2" t="inlineStr">
        <is>
          <t>Defesa</t>
        </is>
      </c>
      <c r="E978" s="2" t="inlineStr">
        <is>
          <t>Arsenal</t>
        </is>
      </c>
      <c r="F978">
        <f>VLOOKUP(E978,Clubes!B$2:D$438,2)</f>
        <v/>
      </c>
      <c r="G978">
        <f>VLOOKUP(E978,Clubes!B$2:D$438,3)</f>
        <v/>
      </c>
      <c r="H978" s="2" t="n">
        <v>38</v>
      </c>
      <c r="J978">
        <f>I978/H978</f>
        <v/>
      </c>
      <c r="K978">
        <f>H978*90</f>
        <v/>
      </c>
      <c r="M978">
        <f>L978/K978</f>
        <v/>
      </c>
    </row>
    <row r="979">
      <c r="A979" s="1" t="n">
        <v>1004</v>
      </c>
      <c r="B979" s="2" t="inlineStr">
        <is>
          <t>Netherlands</t>
        </is>
      </c>
      <c r="C979" s="2" t="inlineStr">
        <is>
          <t>Virgil Van Dijk</t>
        </is>
      </c>
      <c r="D979" s="2" t="inlineStr">
        <is>
          <t>Defesa</t>
        </is>
      </c>
      <c r="E979" s="2" t="inlineStr">
        <is>
          <t>Liverpool</t>
        </is>
      </c>
      <c r="F979">
        <f>VLOOKUP(E979,Clubes!B$2:D$438,2)</f>
        <v/>
      </c>
      <c r="G979">
        <f>VLOOKUP(E979,Clubes!B$2:D$438,3)</f>
        <v/>
      </c>
      <c r="H979" s="2" t="n">
        <v>38</v>
      </c>
      <c r="J979">
        <f>I979/H979</f>
        <v/>
      </c>
      <c r="K979">
        <f>H979*90</f>
        <v/>
      </c>
      <c r="M979">
        <f>L979/K979</f>
        <v/>
      </c>
    </row>
    <row r="980">
      <c r="A980" s="1" t="n">
        <v>1005</v>
      </c>
      <c r="B980" s="2" t="inlineStr">
        <is>
          <t>Netherlands</t>
        </is>
      </c>
      <c r="C980" s="2" t="inlineStr">
        <is>
          <t>Nathan Aké</t>
        </is>
      </c>
      <c r="D980" s="2" t="inlineStr">
        <is>
          <t>Defesa</t>
        </is>
      </c>
      <c r="E980" s="2" t="inlineStr">
        <is>
          <t>Manchester City</t>
        </is>
      </c>
      <c r="F980">
        <f>VLOOKUP(E980,Clubes!B$2:D$438,2)</f>
        <v/>
      </c>
      <c r="G980">
        <f>VLOOKUP(E980,Clubes!B$2:D$438,3)</f>
        <v/>
      </c>
      <c r="H980" s="2" t="n">
        <v>38</v>
      </c>
      <c r="J980">
        <f>I980/H980</f>
        <v/>
      </c>
      <c r="K980">
        <f>H980*90</f>
        <v/>
      </c>
      <c r="M980">
        <f>L980/K980</f>
        <v/>
      </c>
    </row>
    <row r="981">
      <c r="A981" s="1" t="n">
        <v>1006</v>
      </c>
      <c r="B981" s="2" t="inlineStr">
        <is>
          <t>Netherlands</t>
        </is>
      </c>
      <c r="C981" s="2" t="inlineStr">
        <is>
          <t>Jan Paul van Hecke</t>
        </is>
      </c>
      <c r="D981" s="2" t="inlineStr">
        <is>
          <t>Defesa</t>
        </is>
      </c>
      <c r="E981" s="2" t="inlineStr">
        <is>
          <t>Brighton &amp; Hove Albion</t>
        </is>
      </c>
      <c r="F981">
        <f>VLOOKUP(E981,Clubes!B$2:D$438,2)</f>
        <v/>
      </c>
      <c r="G981">
        <f>VLOOKUP(E981,Clubes!B$2:D$438,3)</f>
        <v/>
      </c>
      <c r="H981" s="2" t="n">
        <v>38</v>
      </c>
      <c r="J981">
        <f>I981/H981</f>
        <v/>
      </c>
      <c r="K981">
        <f>H981*90</f>
        <v/>
      </c>
      <c r="M981">
        <f>L981/K981</f>
        <v/>
      </c>
    </row>
    <row r="982">
      <c r="A982" s="1" t="n">
        <v>1007</v>
      </c>
      <c r="B982" s="2" t="inlineStr">
        <is>
          <t>Netherlands</t>
        </is>
      </c>
      <c r="C982" s="2" t="inlineStr">
        <is>
          <t>Micky van de Ven</t>
        </is>
      </c>
      <c r="D982" s="2" t="inlineStr">
        <is>
          <t>Defesa</t>
        </is>
      </c>
      <c r="E982" s="2" t="inlineStr">
        <is>
          <t>Tottenham</t>
        </is>
      </c>
      <c r="F982">
        <f>VLOOKUP(E982,Clubes!B$2:D$438,2)</f>
        <v/>
      </c>
      <c r="G982">
        <f>VLOOKUP(E982,Clubes!B$2:D$438,3)</f>
        <v/>
      </c>
      <c r="H982" s="2" t="n">
        <v>38</v>
      </c>
      <c r="J982">
        <f>I982/H982</f>
        <v/>
      </c>
      <c r="K982">
        <f>H982*90</f>
        <v/>
      </c>
      <c r="M982">
        <f>L982/K982</f>
        <v/>
      </c>
    </row>
    <row r="983">
      <c r="A983" s="1" t="n">
        <v>1008</v>
      </c>
      <c r="B983" s="2" t="inlineStr">
        <is>
          <t>Netherlands</t>
        </is>
      </c>
      <c r="C983" s="2" t="inlineStr">
        <is>
          <t>Denzel Dumfries</t>
        </is>
      </c>
      <c r="D983" s="2" t="inlineStr">
        <is>
          <t>Defesa</t>
        </is>
      </c>
      <c r="E983" s="2" t="inlineStr">
        <is>
          <t>Internazionale</t>
        </is>
      </c>
      <c r="F983">
        <f>VLOOKUP(E983,Clubes!B$2:D$438,2)</f>
        <v/>
      </c>
      <c r="G983">
        <f>VLOOKUP(E983,Clubes!B$2:D$438,3)</f>
        <v/>
      </c>
      <c r="H983" s="2" t="n">
        <v>38</v>
      </c>
      <c r="J983">
        <f>I983/H983</f>
        <v/>
      </c>
      <c r="K983">
        <f>H983*90</f>
        <v/>
      </c>
      <c r="M983">
        <f>L983/K983</f>
        <v/>
      </c>
    </row>
    <row r="984">
      <c r="A984" s="1" t="n">
        <v>1009</v>
      </c>
      <c r="B984" s="2" t="inlineStr">
        <is>
          <t>Netherlands</t>
        </is>
      </c>
      <c r="C984" s="2" t="inlineStr">
        <is>
          <t>Jorrel Hato</t>
        </is>
      </c>
      <c r="D984" s="2" t="inlineStr">
        <is>
          <t>Defesa</t>
        </is>
      </c>
      <c r="E984" s="2" t="inlineStr">
        <is>
          <t>Chelsea</t>
        </is>
      </c>
      <c r="F984">
        <f>VLOOKUP(E984,Clubes!B$2:D$438,2)</f>
        <v/>
      </c>
      <c r="G984">
        <f>VLOOKUP(E984,Clubes!B$2:D$438,3)</f>
        <v/>
      </c>
      <c r="H984" s="2" t="n">
        <v>38</v>
      </c>
      <c r="J984">
        <f>I984/H984</f>
        <v/>
      </c>
      <c r="K984">
        <f>H984*90</f>
        <v/>
      </c>
      <c r="M984">
        <f>L984/K984</f>
        <v/>
      </c>
    </row>
    <row r="985">
      <c r="A985" s="1" t="n">
        <v>1010</v>
      </c>
      <c r="B985" s="2" t="inlineStr">
        <is>
          <t>Netherlands</t>
        </is>
      </c>
      <c r="C985" s="2" t="inlineStr">
        <is>
          <t>Marten de Roon</t>
        </is>
      </c>
      <c r="D985" s="2" t="inlineStr">
        <is>
          <t>Médio</t>
        </is>
      </c>
      <c r="E985" s="2" t="inlineStr">
        <is>
          <t>Atalanta</t>
        </is>
      </c>
      <c r="F985">
        <f>VLOOKUP(E985,Clubes!B$2:D$438,2)</f>
        <v/>
      </c>
      <c r="G985">
        <f>VLOOKUP(E985,Clubes!B$2:D$438,3)</f>
        <v/>
      </c>
      <c r="H985" s="2" t="n">
        <v>38</v>
      </c>
      <c r="J985">
        <f>I985/H985</f>
        <v/>
      </c>
      <c r="K985">
        <f>H985*90</f>
        <v/>
      </c>
      <c r="M985">
        <f>L985/K985</f>
        <v/>
      </c>
    </row>
    <row r="986">
      <c r="A986" s="1" t="n">
        <v>1011</v>
      </c>
      <c r="B986" s="2" t="inlineStr">
        <is>
          <t>Netherlands</t>
        </is>
      </c>
      <c r="C986" s="2" t="inlineStr">
        <is>
          <t>Ryan Gravenberch</t>
        </is>
      </c>
      <c r="D986" s="2" t="inlineStr">
        <is>
          <t>Médio</t>
        </is>
      </c>
      <c r="E986" s="2" t="inlineStr">
        <is>
          <t>Liverpool</t>
        </is>
      </c>
      <c r="F986">
        <f>VLOOKUP(E986,Clubes!B$2:D$438,2)</f>
        <v/>
      </c>
      <c r="G986">
        <f>VLOOKUP(E986,Clubes!B$2:D$438,3)</f>
        <v/>
      </c>
      <c r="H986" s="2" t="n">
        <v>38</v>
      </c>
      <c r="J986">
        <f>I986/H986</f>
        <v/>
      </c>
      <c r="K986">
        <f>H986*90</f>
        <v/>
      </c>
      <c r="M986">
        <f>L986/K986</f>
        <v/>
      </c>
    </row>
    <row r="987">
      <c r="A987" s="1" t="n">
        <v>1012</v>
      </c>
      <c r="B987" s="2" t="inlineStr">
        <is>
          <t>Netherlands</t>
        </is>
      </c>
      <c r="C987" s="2" t="inlineStr">
        <is>
          <t>Mats Wieffer</t>
        </is>
      </c>
      <c r="D987" s="2" t="inlineStr">
        <is>
          <t>Médio</t>
        </is>
      </c>
      <c r="E987" s="2" t="inlineStr">
        <is>
          <t>Brighton &amp; Hove Albion</t>
        </is>
      </c>
      <c r="F987">
        <f>VLOOKUP(E987,Clubes!B$2:D$438,2)</f>
        <v/>
      </c>
      <c r="G987">
        <f>VLOOKUP(E987,Clubes!B$2:D$438,3)</f>
        <v/>
      </c>
      <c r="H987" s="2" t="n">
        <v>38</v>
      </c>
      <c r="J987">
        <f>I987/H987</f>
        <v/>
      </c>
      <c r="K987">
        <f>H987*90</f>
        <v/>
      </c>
      <c r="M987">
        <f>L987/K987</f>
        <v/>
      </c>
    </row>
    <row r="988">
      <c r="A988" s="1" t="n">
        <v>1013</v>
      </c>
      <c r="B988" s="2" t="inlineStr">
        <is>
          <t>Netherlands</t>
        </is>
      </c>
      <c r="C988" s="2" t="inlineStr">
        <is>
          <t>Tijjani Reijnders</t>
        </is>
      </c>
      <c r="D988" s="2" t="inlineStr">
        <is>
          <t>Médio</t>
        </is>
      </c>
      <c r="E988" s="2" t="inlineStr">
        <is>
          <t>Manchester City</t>
        </is>
      </c>
      <c r="F988">
        <f>VLOOKUP(E988,Clubes!B$2:D$438,2)</f>
        <v/>
      </c>
      <c r="G988">
        <f>VLOOKUP(E988,Clubes!B$2:D$438,3)</f>
        <v/>
      </c>
      <c r="H988" s="2" t="n">
        <v>38</v>
      </c>
      <c r="J988">
        <f>I988/H988</f>
        <v/>
      </c>
      <c r="K988">
        <f>H988*90</f>
        <v/>
      </c>
      <c r="M988">
        <f>L988/K988</f>
        <v/>
      </c>
    </row>
    <row r="989">
      <c r="A989" s="1" t="n">
        <v>1014</v>
      </c>
      <c r="B989" s="2" t="inlineStr">
        <is>
          <t>Netherlands</t>
        </is>
      </c>
      <c r="C989" s="2" t="inlineStr">
        <is>
          <t>Guus Til</t>
        </is>
      </c>
      <c r="D989" s="2" t="inlineStr">
        <is>
          <t>Médio</t>
        </is>
      </c>
      <c r="E989" s="2" t="inlineStr">
        <is>
          <t>PSV</t>
        </is>
      </c>
      <c r="F989">
        <f>VLOOKUP(E989,Clubes!B$2:D$438,2)</f>
        <v/>
      </c>
      <c r="G989">
        <f>VLOOKUP(E989,Clubes!B$2:D$438,3)</f>
        <v/>
      </c>
      <c r="H989" s="2" t="n">
        <v>46</v>
      </c>
      <c r="J989">
        <f>I989/H989</f>
        <v/>
      </c>
      <c r="K989">
        <f>H989*90</f>
        <v/>
      </c>
      <c r="M989">
        <f>L989/K989</f>
        <v/>
      </c>
    </row>
    <row r="990">
      <c r="A990" s="1" t="n">
        <v>1015</v>
      </c>
      <c r="B990" s="2" t="inlineStr">
        <is>
          <t>Netherlands</t>
        </is>
      </c>
      <c r="C990" s="2" t="inlineStr">
        <is>
          <t>Teun Koopmeiners</t>
        </is>
      </c>
      <c r="D990" s="2" t="inlineStr">
        <is>
          <t>Médio</t>
        </is>
      </c>
      <c r="E990" s="2" t="inlineStr">
        <is>
          <t>Juventus</t>
        </is>
      </c>
      <c r="F990">
        <f>VLOOKUP(E990,Clubes!B$2:D$438,2)</f>
        <v/>
      </c>
      <c r="G990">
        <f>VLOOKUP(E990,Clubes!B$2:D$438,3)</f>
        <v/>
      </c>
      <c r="H990" s="2" t="n">
        <v>38</v>
      </c>
      <c r="J990">
        <f>I990/H990</f>
        <v/>
      </c>
      <c r="K990">
        <f>H990*90</f>
        <v/>
      </c>
      <c r="M990">
        <f>L990/K990</f>
        <v/>
      </c>
    </row>
    <row r="991">
      <c r="A991" s="1" t="n">
        <v>1016</v>
      </c>
      <c r="B991" s="2" t="inlineStr">
        <is>
          <t>Netherlands</t>
        </is>
      </c>
      <c r="C991" s="2" t="inlineStr">
        <is>
          <t>Frenkie de Jong</t>
        </is>
      </c>
      <c r="D991" s="2" t="inlineStr">
        <is>
          <t>Médio</t>
        </is>
      </c>
      <c r="E991" s="2" t="inlineStr">
        <is>
          <t>Barcelona</t>
        </is>
      </c>
      <c r="F991">
        <f>VLOOKUP(E991,Clubes!B$2:D$438,2)</f>
        <v/>
      </c>
      <c r="G991">
        <f>VLOOKUP(E991,Clubes!B$2:D$438,3)</f>
        <v/>
      </c>
      <c r="H991" s="2" t="n">
        <v>38</v>
      </c>
      <c r="J991">
        <f>I991/H991</f>
        <v/>
      </c>
      <c r="K991">
        <f>H991*90</f>
        <v/>
      </c>
      <c r="M991">
        <f>L991/K991</f>
        <v/>
      </c>
    </row>
    <row r="992">
      <c r="A992" s="1" t="n">
        <v>1017</v>
      </c>
      <c r="B992" s="2" t="inlineStr">
        <is>
          <t>Netherlands</t>
        </is>
      </c>
      <c r="C992" s="2" t="inlineStr">
        <is>
          <t>Quinten Timber</t>
        </is>
      </c>
      <c r="D992" s="2" t="inlineStr">
        <is>
          <t>Médio</t>
        </is>
      </c>
      <c r="E992" s="2" t="inlineStr">
        <is>
          <t>Marseille</t>
        </is>
      </c>
      <c r="F992">
        <f>VLOOKUP(E992,Clubes!B$2:D$438,2)</f>
        <v/>
      </c>
      <c r="G992">
        <f>VLOOKUP(E992,Clubes!B$2:D$438,3)</f>
        <v/>
      </c>
      <c r="H992" s="2" t="n">
        <v>34</v>
      </c>
      <c r="J992">
        <f>I992/H992</f>
        <v/>
      </c>
      <c r="K992">
        <f>H992*90</f>
        <v/>
      </c>
      <c r="M992">
        <f>L992/K992</f>
        <v/>
      </c>
    </row>
    <row r="993">
      <c r="A993" s="1" t="n">
        <v>1018</v>
      </c>
      <c r="B993" s="2" t="inlineStr">
        <is>
          <t>Netherlands</t>
        </is>
      </c>
      <c r="C993" s="2" t="inlineStr">
        <is>
          <t>Justin Kluivert</t>
        </is>
      </c>
      <c r="D993" s="2" t="inlineStr">
        <is>
          <t>Avançado</t>
        </is>
      </c>
      <c r="E993" s="2" t="inlineStr">
        <is>
          <t>Bournemouth</t>
        </is>
      </c>
      <c r="F993">
        <f>VLOOKUP(E993,Clubes!B$2:D$438,2)</f>
        <v/>
      </c>
      <c r="G993">
        <f>VLOOKUP(E993,Clubes!B$2:D$438,3)</f>
        <v/>
      </c>
      <c r="H993" s="2" t="n">
        <v>38</v>
      </c>
      <c r="J993">
        <f>I993/H993</f>
        <v/>
      </c>
      <c r="K993">
        <f>H993*90</f>
        <v/>
      </c>
      <c r="M993">
        <f>L993/K993</f>
        <v/>
      </c>
    </row>
    <row r="994">
      <c r="A994" s="1" t="n">
        <v>1019</v>
      </c>
      <c r="B994" s="2" t="inlineStr">
        <is>
          <t>Netherlands</t>
        </is>
      </c>
      <c r="C994" s="2" t="inlineStr">
        <is>
          <t>Wout Weghorst</t>
        </is>
      </c>
      <c r="D994" s="2" t="inlineStr">
        <is>
          <t>Avançado</t>
        </is>
      </c>
      <c r="E994" s="2" t="inlineStr">
        <is>
          <t>Ajax</t>
        </is>
      </c>
      <c r="F994">
        <f>VLOOKUP(E994,Clubes!B$2:D$438,2)</f>
        <v/>
      </c>
      <c r="G994">
        <f>VLOOKUP(E994,Clubes!B$2:D$438,3)</f>
        <v/>
      </c>
      <c r="H994" s="2" t="n">
        <v>34</v>
      </c>
      <c r="J994">
        <f>I994/H994</f>
        <v/>
      </c>
      <c r="K994">
        <f>H994*90</f>
        <v/>
      </c>
      <c r="M994">
        <f>L994/K994</f>
        <v/>
      </c>
    </row>
    <row r="995">
      <c r="A995" s="1" t="n">
        <v>1020</v>
      </c>
      <c r="B995" s="2" t="inlineStr">
        <is>
          <t>Netherlands</t>
        </is>
      </c>
      <c r="C995" s="2" t="inlineStr">
        <is>
          <t>Memphis Depay</t>
        </is>
      </c>
      <c r="D995" s="2" t="inlineStr">
        <is>
          <t>Avançado</t>
        </is>
      </c>
      <c r="E995" s="2" t="inlineStr">
        <is>
          <t>Corinthians</t>
        </is>
      </c>
      <c r="F995">
        <f>VLOOKUP(E995,Clubes!B$2:D$438,2)</f>
        <v/>
      </c>
      <c r="G995">
        <f>VLOOKUP(E995,Clubes!B$2:D$438,3)</f>
        <v/>
      </c>
      <c r="H995" s="2" t="n">
        <v>38</v>
      </c>
      <c r="J995">
        <f>I995/H995</f>
        <v/>
      </c>
      <c r="K995">
        <f>H995*90</f>
        <v/>
      </c>
      <c r="M995">
        <f>L995/K995</f>
        <v/>
      </c>
    </row>
    <row r="996">
      <c r="A996" s="1" t="n">
        <v>1021</v>
      </c>
      <c r="B996" s="2" t="inlineStr">
        <is>
          <t>Netherlands</t>
        </is>
      </c>
      <c r="C996" s="2" t="inlineStr">
        <is>
          <t>Cody Gakpo</t>
        </is>
      </c>
      <c r="D996" s="2" t="inlineStr">
        <is>
          <t>Avançado</t>
        </is>
      </c>
      <c r="E996" s="2" t="inlineStr">
        <is>
          <t>Liverpool</t>
        </is>
      </c>
      <c r="F996">
        <f>VLOOKUP(E996,Clubes!B$2:D$438,2)</f>
        <v/>
      </c>
      <c r="G996">
        <f>VLOOKUP(E996,Clubes!B$2:D$438,3)</f>
        <v/>
      </c>
      <c r="H996" s="2" t="n">
        <v>38</v>
      </c>
      <c r="J996">
        <f>I996/H996</f>
        <v/>
      </c>
      <c r="K996">
        <f>H996*90</f>
        <v/>
      </c>
      <c r="M996">
        <f>L996/K996</f>
        <v/>
      </c>
    </row>
    <row r="997">
      <c r="A997" s="1" t="n">
        <v>1022</v>
      </c>
      <c r="B997" s="2" t="inlineStr">
        <is>
          <t>Netherlands</t>
        </is>
      </c>
      <c r="C997" s="2" t="inlineStr">
        <is>
          <t>Noa Lang</t>
        </is>
      </c>
      <c r="D997" s="2" t="inlineStr">
        <is>
          <t>Avançado</t>
        </is>
      </c>
      <c r="E997" s="2" t="inlineStr">
        <is>
          <t>Galatasaray</t>
        </is>
      </c>
      <c r="F997">
        <f>VLOOKUP(E997,Clubes!B$2:D$438,2)</f>
        <v/>
      </c>
      <c r="G997">
        <f>VLOOKUP(E997,Clubes!B$2:D$438,3)</f>
        <v/>
      </c>
      <c r="H997" s="2" t="n">
        <v>38</v>
      </c>
      <c r="J997">
        <f>I997/H997</f>
        <v/>
      </c>
      <c r="K997">
        <f>H997*90</f>
        <v/>
      </c>
      <c r="M997">
        <f>L997/K997</f>
        <v/>
      </c>
    </row>
    <row r="998">
      <c r="A998" s="1" t="n">
        <v>1023</v>
      </c>
      <c r="B998" s="2" t="inlineStr">
        <is>
          <t>Netherlands</t>
        </is>
      </c>
      <c r="C998" s="2" t="inlineStr">
        <is>
          <t>Donyell Malen</t>
        </is>
      </c>
      <c r="D998" s="2" t="inlineStr">
        <is>
          <t>Avançado</t>
        </is>
      </c>
      <c r="E998" s="2" t="inlineStr">
        <is>
          <t>Roma</t>
        </is>
      </c>
      <c r="F998">
        <f>VLOOKUP(E998,Clubes!B$2:D$438,2)</f>
        <v/>
      </c>
      <c r="G998">
        <f>VLOOKUP(E998,Clubes!B$2:D$438,3)</f>
        <v/>
      </c>
      <c r="H998" s="2" t="n">
        <v>38</v>
      </c>
      <c r="J998">
        <f>I998/H998</f>
        <v/>
      </c>
      <c r="K998">
        <f>H998*90</f>
        <v/>
      </c>
      <c r="M998">
        <f>L998/K998</f>
        <v/>
      </c>
    </row>
    <row r="999">
      <c r="A999" s="1" t="n">
        <v>1024</v>
      </c>
      <c r="B999" s="2" t="inlineStr">
        <is>
          <t>Netherlands</t>
        </is>
      </c>
      <c r="C999" s="2" t="inlineStr">
        <is>
          <t>Brian Brobbey</t>
        </is>
      </c>
      <c r="D999" s="2" t="inlineStr">
        <is>
          <t>Avançado</t>
        </is>
      </c>
      <c r="E999" s="2" t="inlineStr">
        <is>
          <t>Sunderland</t>
        </is>
      </c>
      <c r="F999">
        <f>VLOOKUP(E999,Clubes!B$2:D$438,2)</f>
        <v/>
      </c>
      <c r="G999">
        <f>VLOOKUP(E999,Clubes!B$2:D$438,3)</f>
        <v/>
      </c>
      <c r="H999" s="2" t="n">
        <v>38</v>
      </c>
      <c r="J999">
        <f>I999/H999</f>
        <v/>
      </c>
      <c r="K999">
        <f>H999*90</f>
        <v/>
      </c>
      <c r="M999">
        <f>L999/K999</f>
        <v/>
      </c>
    </row>
    <row r="1000">
      <c r="A1000" s="1" t="n">
        <v>1025</v>
      </c>
      <c r="B1000" s="2" t="inlineStr">
        <is>
          <t>Netherlands</t>
        </is>
      </c>
      <c r="C1000" s="2" t="inlineStr">
        <is>
          <t>Crys Summerville</t>
        </is>
      </c>
      <c r="D1000" s="2" t="inlineStr">
        <is>
          <t>Avançado</t>
        </is>
      </c>
      <c r="E1000" s="2" t="inlineStr">
        <is>
          <t>West Ham</t>
        </is>
      </c>
      <c r="F1000">
        <f>VLOOKUP(E1000,Clubes!B$2:D$438,2)</f>
        <v/>
      </c>
      <c r="G1000">
        <f>VLOOKUP(E1000,Clubes!B$2:D$438,3)</f>
        <v/>
      </c>
      <c r="H1000" s="2" t="n">
        <v>38</v>
      </c>
      <c r="J1000">
        <f>I1000/H1000</f>
        <v/>
      </c>
      <c r="K1000">
        <f>H1000*90</f>
        <v/>
      </c>
      <c r="M1000">
        <f>L1000/K1000</f>
        <v/>
      </c>
    </row>
    <row r="1001">
      <c r="A1001" s="1" t="n">
        <v>999</v>
      </c>
      <c r="B1001" s="2" t="inlineStr">
        <is>
          <t>Netherlands</t>
        </is>
      </c>
      <c r="C1001" s="2" t="inlineStr">
        <is>
          <t>Bart Verbruggen</t>
        </is>
      </c>
      <c r="D1001" s="2" t="inlineStr">
        <is>
          <t>Guarda Redes</t>
        </is>
      </c>
      <c r="E1001" s="2" t="inlineStr">
        <is>
          <t>Brighton &amp; Hove Albion</t>
        </is>
      </c>
      <c r="F1001">
        <f>VLOOKUP(E1001,Clubes!B$2:D$438,2)</f>
        <v/>
      </c>
      <c r="G1001">
        <f>VLOOKUP(E1001,Clubes!B$2:D$438,3)</f>
        <v/>
      </c>
      <c r="H1001" s="2" t="n">
        <v>38</v>
      </c>
      <c r="J1001">
        <f>I1001/H1001</f>
        <v/>
      </c>
      <c r="K1001">
        <f>H1001*90</f>
        <v/>
      </c>
      <c r="M1001">
        <f>L1001/K1001</f>
        <v/>
      </c>
    </row>
    <row r="1002">
      <c r="A1002" s="1" t="n">
        <v>1000</v>
      </c>
      <c r="B1002" s="2" t="inlineStr">
        <is>
          <t>Netherlands</t>
        </is>
      </c>
      <c r="C1002" s="2" t="inlineStr">
        <is>
          <t>Robin Roefs</t>
        </is>
      </c>
      <c r="D1002" s="2" t="inlineStr">
        <is>
          <t>Guarda Redes</t>
        </is>
      </c>
      <c r="E1002" s="2" t="inlineStr">
        <is>
          <t>Sunderland</t>
        </is>
      </c>
      <c r="F1002">
        <f>VLOOKUP(E1002,Clubes!B$2:D$438,2)</f>
        <v/>
      </c>
      <c r="G1002">
        <f>VLOOKUP(E1002,Clubes!B$2:D$438,3)</f>
        <v/>
      </c>
      <c r="H1002" s="2" t="n">
        <v>38</v>
      </c>
      <c r="J1002">
        <f>I1002/H1002</f>
        <v/>
      </c>
      <c r="K1002">
        <f>H1002*90</f>
        <v/>
      </c>
      <c r="M1002">
        <f>L1002/K1002</f>
        <v/>
      </c>
    </row>
    <row r="1003">
      <c r="A1003" s="1" t="n">
        <v>1001</v>
      </c>
      <c r="B1003" s="2" t="inlineStr">
        <is>
          <t>Netherlands</t>
        </is>
      </c>
      <c r="C1003" s="2" t="inlineStr">
        <is>
          <t>Mark Flekken</t>
        </is>
      </c>
      <c r="D1003" s="2" t="inlineStr">
        <is>
          <t>Guarda Redes</t>
        </is>
      </c>
      <c r="E1003" s="2" t="inlineStr">
        <is>
          <t>Bayer Leverkusen</t>
        </is>
      </c>
      <c r="F1003">
        <f>VLOOKUP(E1003,Clubes!B$2:D$438,2)</f>
        <v/>
      </c>
      <c r="G1003">
        <f>VLOOKUP(E1003,Clubes!B$2:D$438,3)</f>
        <v/>
      </c>
      <c r="H1003" s="2" t="n">
        <v>34</v>
      </c>
      <c r="J1003">
        <f>I1003/H1003</f>
        <v/>
      </c>
      <c r="K1003">
        <f>H1003*90</f>
        <v/>
      </c>
      <c r="M1003">
        <f>L1003/K1003</f>
        <v/>
      </c>
    </row>
    <row r="1004">
      <c r="A1004" s="1" t="n">
        <v>1002</v>
      </c>
      <c r="B1004" s="2" t="inlineStr">
        <is>
          <t>Netherlands</t>
        </is>
      </c>
      <c r="C1004" s="2" t="inlineStr">
        <is>
          <t>Lutsharel Geertruida</t>
        </is>
      </c>
      <c r="D1004" s="2" t="inlineStr">
        <is>
          <t>Defesa</t>
        </is>
      </c>
      <c r="E1004" s="2" t="inlineStr">
        <is>
          <t>Sunderland</t>
        </is>
      </c>
      <c r="F1004">
        <f>VLOOKUP(E1004,Clubes!B$2:D$438,2)</f>
        <v/>
      </c>
      <c r="G1004">
        <f>VLOOKUP(E1004,Clubes!B$2:D$438,3)</f>
        <v/>
      </c>
      <c r="H1004" s="2" t="n">
        <v>38</v>
      </c>
      <c r="J1004">
        <f>I1004/H1004</f>
        <v/>
      </c>
      <c r="K1004">
        <f>H1004*90</f>
        <v/>
      </c>
      <c r="M1004">
        <f>L1004/K1004</f>
        <v/>
      </c>
    </row>
    <row r="1005">
      <c r="A1005" s="1" t="n">
        <v>1003</v>
      </c>
      <c r="B1005" s="2" t="inlineStr">
        <is>
          <t>Netherlands</t>
        </is>
      </c>
      <c r="C1005" s="2" t="inlineStr">
        <is>
          <t>Jurrien Timber</t>
        </is>
      </c>
      <c r="D1005" s="2" t="inlineStr">
        <is>
          <t>Defesa</t>
        </is>
      </c>
      <c r="E1005" s="2" t="inlineStr">
        <is>
          <t>Arsenal</t>
        </is>
      </c>
      <c r="F1005">
        <f>VLOOKUP(E1005,Clubes!B$2:D$438,2)</f>
        <v/>
      </c>
      <c r="G1005">
        <f>VLOOKUP(E1005,Clubes!B$2:D$438,3)</f>
        <v/>
      </c>
      <c r="H1005" s="2" t="n">
        <v>38</v>
      </c>
      <c r="J1005">
        <f>I1005/H1005</f>
        <v/>
      </c>
      <c r="K1005">
        <f>H1005*90</f>
        <v/>
      </c>
      <c r="M1005">
        <f>L1005/K1005</f>
        <v/>
      </c>
    </row>
    <row r="1006">
      <c r="A1006" s="1" t="n">
        <v>1004</v>
      </c>
      <c r="B1006" s="2" t="inlineStr">
        <is>
          <t>Netherlands</t>
        </is>
      </c>
      <c r="C1006" s="2" t="inlineStr">
        <is>
          <t>Virgil Van Dijk</t>
        </is>
      </c>
      <c r="D1006" s="2" t="inlineStr">
        <is>
          <t>Defesa</t>
        </is>
      </c>
      <c r="E1006" s="2" t="inlineStr">
        <is>
          <t>Liverpool</t>
        </is>
      </c>
      <c r="F1006">
        <f>VLOOKUP(E1006,Clubes!B$2:D$438,2)</f>
        <v/>
      </c>
      <c r="G1006">
        <f>VLOOKUP(E1006,Clubes!B$2:D$438,3)</f>
        <v/>
      </c>
      <c r="H1006" s="2" t="n">
        <v>38</v>
      </c>
      <c r="J1006">
        <f>I1006/H1006</f>
        <v/>
      </c>
      <c r="K1006">
        <f>H1006*90</f>
        <v/>
      </c>
      <c r="M1006">
        <f>L1006/K1006</f>
        <v/>
      </c>
    </row>
    <row r="1007">
      <c r="A1007" s="1" t="n">
        <v>1005</v>
      </c>
      <c r="B1007" s="2" t="inlineStr">
        <is>
          <t>Netherlands</t>
        </is>
      </c>
      <c r="C1007" s="2" t="inlineStr">
        <is>
          <t>Nathan Aké</t>
        </is>
      </c>
      <c r="D1007" s="2" t="inlineStr">
        <is>
          <t>Defesa</t>
        </is>
      </c>
      <c r="E1007" s="2" t="inlineStr">
        <is>
          <t>Manchester City</t>
        </is>
      </c>
      <c r="F1007">
        <f>VLOOKUP(E1007,Clubes!B$2:D$438,2)</f>
        <v/>
      </c>
      <c r="G1007">
        <f>VLOOKUP(E1007,Clubes!B$2:D$438,3)</f>
        <v/>
      </c>
      <c r="H1007" s="2" t="n">
        <v>38</v>
      </c>
      <c r="J1007">
        <f>I1007/H1007</f>
        <v/>
      </c>
      <c r="K1007">
        <f>H1007*90</f>
        <v/>
      </c>
      <c r="M1007">
        <f>L1007/K1007</f>
        <v/>
      </c>
    </row>
    <row r="1008">
      <c r="A1008" s="1" t="n">
        <v>1006</v>
      </c>
      <c r="B1008" s="2" t="inlineStr">
        <is>
          <t>Netherlands</t>
        </is>
      </c>
      <c r="C1008" s="2" t="inlineStr">
        <is>
          <t>Jan Paul van Hecke</t>
        </is>
      </c>
      <c r="D1008" s="2" t="inlineStr">
        <is>
          <t>Defesa</t>
        </is>
      </c>
      <c r="E1008" s="2" t="inlineStr">
        <is>
          <t>Brighton &amp; Hove Albion</t>
        </is>
      </c>
      <c r="F1008">
        <f>VLOOKUP(E1008,Clubes!B$2:D$438,2)</f>
        <v/>
      </c>
      <c r="G1008">
        <f>VLOOKUP(E1008,Clubes!B$2:D$438,3)</f>
        <v/>
      </c>
      <c r="H1008" s="2" t="n">
        <v>38</v>
      </c>
      <c r="J1008">
        <f>I1008/H1008</f>
        <v/>
      </c>
      <c r="K1008">
        <f>H1008*90</f>
        <v/>
      </c>
      <c r="M1008">
        <f>L1008/K1008</f>
        <v/>
      </c>
    </row>
    <row r="1009">
      <c r="A1009" s="1" t="n">
        <v>1007</v>
      </c>
      <c r="B1009" s="2" t="inlineStr">
        <is>
          <t>Netherlands</t>
        </is>
      </c>
      <c r="C1009" s="2" t="inlineStr">
        <is>
          <t>Micky van de Ven</t>
        </is>
      </c>
      <c r="D1009" s="2" t="inlineStr">
        <is>
          <t>Defesa</t>
        </is>
      </c>
      <c r="E1009" s="2" t="inlineStr">
        <is>
          <t>Tottenham</t>
        </is>
      </c>
      <c r="F1009">
        <f>VLOOKUP(E1009,Clubes!B$2:D$438,2)</f>
        <v/>
      </c>
      <c r="G1009">
        <f>VLOOKUP(E1009,Clubes!B$2:D$438,3)</f>
        <v/>
      </c>
      <c r="H1009" s="2" t="n">
        <v>38</v>
      </c>
      <c r="J1009">
        <f>I1009/H1009</f>
        <v/>
      </c>
      <c r="K1009">
        <f>H1009*90</f>
        <v/>
      </c>
      <c r="M1009">
        <f>L1009/K1009</f>
        <v/>
      </c>
    </row>
    <row r="1010">
      <c r="A1010" s="1" t="n">
        <v>1008</v>
      </c>
      <c r="B1010" s="2" t="inlineStr">
        <is>
          <t>Netherlands</t>
        </is>
      </c>
      <c r="C1010" s="2" t="inlineStr">
        <is>
          <t>Denzel Dumfries</t>
        </is>
      </c>
      <c r="D1010" s="2" t="inlineStr">
        <is>
          <t>Defesa</t>
        </is>
      </c>
      <c r="E1010" s="2" t="inlineStr">
        <is>
          <t>Internazionale</t>
        </is>
      </c>
      <c r="F1010">
        <f>VLOOKUP(E1010,Clubes!B$2:D$438,2)</f>
        <v/>
      </c>
      <c r="G1010">
        <f>VLOOKUP(E1010,Clubes!B$2:D$438,3)</f>
        <v/>
      </c>
      <c r="H1010" s="2" t="n">
        <v>38</v>
      </c>
      <c r="J1010">
        <f>I1010/H1010</f>
        <v/>
      </c>
      <c r="K1010">
        <f>H1010*90</f>
        <v/>
      </c>
      <c r="M1010">
        <f>L1010/K1010</f>
        <v/>
      </c>
    </row>
    <row r="1011">
      <c r="A1011" s="1" t="n">
        <v>1009</v>
      </c>
      <c r="B1011" s="2" t="inlineStr">
        <is>
          <t>Netherlands</t>
        </is>
      </c>
      <c r="C1011" s="2" t="inlineStr">
        <is>
          <t>Jorrel Hato</t>
        </is>
      </c>
      <c r="D1011" s="2" t="inlineStr">
        <is>
          <t>Defesa</t>
        </is>
      </c>
      <c r="E1011" s="2" t="inlineStr">
        <is>
          <t>Chelsea</t>
        </is>
      </c>
      <c r="F1011">
        <f>VLOOKUP(E1011,Clubes!B$2:D$438,2)</f>
        <v/>
      </c>
      <c r="G1011">
        <f>VLOOKUP(E1011,Clubes!B$2:D$438,3)</f>
        <v/>
      </c>
      <c r="H1011" s="2" t="n">
        <v>38</v>
      </c>
      <c r="J1011">
        <f>I1011/H1011</f>
        <v/>
      </c>
      <c r="K1011">
        <f>H1011*90</f>
        <v/>
      </c>
      <c r="M1011">
        <f>L1011/K1011</f>
        <v/>
      </c>
    </row>
    <row r="1012">
      <c r="A1012" s="1" t="n">
        <v>1010</v>
      </c>
      <c r="B1012" s="2" t="inlineStr">
        <is>
          <t>Netherlands</t>
        </is>
      </c>
      <c r="C1012" s="2" t="inlineStr">
        <is>
          <t>Marten de Roon</t>
        </is>
      </c>
      <c r="D1012" s="2" t="inlineStr">
        <is>
          <t>Médio</t>
        </is>
      </c>
      <c r="E1012" s="2" t="inlineStr">
        <is>
          <t>Atalanta</t>
        </is>
      </c>
      <c r="F1012">
        <f>VLOOKUP(E1012,Clubes!B$2:D$438,2)</f>
        <v/>
      </c>
      <c r="G1012">
        <f>VLOOKUP(E1012,Clubes!B$2:D$438,3)</f>
        <v/>
      </c>
      <c r="H1012" s="2" t="n">
        <v>38</v>
      </c>
      <c r="J1012">
        <f>I1012/H1012</f>
        <v/>
      </c>
      <c r="K1012">
        <f>H1012*90</f>
        <v/>
      </c>
      <c r="M1012">
        <f>L1012/K1012</f>
        <v/>
      </c>
    </row>
    <row r="1013">
      <c r="A1013" s="1" t="n">
        <v>1011</v>
      </c>
      <c r="B1013" s="2" t="inlineStr">
        <is>
          <t>Netherlands</t>
        </is>
      </c>
      <c r="C1013" s="2" t="inlineStr">
        <is>
          <t>Ryan Gravenberch</t>
        </is>
      </c>
      <c r="D1013" s="2" t="inlineStr">
        <is>
          <t>Médio</t>
        </is>
      </c>
      <c r="E1013" s="2" t="inlineStr">
        <is>
          <t>Liverpool</t>
        </is>
      </c>
      <c r="F1013">
        <f>VLOOKUP(E1013,Clubes!B$2:D$438,2)</f>
        <v/>
      </c>
      <c r="G1013">
        <f>VLOOKUP(E1013,Clubes!B$2:D$438,3)</f>
        <v/>
      </c>
      <c r="H1013" s="2" t="n">
        <v>38</v>
      </c>
      <c r="J1013">
        <f>I1013/H1013</f>
        <v/>
      </c>
      <c r="K1013">
        <f>H1013*90</f>
        <v/>
      </c>
      <c r="M1013">
        <f>L1013/K1013</f>
        <v/>
      </c>
    </row>
    <row r="1014">
      <c r="A1014" s="1" t="n">
        <v>1012</v>
      </c>
      <c r="B1014" s="2" t="inlineStr">
        <is>
          <t>Netherlands</t>
        </is>
      </c>
      <c r="C1014" s="2" t="inlineStr">
        <is>
          <t>Mats Wieffer</t>
        </is>
      </c>
      <c r="D1014" s="2" t="inlineStr">
        <is>
          <t>Médio</t>
        </is>
      </c>
      <c r="E1014" s="2" t="inlineStr">
        <is>
          <t>Brighton &amp; Hove Albion</t>
        </is>
      </c>
      <c r="F1014">
        <f>VLOOKUP(E1014,Clubes!B$2:D$438,2)</f>
        <v/>
      </c>
      <c r="G1014">
        <f>VLOOKUP(E1014,Clubes!B$2:D$438,3)</f>
        <v/>
      </c>
      <c r="H1014" s="2" t="n">
        <v>38</v>
      </c>
      <c r="J1014">
        <f>I1014/H1014</f>
        <v/>
      </c>
      <c r="K1014">
        <f>H1014*90</f>
        <v/>
      </c>
      <c r="M1014">
        <f>L1014/K1014</f>
        <v/>
      </c>
    </row>
    <row r="1015">
      <c r="A1015" s="1" t="n">
        <v>1013</v>
      </c>
      <c r="B1015" s="2" t="inlineStr">
        <is>
          <t>Netherlands</t>
        </is>
      </c>
      <c r="C1015" s="2" t="inlineStr">
        <is>
          <t>Tijjani Reijnders</t>
        </is>
      </c>
      <c r="D1015" s="2" t="inlineStr">
        <is>
          <t>Médio</t>
        </is>
      </c>
      <c r="E1015" s="2" t="inlineStr">
        <is>
          <t>Manchester City</t>
        </is>
      </c>
      <c r="F1015">
        <f>VLOOKUP(E1015,Clubes!B$2:D$438,2)</f>
        <v/>
      </c>
      <c r="G1015">
        <f>VLOOKUP(E1015,Clubes!B$2:D$438,3)</f>
        <v/>
      </c>
      <c r="H1015" s="2" t="n">
        <v>38</v>
      </c>
      <c r="J1015">
        <f>I1015/H1015</f>
        <v/>
      </c>
      <c r="K1015">
        <f>H1015*90</f>
        <v/>
      </c>
      <c r="M1015">
        <f>L1015/K1015</f>
        <v/>
      </c>
    </row>
    <row r="1016">
      <c r="A1016" s="1" t="n">
        <v>1014</v>
      </c>
      <c r="B1016" s="2" t="inlineStr">
        <is>
          <t>Netherlands</t>
        </is>
      </c>
      <c r="C1016" s="2" t="inlineStr">
        <is>
          <t>Guus Til</t>
        </is>
      </c>
      <c r="D1016" s="2" t="inlineStr">
        <is>
          <t>Médio</t>
        </is>
      </c>
      <c r="E1016" s="2" t="inlineStr">
        <is>
          <t>PSV</t>
        </is>
      </c>
      <c r="F1016">
        <f>VLOOKUP(E1016,Clubes!B$2:D$438,2)</f>
        <v/>
      </c>
      <c r="G1016">
        <f>VLOOKUP(E1016,Clubes!B$2:D$438,3)</f>
        <v/>
      </c>
      <c r="H1016" s="2" t="n">
        <v>46</v>
      </c>
      <c r="J1016">
        <f>I1016/H1016</f>
        <v/>
      </c>
      <c r="K1016">
        <f>H1016*90</f>
        <v/>
      </c>
      <c r="M1016">
        <f>L1016/K1016</f>
        <v/>
      </c>
    </row>
    <row r="1017">
      <c r="A1017" s="1" t="n">
        <v>1015</v>
      </c>
      <c r="B1017" s="2" t="inlineStr">
        <is>
          <t>Netherlands</t>
        </is>
      </c>
      <c r="C1017" s="2" t="inlineStr">
        <is>
          <t>Teun Koopmeiners</t>
        </is>
      </c>
      <c r="D1017" s="2" t="inlineStr">
        <is>
          <t>Médio</t>
        </is>
      </c>
      <c r="E1017" s="2" t="inlineStr">
        <is>
          <t>Juventus</t>
        </is>
      </c>
      <c r="F1017">
        <f>VLOOKUP(E1017,Clubes!B$2:D$438,2)</f>
        <v/>
      </c>
      <c r="G1017">
        <f>VLOOKUP(E1017,Clubes!B$2:D$438,3)</f>
        <v/>
      </c>
      <c r="H1017" s="2" t="n">
        <v>38</v>
      </c>
      <c r="J1017">
        <f>I1017/H1017</f>
        <v/>
      </c>
      <c r="K1017">
        <f>H1017*90</f>
        <v/>
      </c>
      <c r="M1017">
        <f>L1017/K1017</f>
        <v/>
      </c>
    </row>
    <row r="1018">
      <c r="A1018" s="1" t="n">
        <v>1016</v>
      </c>
      <c r="B1018" s="2" t="inlineStr">
        <is>
          <t>Netherlands</t>
        </is>
      </c>
      <c r="C1018" s="2" t="inlineStr">
        <is>
          <t>Frenkie de Jong</t>
        </is>
      </c>
      <c r="D1018" s="2" t="inlineStr">
        <is>
          <t>Médio</t>
        </is>
      </c>
      <c r="E1018" s="2" t="inlineStr">
        <is>
          <t>Barcelona</t>
        </is>
      </c>
      <c r="F1018">
        <f>VLOOKUP(E1018,Clubes!B$2:D$438,2)</f>
        <v/>
      </c>
      <c r="G1018">
        <f>VLOOKUP(E1018,Clubes!B$2:D$438,3)</f>
        <v/>
      </c>
      <c r="H1018" s="2" t="n">
        <v>38</v>
      </c>
      <c r="J1018">
        <f>I1018/H1018</f>
        <v/>
      </c>
      <c r="K1018">
        <f>H1018*90</f>
        <v/>
      </c>
      <c r="M1018">
        <f>L1018/K1018</f>
        <v/>
      </c>
    </row>
    <row r="1019">
      <c r="A1019" s="1" t="n">
        <v>1017</v>
      </c>
      <c r="B1019" s="2" t="inlineStr">
        <is>
          <t>Netherlands</t>
        </is>
      </c>
      <c r="C1019" s="2" t="inlineStr">
        <is>
          <t>Quinten Timber</t>
        </is>
      </c>
      <c r="D1019" s="2" t="inlineStr">
        <is>
          <t>Médio</t>
        </is>
      </c>
      <c r="E1019" s="2" t="inlineStr">
        <is>
          <t>Marseille</t>
        </is>
      </c>
      <c r="F1019">
        <f>VLOOKUP(E1019,Clubes!B$2:D$438,2)</f>
        <v/>
      </c>
      <c r="G1019">
        <f>VLOOKUP(E1019,Clubes!B$2:D$438,3)</f>
        <v/>
      </c>
      <c r="H1019" s="2" t="n">
        <v>34</v>
      </c>
      <c r="J1019">
        <f>I1019/H1019</f>
        <v/>
      </c>
      <c r="K1019">
        <f>H1019*90</f>
        <v/>
      </c>
      <c r="M1019">
        <f>L1019/K1019</f>
        <v/>
      </c>
    </row>
    <row r="1020">
      <c r="A1020" s="1" t="n">
        <v>1018</v>
      </c>
      <c r="B1020" s="2" t="inlineStr">
        <is>
          <t>Netherlands</t>
        </is>
      </c>
      <c r="C1020" s="2" t="inlineStr">
        <is>
          <t>Justin Kluivert</t>
        </is>
      </c>
      <c r="D1020" s="2" t="inlineStr">
        <is>
          <t>Avançado</t>
        </is>
      </c>
      <c r="E1020" s="2" t="inlineStr">
        <is>
          <t>Bournemouth</t>
        </is>
      </c>
      <c r="F1020">
        <f>VLOOKUP(E1020,Clubes!B$2:D$438,2)</f>
        <v/>
      </c>
      <c r="G1020">
        <f>VLOOKUP(E1020,Clubes!B$2:D$438,3)</f>
        <v/>
      </c>
      <c r="H1020" s="2" t="n">
        <v>38</v>
      </c>
      <c r="J1020">
        <f>I1020/H1020</f>
        <v/>
      </c>
      <c r="K1020">
        <f>H1020*90</f>
        <v/>
      </c>
      <c r="M1020">
        <f>L1020/K1020</f>
        <v/>
      </c>
    </row>
    <row r="1021">
      <c r="A1021" s="1" t="n">
        <v>1019</v>
      </c>
      <c r="B1021" s="2" t="inlineStr">
        <is>
          <t>Netherlands</t>
        </is>
      </c>
      <c r="C1021" s="2" t="inlineStr">
        <is>
          <t>Wout Weghorst</t>
        </is>
      </c>
      <c r="D1021" s="2" t="inlineStr">
        <is>
          <t>Avançado</t>
        </is>
      </c>
      <c r="E1021" s="2" t="inlineStr">
        <is>
          <t>Ajax</t>
        </is>
      </c>
      <c r="F1021">
        <f>VLOOKUP(E1021,Clubes!B$2:D$438,2)</f>
        <v/>
      </c>
      <c r="G1021">
        <f>VLOOKUP(E1021,Clubes!B$2:D$438,3)</f>
        <v/>
      </c>
      <c r="H1021" s="2" t="n">
        <v>34</v>
      </c>
      <c r="J1021">
        <f>I1021/H1021</f>
        <v/>
      </c>
      <c r="K1021">
        <f>H1021*90</f>
        <v/>
      </c>
      <c r="M1021">
        <f>L1021/K1021</f>
        <v/>
      </c>
    </row>
    <row r="1022">
      <c r="A1022" s="1" t="n">
        <v>1020</v>
      </c>
      <c r="B1022" s="2" t="inlineStr">
        <is>
          <t>Netherlands</t>
        </is>
      </c>
      <c r="C1022" s="2" t="inlineStr">
        <is>
          <t>Memphis Depay</t>
        </is>
      </c>
      <c r="D1022" s="2" t="inlineStr">
        <is>
          <t>Avançado</t>
        </is>
      </c>
      <c r="E1022" s="2" t="inlineStr">
        <is>
          <t>Corinthians</t>
        </is>
      </c>
      <c r="F1022">
        <f>VLOOKUP(E1022,Clubes!B$2:D$438,2)</f>
        <v/>
      </c>
      <c r="G1022">
        <f>VLOOKUP(E1022,Clubes!B$2:D$438,3)</f>
        <v/>
      </c>
      <c r="H1022" s="2" t="n">
        <v>38</v>
      </c>
      <c r="J1022">
        <f>I1022/H1022</f>
        <v/>
      </c>
      <c r="K1022">
        <f>H1022*90</f>
        <v/>
      </c>
      <c r="M1022">
        <f>L1022/K1022</f>
        <v/>
      </c>
    </row>
    <row r="1023">
      <c r="A1023" s="1" t="n">
        <v>1021</v>
      </c>
      <c r="B1023" s="2" t="inlineStr">
        <is>
          <t>Netherlands</t>
        </is>
      </c>
      <c r="C1023" s="2" t="inlineStr">
        <is>
          <t>Cody Gakpo</t>
        </is>
      </c>
      <c r="D1023" s="2" t="inlineStr">
        <is>
          <t>Avançado</t>
        </is>
      </c>
      <c r="E1023" s="2" t="inlineStr">
        <is>
          <t>Liverpool</t>
        </is>
      </c>
      <c r="F1023">
        <f>VLOOKUP(E1023,Clubes!B$2:D$438,2)</f>
        <v/>
      </c>
      <c r="G1023">
        <f>VLOOKUP(E1023,Clubes!B$2:D$438,3)</f>
        <v/>
      </c>
      <c r="H1023" s="2" t="n">
        <v>38</v>
      </c>
      <c r="J1023">
        <f>I1023/H1023</f>
        <v/>
      </c>
      <c r="K1023">
        <f>H1023*90</f>
        <v/>
      </c>
      <c r="M1023">
        <f>L1023/K1023</f>
        <v/>
      </c>
    </row>
    <row r="1024">
      <c r="A1024" s="1" t="n">
        <v>1022</v>
      </c>
      <c r="B1024" s="2" t="inlineStr">
        <is>
          <t>Netherlands</t>
        </is>
      </c>
      <c r="C1024" s="2" t="inlineStr">
        <is>
          <t>Noa Lang</t>
        </is>
      </c>
      <c r="D1024" s="2" t="inlineStr">
        <is>
          <t>Avançado</t>
        </is>
      </c>
      <c r="E1024" s="2" t="inlineStr">
        <is>
          <t>Galatasaray</t>
        </is>
      </c>
      <c r="F1024">
        <f>VLOOKUP(E1024,Clubes!B$2:D$438,2)</f>
        <v/>
      </c>
      <c r="G1024">
        <f>VLOOKUP(E1024,Clubes!B$2:D$438,3)</f>
        <v/>
      </c>
      <c r="H1024" s="2" t="n">
        <v>38</v>
      </c>
      <c r="J1024">
        <f>I1024/H1024</f>
        <v/>
      </c>
      <c r="K1024">
        <f>H1024*90</f>
        <v/>
      </c>
      <c r="M1024">
        <f>L1024/K1024</f>
        <v/>
      </c>
    </row>
    <row r="1025">
      <c r="A1025" s="1" t="n">
        <v>1023</v>
      </c>
      <c r="B1025" s="2" t="inlineStr">
        <is>
          <t>Netherlands</t>
        </is>
      </c>
      <c r="C1025" s="2" t="inlineStr">
        <is>
          <t>Donyell Malen</t>
        </is>
      </c>
      <c r="D1025" s="2" t="inlineStr">
        <is>
          <t>Avançado</t>
        </is>
      </c>
      <c r="E1025" s="2" t="inlineStr">
        <is>
          <t>Roma</t>
        </is>
      </c>
      <c r="F1025">
        <f>VLOOKUP(E1025,Clubes!B$2:D$438,2)</f>
        <v/>
      </c>
      <c r="G1025">
        <f>VLOOKUP(E1025,Clubes!B$2:D$438,3)</f>
        <v/>
      </c>
      <c r="H1025" s="2" t="n">
        <v>38</v>
      </c>
      <c r="J1025">
        <f>I1025/H1025</f>
        <v/>
      </c>
      <c r="K1025">
        <f>H1025*90</f>
        <v/>
      </c>
      <c r="M1025">
        <f>L1025/K1025</f>
        <v/>
      </c>
    </row>
    <row r="1026">
      <c r="A1026" s="1" t="n">
        <v>1024</v>
      </c>
      <c r="B1026" s="2" t="inlineStr">
        <is>
          <t>Netherlands</t>
        </is>
      </c>
      <c r="C1026" s="2" t="inlineStr">
        <is>
          <t>Brian Brobbey</t>
        </is>
      </c>
      <c r="D1026" s="2" t="inlineStr">
        <is>
          <t>Avançado</t>
        </is>
      </c>
      <c r="E1026" s="2" t="inlineStr">
        <is>
          <t>Sunderland</t>
        </is>
      </c>
      <c r="F1026">
        <f>VLOOKUP(E1026,Clubes!B$2:D$438,2)</f>
        <v/>
      </c>
      <c r="G1026">
        <f>VLOOKUP(E1026,Clubes!B$2:D$438,3)</f>
        <v/>
      </c>
      <c r="H1026" s="2" t="n">
        <v>38</v>
      </c>
      <c r="J1026">
        <f>I1026/H1026</f>
        <v/>
      </c>
      <c r="K1026">
        <f>H1026*90</f>
        <v/>
      </c>
      <c r="M1026">
        <f>L1026/K1026</f>
        <v/>
      </c>
    </row>
    <row r="1027">
      <c r="A1027" s="1" t="n">
        <v>1025</v>
      </c>
      <c r="B1027" s="2" t="inlineStr">
        <is>
          <t>Netherlands</t>
        </is>
      </c>
      <c r="C1027" s="2" t="inlineStr">
        <is>
          <t>Crys Summerville</t>
        </is>
      </c>
      <c r="D1027" s="2" t="inlineStr">
        <is>
          <t>Avançado</t>
        </is>
      </c>
      <c r="E1027" s="2" t="inlineStr">
        <is>
          <t>West Ham</t>
        </is>
      </c>
      <c r="F1027">
        <f>VLOOKUP(E1027,Clubes!B$2:D$438,2)</f>
        <v/>
      </c>
      <c r="G1027">
        <f>VLOOKUP(E1027,Clubes!B$2:D$438,3)</f>
        <v/>
      </c>
      <c r="H1027" s="2" t="n">
        <v>38</v>
      </c>
      <c r="J1027">
        <f>I1027/H1027</f>
        <v/>
      </c>
      <c r="K1027">
        <f>H1027*90</f>
        <v/>
      </c>
      <c r="M1027">
        <f>L1027/K1027</f>
        <v/>
      </c>
    </row>
    <row r="1028">
      <c r="A1028" s="1" t="n">
        <v>1052</v>
      </c>
      <c r="B1028" s="2" t="inlineStr">
        <is>
          <t>Paraguay</t>
        </is>
      </c>
      <c r="C1028" s="2" t="inlineStr">
        <is>
          <t>Gatito Fernández</t>
        </is>
      </c>
      <c r="D1028" s="2" t="inlineStr">
        <is>
          <t>Guarda Redes</t>
        </is>
      </c>
      <c r="E1028" s="2" t="inlineStr">
        <is>
          <t>Cerro Porteño</t>
        </is>
      </c>
      <c r="F1028">
        <f>VLOOKUP(E1028,Clubes!B$2:D$438,2)</f>
        <v/>
      </c>
      <c r="G1028">
        <f>VLOOKUP(E1028,Clubes!B$2:D$438,3)</f>
        <v/>
      </c>
      <c r="H1028" s="2" t="n">
        <v>44</v>
      </c>
      <c r="J1028">
        <f>I1028/H1028</f>
        <v/>
      </c>
      <c r="K1028">
        <f>H1028*90</f>
        <v/>
      </c>
      <c r="M1028">
        <f>L1028/K1028</f>
        <v/>
      </c>
    </row>
    <row r="1029">
      <c r="A1029" s="1" t="n">
        <v>1053</v>
      </c>
      <c r="B1029" s="2" t="inlineStr">
        <is>
          <t>Paraguay</t>
        </is>
      </c>
      <c r="C1029" s="2" t="inlineStr">
        <is>
          <t>Orlando Gill</t>
        </is>
      </c>
      <c r="D1029" s="2" t="inlineStr">
        <is>
          <t>Guarda Redes</t>
        </is>
      </c>
      <c r="E1029" s="2" t="inlineStr">
        <is>
          <t>San Lorenzo</t>
        </is>
      </c>
      <c r="F1029">
        <f>VLOOKUP(E1029,Clubes!B$2:D$438,2)</f>
        <v/>
      </c>
      <c r="G1029">
        <f>VLOOKUP(E1029,Clubes!B$2:D$438,3)</f>
        <v/>
      </c>
      <c r="H1029" s="2" t="n">
        <v>40</v>
      </c>
      <c r="J1029">
        <f>I1029/H1029</f>
        <v/>
      </c>
      <c r="K1029">
        <f>H1029*90</f>
        <v/>
      </c>
      <c r="M1029">
        <f>L1029/K1029</f>
        <v/>
      </c>
    </row>
    <row r="1030">
      <c r="A1030" s="1" t="n">
        <v>1054</v>
      </c>
      <c r="B1030" s="2" t="inlineStr">
        <is>
          <t>Paraguay</t>
        </is>
      </c>
      <c r="C1030" s="2" t="inlineStr">
        <is>
          <t>Gastón Olveira</t>
        </is>
      </c>
      <c r="D1030" s="2" t="inlineStr">
        <is>
          <t>Guarda Redes</t>
        </is>
      </c>
      <c r="E1030" s="2" t="inlineStr">
        <is>
          <t>Olimpia</t>
        </is>
      </c>
      <c r="F1030">
        <f>VLOOKUP(E1030,Clubes!B$2:D$438,2)</f>
        <v/>
      </c>
      <c r="G1030">
        <f>VLOOKUP(E1030,Clubes!B$2:D$438,3)</f>
        <v/>
      </c>
      <c r="H1030" s="2" t="n">
        <v>44</v>
      </c>
      <c r="J1030">
        <f>I1030/H1030</f>
        <v/>
      </c>
      <c r="K1030">
        <f>H1030*90</f>
        <v/>
      </c>
      <c r="M1030">
        <f>L1030/K1030</f>
        <v/>
      </c>
    </row>
    <row r="1031">
      <c r="A1031" s="1" t="n">
        <v>1055</v>
      </c>
      <c r="B1031" s="2" t="inlineStr">
        <is>
          <t>Paraguay</t>
        </is>
      </c>
      <c r="C1031" s="2" t="inlineStr">
        <is>
          <t>Gustavo Velázquez</t>
        </is>
      </c>
      <c r="D1031" s="2" t="inlineStr">
        <is>
          <t>Defesa</t>
        </is>
      </c>
      <c r="E1031" s="2" t="inlineStr">
        <is>
          <t>Cerro Porteño</t>
        </is>
      </c>
      <c r="F1031">
        <f>VLOOKUP(E1031,Clubes!B$2:D$438,2)</f>
        <v/>
      </c>
      <c r="G1031">
        <f>VLOOKUP(E1031,Clubes!B$2:D$438,3)</f>
        <v/>
      </c>
      <c r="H1031" s="2" t="n">
        <v>44</v>
      </c>
      <c r="J1031">
        <f>I1031/H1031</f>
        <v/>
      </c>
      <c r="K1031">
        <f>H1031*90</f>
        <v/>
      </c>
      <c r="M1031">
        <f>L1031/K1031</f>
        <v/>
      </c>
    </row>
    <row r="1032">
      <c r="A1032" s="1" t="n">
        <v>1056</v>
      </c>
      <c r="B1032" s="2" t="inlineStr">
        <is>
          <t>Paraguay</t>
        </is>
      </c>
      <c r="C1032" s="2" t="inlineStr">
        <is>
          <t>Juan José Cáceres</t>
        </is>
      </c>
      <c r="D1032" s="2" t="inlineStr">
        <is>
          <t>Defesa</t>
        </is>
      </c>
      <c r="E1032" s="2" t="inlineStr">
        <is>
          <t>Dynamo Moskva</t>
        </is>
      </c>
      <c r="F1032">
        <f>VLOOKUP(E1032,Clubes!B$2:D$438,2)</f>
        <v/>
      </c>
      <c r="G1032">
        <f>VLOOKUP(E1032,Clubes!B$2:D$438,3)</f>
        <v/>
      </c>
      <c r="H1032" s="2" t="n">
        <v>30</v>
      </c>
      <c r="J1032">
        <f>I1032/H1032</f>
        <v/>
      </c>
      <c r="K1032">
        <f>H1032*90</f>
        <v/>
      </c>
      <c r="M1032">
        <f>L1032/K1032</f>
        <v/>
      </c>
    </row>
    <row r="1033">
      <c r="A1033" s="1" t="n">
        <v>1057</v>
      </c>
      <c r="B1033" s="2" t="inlineStr">
        <is>
          <t>Paraguay</t>
        </is>
      </c>
      <c r="C1033" s="2" t="inlineStr">
        <is>
          <t>Omar Alderete</t>
        </is>
      </c>
      <c r="D1033" s="2" t="inlineStr">
        <is>
          <t>Defesa</t>
        </is>
      </c>
      <c r="E1033" s="2" t="inlineStr">
        <is>
          <t>Sunderland</t>
        </is>
      </c>
      <c r="F1033">
        <f>VLOOKUP(E1033,Clubes!B$2:D$438,2)</f>
        <v/>
      </c>
      <c r="G1033">
        <f>VLOOKUP(E1033,Clubes!B$2:D$438,3)</f>
        <v/>
      </c>
      <c r="H1033" s="2" t="n">
        <v>38</v>
      </c>
      <c r="J1033">
        <f>I1033/H1033</f>
        <v/>
      </c>
      <c r="K1033">
        <f>H1033*90</f>
        <v/>
      </c>
      <c r="M1033">
        <f>L1033/K1033</f>
        <v/>
      </c>
    </row>
    <row r="1034">
      <c r="A1034" s="1" t="n">
        <v>1058</v>
      </c>
      <c r="B1034" s="2" t="inlineStr">
        <is>
          <t>Paraguay</t>
        </is>
      </c>
      <c r="C1034" s="2" t="inlineStr">
        <is>
          <t>Fabián Balbuena</t>
        </is>
      </c>
      <c r="D1034" s="2" t="inlineStr">
        <is>
          <t>Defesa</t>
        </is>
      </c>
      <c r="E1034" s="2" t="inlineStr">
        <is>
          <t>Grêmio</t>
        </is>
      </c>
      <c r="F1034">
        <f>VLOOKUP(E1034,Clubes!B$2:D$438,2)</f>
        <v/>
      </c>
      <c r="G1034">
        <f>VLOOKUP(E1034,Clubes!B$2:D$438,3)</f>
        <v/>
      </c>
      <c r="H1034" s="2" t="n">
        <v>38</v>
      </c>
      <c r="J1034">
        <f>I1034/H1034</f>
        <v/>
      </c>
      <c r="K1034">
        <f>H1034*90</f>
        <v/>
      </c>
      <c r="M1034">
        <f>L1034/K1034</f>
        <v/>
      </c>
    </row>
    <row r="1035">
      <c r="A1035" s="1" t="n">
        <v>1059</v>
      </c>
      <c r="B1035" s="2" t="inlineStr">
        <is>
          <t>Paraguay</t>
        </is>
      </c>
      <c r="C1035" s="2" t="inlineStr">
        <is>
          <t>Júnior Alonso</t>
        </is>
      </c>
      <c r="D1035" s="2" t="inlineStr">
        <is>
          <t>Defesa</t>
        </is>
      </c>
      <c r="E1035" s="2" t="inlineStr">
        <is>
          <t>Atlético Mineiro</t>
        </is>
      </c>
      <c r="F1035">
        <f>VLOOKUP(E1035,Clubes!B$2:D$438,2)</f>
        <v/>
      </c>
      <c r="G1035">
        <f>VLOOKUP(E1035,Clubes!B$2:D$438,3)</f>
        <v/>
      </c>
      <c r="H1035" s="2" t="n">
        <v>38</v>
      </c>
      <c r="J1035">
        <f>I1035/H1035</f>
        <v/>
      </c>
      <c r="K1035">
        <f>H1035*90</f>
        <v/>
      </c>
      <c r="M1035">
        <f>L1035/K1035</f>
        <v/>
      </c>
    </row>
    <row r="1036">
      <c r="A1036" s="1" t="n">
        <v>1060</v>
      </c>
      <c r="B1036" s="2" t="inlineStr">
        <is>
          <t>Paraguay</t>
        </is>
      </c>
      <c r="C1036" s="2" t="inlineStr">
        <is>
          <t>José María Canale</t>
        </is>
      </c>
      <c r="D1036" s="2" t="inlineStr">
        <is>
          <t>Defesa</t>
        </is>
      </c>
      <c r="E1036" s="2" t="inlineStr">
        <is>
          <t>Lanús</t>
        </is>
      </c>
      <c r="F1036">
        <f>VLOOKUP(E1036,Clubes!B$2:D$438,2)</f>
        <v/>
      </c>
      <c r="G1036">
        <f>VLOOKUP(E1036,Clubes!B$2:D$438,3)</f>
        <v/>
      </c>
      <c r="H1036" s="2" t="n">
        <v>34</v>
      </c>
      <c r="J1036">
        <f>I1036/H1036</f>
        <v/>
      </c>
      <c r="K1036">
        <f>H1036*90</f>
        <v/>
      </c>
      <c r="M1036">
        <f>L1036/K1036</f>
        <v/>
      </c>
    </row>
    <row r="1037">
      <c r="A1037" s="1" t="n">
        <v>1061</v>
      </c>
      <c r="B1037" s="2" t="inlineStr">
        <is>
          <t>Paraguay</t>
        </is>
      </c>
      <c r="C1037" s="2" t="inlineStr">
        <is>
          <t>Gustavo Gómez</t>
        </is>
      </c>
      <c r="D1037" s="2" t="inlineStr">
        <is>
          <t>Defesa</t>
        </is>
      </c>
      <c r="E1037" s="2" t="inlineStr">
        <is>
          <t>Palmeiras</t>
        </is>
      </c>
      <c r="F1037">
        <f>VLOOKUP(E1037,Clubes!B$2:D$438,2)</f>
        <v/>
      </c>
      <c r="G1037">
        <f>VLOOKUP(E1037,Clubes!B$2:D$438,3)</f>
        <v/>
      </c>
      <c r="H1037" s="2" t="n">
        <v>38</v>
      </c>
      <c r="J1037">
        <f>I1037/H1037</f>
        <v/>
      </c>
      <c r="K1037">
        <f>H1037*90</f>
        <v/>
      </c>
      <c r="M1037">
        <f>L1037/K1037</f>
        <v/>
      </c>
    </row>
    <row r="1038">
      <c r="A1038" s="1" t="n">
        <v>1062</v>
      </c>
      <c r="B1038" s="2" t="inlineStr">
        <is>
          <t>Paraguay</t>
        </is>
      </c>
      <c r="C1038" s="2" t="inlineStr">
        <is>
          <t>Alexandro Maidana</t>
        </is>
      </c>
      <c r="D1038" s="2" t="inlineStr">
        <is>
          <t>Defesa</t>
        </is>
      </c>
      <c r="E1038" s="2" t="inlineStr">
        <is>
          <t>Talleres</t>
        </is>
      </c>
      <c r="F1038">
        <f>VLOOKUP(E1038,Clubes!B$2:D$438,2)</f>
        <v/>
      </c>
      <c r="G1038">
        <f>VLOOKUP(E1038,Clubes!B$2:D$438,3)</f>
        <v/>
      </c>
      <c r="H1038" s="2" t="n">
        <v>38</v>
      </c>
      <c r="J1038">
        <f>I1038/H1038</f>
        <v/>
      </c>
      <c r="K1038">
        <f>H1038*90</f>
        <v/>
      </c>
      <c r="M1038">
        <f>L1038/K1038</f>
        <v/>
      </c>
    </row>
    <row r="1039">
      <c r="A1039" s="1" t="n">
        <v>1063</v>
      </c>
      <c r="B1039" s="2" t="inlineStr">
        <is>
          <t>Paraguay</t>
        </is>
      </c>
      <c r="C1039" s="2" t="inlineStr">
        <is>
          <t>Andrés Cubas</t>
        </is>
      </c>
      <c r="D1039" s="2" t="inlineStr">
        <is>
          <t>Médio</t>
        </is>
      </c>
      <c r="E1039" s="2" t="inlineStr">
        <is>
          <t>Vancouver Whitecaps</t>
        </is>
      </c>
      <c r="F1039">
        <f>VLOOKUP(E1039,Clubes!B$2:D$438,2)</f>
        <v/>
      </c>
      <c r="G1039">
        <f>VLOOKUP(E1039,Clubes!B$2:D$438,3)</f>
        <v/>
      </c>
      <c r="H1039" s="2" t="n">
        <v>34</v>
      </c>
      <c r="J1039">
        <f>I1039/H1039</f>
        <v/>
      </c>
      <c r="K1039">
        <f>H1039*90</f>
        <v/>
      </c>
      <c r="M1039">
        <f>L1039/K1039</f>
        <v/>
      </c>
    </row>
    <row r="1040">
      <c r="A1040" s="1" t="n">
        <v>1064</v>
      </c>
      <c r="B1040" s="2" t="inlineStr">
        <is>
          <t>Paraguay</t>
        </is>
      </c>
      <c r="C1040" s="2" t="inlineStr">
        <is>
          <t>Damián Bobadilla</t>
        </is>
      </c>
      <c r="D1040" s="2" t="inlineStr">
        <is>
          <t>Médio</t>
        </is>
      </c>
      <c r="E1040" s="2" t="inlineStr">
        <is>
          <t>São Paulo</t>
        </is>
      </c>
      <c r="F1040">
        <f>VLOOKUP(E1040,Clubes!B$2:D$438,2)</f>
        <v/>
      </c>
      <c r="G1040">
        <f>VLOOKUP(E1040,Clubes!B$2:D$438,3)</f>
        <v/>
      </c>
      <c r="H1040" s="2" t="n">
        <v>40</v>
      </c>
      <c r="J1040">
        <f>I1040/H1040</f>
        <v/>
      </c>
      <c r="K1040">
        <f>H1040*90</f>
        <v/>
      </c>
      <c r="M1040">
        <f>L1040/K1040</f>
        <v/>
      </c>
    </row>
    <row r="1041">
      <c r="A1041" s="1" t="n">
        <v>1065</v>
      </c>
      <c r="B1041" s="2" t="inlineStr">
        <is>
          <t>Paraguay</t>
        </is>
      </c>
      <c r="C1041" s="2" t="inlineStr">
        <is>
          <t>Braian Ojeda</t>
        </is>
      </c>
      <c r="D1041" s="2" t="inlineStr">
        <is>
          <t>Médio</t>
        </is>
      </c>
      <c r="E1041" s="2" t="inlineStr">
        <is>
          <t>Orlando City</t>
        </is>
      </c>
      <c r="F1041">
        <f>VLOOKUP(E1041,Clubes!B$2:D$438,2)</f>
        <v/>
      </c>
      <c r="G1041">
        <f>VLOOKUP(E1041,Clubes!B$2:D$438,3)</f>
        <v/>
      </c>
      <c r="H1041" s="2" t="n">
        <v>34</v>
      </c>
      <c r="J1041">
        <f>I1041/H1041</f>
        <v/>
      </c>
      <c r="K1041">
        <f>H1041*90</f>
        <v/>
      </c>
      <c r="M1041">
        <f>L1041/K1041</f>
        <v/>
      </c>
    </row>
    <row r="1042">
      <c r="A1042" s="1" t="n">
        <v>1066</v>
      </c>
      <c r="B1042" s="2" t="inlineStr">
        <is>
          <t>Paraguay</t>
        </is>
      </c>
      <c r="C1042" s="2" t="inlineStr">
        <is>
          <t>Matías Galarza</t>
        </is>
      </c>
      <c r="D1042" s="2" t="inlineStr">
        <is>
          <t>Médio</t>
        </is>
      </c>
      <c r="E1042" s="2" t="inlineStr">
        <is>
          <t>Atlanta United</t>
        </is>
      </c>
      <c r="F1042">
        <f>VLOOKUP(E1042,Clubes!B$2:D$438,2)</f>
        <v/>
      </c>
      <c r="G1042">
        <f>VLOOKUP(E1042,Clubes!B$2:D$438,3)</f>
        <v/>
      </c>
      <c r="H1042" s="2" t="n">
        <v>34</v>
      </c>
      <c r="J1042">
        <f>I1042/H1042</f>
        <v/>
      </c>
      <c r="K1042">
        <f>H1042*90</f>
        <v/>
      </c>
      <c r="M1042">
        <f>L1042/K1042</f>
        <v/>
      </c>
    </row>
    <row r="1043">
      <c r="A1043" s="1" t="n">
        <v>1067</v>
      </c>
      <c r="B1043" s="2" t="inlineStr">
        <is>
          <t>Paraguay</t>
        </is>
      </c>
      <c r="C1043" s="2" t="inlineStr">
        <is>
          <t>Diego Gómez</t>
        </is>
      </c>
      <c r="D1043" s="2" t="inlineStr">
        <is>
          <t>Médio</t>
        </is>
      </c>
      <c r="E1043" s="2" t="inlineStr">
        <is>
          <t>Brighton &amp; Hove Albion</t>
        </is>
      </c>
      <c r="F1043">
        <f>VLOOKUP(E1043,Clubes!B$2:D$438,2)</f>
        <v/>
      </c>
      <c r="G1043">
        <f>VLOOKUP(E1043,Clubes!B$2:D$438,3)</f>
        <v/>
      </c>
      <c r="H1043" s="2" t="n">
        <v>38</v>
      </c>
      <c r="J1043">
        <f>I1043/H1043</f>
        <v/>
      </c>
      <c r="K1043">
        <f>H1043*90</f>
        <v/>
      </c>
      <c r="M1043">
        <f>L1043/K1043</f>
        <v/>
      </c>
    </row>
    <row r="1044">
      <c r="A1044" s="1" t="n">
        <v>1068</v>
      </c>
      <c r="B1044" s="2" t="inlineStr">
        <is>
          <t>Paraguay</t>
        </is>
      </c>
      <c r="C1044" s="2" t="inlineStr">
        <is>
          <t>Maurício</t>
        </is>
      </c>
      <c r="D1044" s="2" t="inlineStr">
        <is>
          <t>Médio</t>
        </is>
      </c>
      <c r="E1044" s="2" t="inlineStr">
        <is>
          <t>Palmeiras</t>
        </is>
      </c>
      <c r="F1044">
        <f>VLOOKUP(E1044,Clubes!B$2:D$438,2)</f>
        <v/>
      </c>
      <c r="G1044">
        <f>VLOOKUP(E1044,Clubes!B$2:D$438,3)</f>
        <v/>
      </c>
      <c r="H1044" s="2" t="n">
        <v>38</v>
      </c>
      <c r="J1044">
        <f>I1044/H1044</f>
        <v/>
      </c>
      <c r="K1044">
        <f>H1044*90</f>
        <v/>
      </c>
      <c r="M1044">
        <f>L1044/K1044</f>
        <v/>
      </c>
    </row>
    <row r="1045">
      <c r="A1045" s="1" t="n">
        <v>1069</v>
      </c>
      <c r="B1045" s="2" t="inlineStr">
        <is>
          <t>Paraguay</t>
        </is>
      </c>
      <c r="C1045" s="2" t="inlineStr">
        <is>
          <t>Kaku Gamarra</t>
        </is>
      </c>
      <c r="D1045" s="2" t="inlineStr">
        <is>
          <t>Médio</t>
        </is>
      </c>
      <c r="E1045" s="2" t="inlineStr">
        <is>
          <t>Al Ain</t>
        </is>
      </c>
      <c r="F1045">
        <f>VLOOKUP(E1045,Clubes!B$2:D$438,2)</f>
        <v/>
      </c>
      <c r="G1045">
        <f>VLOOKUP(E1045,Clubes!B$2:D$438,3)</f>
        <v/>
      </c>
      <c r="H1045" s="2" t="n">
        <v>26</v>
      </c>
      <c r="J1045">
        <f>I1045/H1045</f>
        <v/>
      </c>
      <c r="K1045">
        <f>H1045*90</f>
        <v/>
      </c>
      <c r="M1045">
        <f>L1045/K1045</f>
        <v/>
      </c>
    </row>
    <row r="1046">
      <c r="A1046" s="1" t="n">
        <v>1070</v>
      </c>
      <c r="B1046" s="2" t="inlineStr">
        <is>
          <t>Paraguay</t>
        </is>
      </c>
      <c r="C1046" s="2" t="inlineStr">
        <is>
          <t>Miguel Almirón</t>
        </is>
      </c>
      <c r="D1046" s="2" t="inlineStr">
        <is>
          <t>Avançado</t>
        </is>
      </c>
      <c r="E1046" s="2" t="inlineStr">
        <is>
          <t>Atlanta United</t>
        </is>
      </c>
      <c r="F1046">
        <f>VLOOKUP(E1046,Clubes!B$2:D$438,2)</f>
        <v/>
      </c>
      <c r="G1046">
        <f>VLOOKUP(E1046,Clubes!B$2:D$438,3)</f>
        <v/>
      </c>
      <c r="H1046" s="2" t="n">
        <v>34</v>
      </c>
      <c r="J1046">
        <f>I1046/H1046</f>
        <v/>
      </c>
      <c r="K1046">
        <f>H1046*90</f>
        <v/>
      </c>
      <c r="M1046">
        <f>L1046/K1046</f>
        <v/>
      </c>
    </row>
    <row r="1047">
      <c r="A1047" s="1" t="n">
        <v>1071</v>
      </c>
      <c r="B1047" s="2" t="inlineStr">
        <is>
          <t>Paraguay</t>
        </is>
      </c>
      <c r="C1047" s="2" t="inlineStr">
        <is>
          <t>Tonny Sanabria</t>
        </is>
      </c>
      <c r="D1047" s="2" t="inlineStr">
        <is>
          <t>Avançado</t>
        </is>
      </c>
      <c r="E1047" s="2" t="inlineStr">
        <is>
          <t>Cremonese</t>
        </is>
      </c>
      <c r="F1047">
        <f>VLOOKUP(E1047,Clubes!B$2:D$438,2)</f>
        <v/>
      </c>
      <c r="G1047">
        <f>VLOOKUP(E1047,Clubes!B$2:D$438,3)</f>
        <v/>
      </c>
      <c r="H1047" s="2" t="n">
        <v>38</v>
      </c>
      <c r="J1047">
        <f>I1047/H1047</f>
        <v/>
      </c>
      <c r="K1047">
        <f>H1047*90</f>
        <v/>
      </c>
      <c r="M1047">
        <f>L1047/K1047</f>
        <v/>
      </c>
    </row>
    <row r="1048">
      <c r="A1048" s="1" t="n">
        <v>1072</v>
      </c>
      <c r="B1048" s="2" t="inlineStr">
        <is>
          <t>Paraguay</t>
        </is>
      </c>
      <c r="C1048" s="2" t="inlineStr">
        <is>
          <t>Álex Arce</t>
        </is>
      </c>
      <c r="D1048" s="2" t="inlineStr">
        <is>
          <t>Avançado</t>
        </is>
      </c>
      <c r="E1048" s="2" t="inlineStr">
        <is>
          <t>Independiente Rivadavia</t>
        </is>
      </c>
      <c r="F1048">
        <f>VLOOKUP(E1048,Clubes!B$2:D$438,2)</f>
        <v/>
      </c>
      <c r="G1048">
        <f>VLOOKUP(E1048,Clubes!B$2:D$438,3)</f>
        <v/>
      </c>
      <c r="H1048" s="2" t="n">
        <v>30</v>
      </c>
      <c r="J1048">
        <f>I1048/H1048</f>
        <v/>
      </c>
      <c r="K1048">
        <f>H1048*90</f>
        <v/>
      </c>
      <c r="M1048">
        <f>L1048/K1048</f>
        <v/>
      </c>
    </row>
    <row r="1049">
      <c r="A1049" s="1" t="n">
        <v>1073</v>
      </c>
      <c r="B1049" s="2" t="inlineStr">
        <is>
          <t>Paraguay</t>
        </is>
      </c>
      <c r="C1049" s="2" t="inlineStr">
        <is>
          <t>Gabriel Ávalos</t>
        </is>
      </c>
      <c r="D1049" s="2" t="inlineStr">
        <is>
          <t>Avançado</t>
        </is>
      </c>
      <c r="E1049" s="2" t="inlineStr">
        <is>
          <t>Independiente</t>
        </is>
      </c>
      <c r="F1049">
        <f>VLOOKUP(E1049,Clubes!B$2:D$438,2)</f>
        <v/>
      </c>
      <c r="G1049">
        <f>VLOOKUP(E1049,Clubes!B$2:D$438,3)</f>
        <v/>
      </c>
      <c r="H1049" s="2" t="n">
        <v>32</v>
      </c>
      <c r="J1049">
        <f>I1049/H1049</f>
        <v/>
      </c>
      <c r="K1049">
        <f>H1049*90</f>
        <v/>
      </c>
      <c r="M1049">
        <f>L1049/K1049</f>
        <v/>
      </c>
    </row>
    <row r="1050">
      <c r="A1050" s="1" t="n">
        <v>1074</v>
      </c>
      <c r="B1050" s="2" t="inlineStr">
        <is>
          <t>Paraguay</t>
        </is>
      </c>
      <c r="C1050" s="2" t="inlineStr">
        <is>
          <t>Isidro Pitta</t>
        </is>
      </c>
      <c r="D1050" s="2" t="inlineStr">
        <is>
          <t>Avançado</t>
        </is>
      </c>
      <c r="E1050" s="2" t="inlineStr">
        <is>
          <t>Red Bull Bragantino</t>
        </is>
      </c>
      <c r="F1050">
        <f>VLOOKUP(E1050,Clubes!B$2:D$438,2)</f>
        <v/>
      </c>
      <c r="G1050">
        <f>VLOOKUP(E1050,Clubes!B$2:D$438,3)</f>
        <v/>
      </c>
      <c r="H1050" s="2" t="n">
        <v>38</v>
      </c>
      <c r="J1050">
        <f>I1050/H1050</f>
        <v/>
      </c>
      <c r="K1050">
        <f>H1050*90</f>
        <v/>
      </c>
      <c r="M1050">
        <f>L1050/K1050</f>
        <v/>
      </c>
    </row>
    <row r="1051">
      <c r="A1051" s="1" t="n">
        <v>1075</v>
      </c>
      <c r="B1051" s="2" t="inlineStr">
        <is>
          <t>Paraguay</t>
        </is>
      </c>
      <c r="C1051" s="2" t="inlineStr">
        <is>
          <t>Ramón Sosa</t>
        </is>
      </c>
      <c r="D1051" s="2" t="inlineStr">
        <is>
          <t>Avançado</t>
        </is>
      </c>
      <c r="E1051" s="2" t="inlineStr">
        <is>
          <t>Palmeiras</t>
        </is>
      </c>
      <c r="F1051">
        <f>VLOOKUP(E1051,Clubes!B$2:D$438,2)</f>
        <v/>
      </c>
      <c r="G1051">
        <f>VLOOKUP(E1051,Clubes!B$2:D$438,3)</f>
        <v/>
      </c>
      <c r="H1051" s="2" t="n">
        <v>38</v>
      </c>
      <c r="J1051">
        <f>I1051/H1051</f>
        <v/>
      </c>
      <c r="K1051">
        <f>H1051*90</f>
        <v/>
      </c>
      <c r="M1051">
        <f>L1051/K1051</f>
        <v/>
      </c>
    </row>
    <row r="1052">
      <c r="A1052" s="1" t="n">
        <v>1076</v>
      </c>
      <c r="B1052" s="2" t="inlineStr">
        <is>
          <t>Paraguay</t>
        </is>
      </c>
      <c r="C1052" s="2" t="inlineStr">
        <is>
          <t>Julio Enciso</t>
        </is>
      </c>
      <c r="D1052" s="2" t="inlineStr">
        <is>
          <t>Avançado</t>
        </is>
      </c>
      <c r="E1052" s="2" t="inlineStr">
        <is>
          <t>Strasbourg</t>
        </is>
      </c>
      <c r="F1052">
        <f>VLOOKUP(E1052,Clubes!B$2:D$438,2)</f>
        <v/>
      </c>
      <c r="G1052">
        <f>VLOOKUP(E1052,Clubes!B$2:D$438,3)</f>
        <v/>
      </c>
      <c r="H1052" s="2" t="n">
        <v>34</v>
      </c>
      <c r="J1052">
        <f>I1052/H1052</f>
        <v/>
      </c>
      <c r="K1052">
        <f>H1052*90</f>
        <v/>
      </c>
      <c r="M1052">
        <f>L1052/K1052</f>
        <v/>
      </c>
    </row>
    <row r="1053">
      <c r="A1053" s="1" t="n">
        <v>1077</v>
      </c>
      <c r="B1053" s="2" t="inlineStr">
        <is>
          <t>Paraguay</t>
        </is>
      </c>
      <c r="C1053" s="2" t="inlineStr">
        <is>
          <t>Gustavo Caballero</t>
        </is>
      </c>
      <c r="D1053" s="2" t="inlineStr">
        <is>
          <t>Avançado</t>
        </is>
      </c>
      <c r="E1053" s="2" t="inlineStr">
        <is>
          <t>Portsmouth</t>
        </is>
      </c>
      <c r="F1053">
        <f>VLOOKUP(E1053,Clubes!B$2:D$438,2)</f>
        <v/>
      </c>
      <c r="G1053">
        <f>VLOOKUP(E1053,Clubes!B$2:D$438,3)</f>
        <v/>
      </c>
      <c r="H1053" s="2" t="n">
        <v>46</v>
      </c>
      <c r="J1053">
        <f>I1053/H1053</f>
        <v/>
      </c>
      <c r="K1053">
        <f>H1053*90</f>
        <v/>
      </c>
      <c r="M1053">
        <f>L1053/K1053</f>
        <v/>
      </c>
    </row>
    <row r="1054">
      <c r="A1054" s="1" t="n">
        <v>1078</v>
      </c>
      <c r="B1054" s="2" t="inlineStr">
        <is>
          <t>Portugal</t>
        </is>
      </c>
      <c r="C1054" s="2" t="inlineStr">
        <is>
          <t>Diogo Costa</t>
        </is>
      </c>
      <c r="D1054" s="2" t="inlineStr">
        <is>
          <t>Guarda Redes</t>
        </is>
      </c>
      <c r="E1054" s="2" t="inlineStr">
        <is>
          <t>FC Porto</t>
        </is>
      </c>
      <c r="F1054">
        <f>VLOOKUP(E1054,Clubes!B$2:D$438,2)</f>
        <v/>
      </c>
      <c r="G1054">
        <f>VLOOKUP(E1054,Clubes!B$2:D$438,3)</f>
        <v/>
      </c>
      <c r="H1054" s="2" t="n">
        <v>34</v>
      </c>
      <c r="J1054">
        <f>I1054/H1054</f>
        <v/>
      </c>
      <c r="K1054">
        <f>H1054*90</f>
        <v/>
      </c>
      <c r="M1054">
        <f>L1054/K1054</f>
        <v/>
      </c>
    </row>
    <row r="1055">
      <c r="A1055" s="1" t="n">
        <v>1079</v>
      </c>
      <c r="B1055" s="2" t="inlineStr">
        <is>
          <t>Portugal</t>
        </is>
      </c>
      <c r="C1055" s="2" t="inlineStr">
        <is>
          <t>Ricardo Velho</t>
        </is>
      </c>
      <c r="D1055" s="2" t="inlineStr">
        <is>
          <t>Guarda Redes</t>
        </is>
      </c>
      <c r="E1055" s="2" t="inlineStr">
        <is>
          <t>Gençlerbirligi</t>
        </is>
      </c>
      <c r="F1055">
        <f>VLOOKUP(E1055,Clubes!B$2:D$438,2)</f>
        <v/>
      </c>
      <c r="G1055">
        <f>VLOOKUP(E1055,Clubes!B$2:D$438,3)</f>
        <v/>
      </c>
      <c r="H1055" s="2" t="n">
        <v>34</v>
      </c>
      <c r="J1055">
        <f>I1055/H1055</f>
        <v/>
      </c>
      <c r="K1055">
        <f>H1055*90</f>
        <v/>
      </c>
      <c r="M1055">
        <f>L1055/K1055</f>
        <v/>
      </c>
    </row>
    <row r="1056">
      <c r="A1056" s="1" t="n">
        <v>1080</v>
      </c>
      <c r="B1056" s="2" t="inlineStr">
        <is>
          <t>Portugal</t>
        </is>
      </c>
      <c r="C1056" s="2" t="inlineStr">
        <is>
          <t>José Sá</t>
        </is>
      </c>
      <c r="D1056" s="2" t="inlineStr">
        <is>
          <t>Guarda Redes</t>
        </is>
      </c>
      <c r="E1056" s="2" t="inlineStr">
        <is>
          <t>Wolverhampton</t>
        </is>
      </c>
      <c r="F1056">
        <f>VLOOKUP(E1056,Clubes!B$2:D$438,2)</f>
        <v/>
      </c>
      <c r="G1056">
        <f>VLOOKUP(E1056,Clubes!B$2:D$438,3)</f>
        <v/>
      </c>
      <c r="H1056" s="2" t="n">
        <v>38</v>
      </c>
      <c r="J1056">
        <f>I1056/H1056</f>
        <v/>
      </c>
      <c r="K1056">
        <f>H1056*90</f>
        <v/>
      </c>
      <c r="M1056">
        <f>L1056/K1056</f>
        <v/>
      </c>
    </row>
    <row r="1057">
      <c r="A1057" s="1" t="n">
        <v>1081</v>
      </c>
      <c r="B1057" s="2" t="inlineStr">
        <is>
          <t>Portugal</t>
        </is>
      </c>
      <c r="C1057" s="2" t="inlineStr">
        <is>
          <t>Rui Silva</t>
        </is>
      </c>
      <c r="D1057" s="2" t="inlineStr">
        <is>
          <t>Guarda Redes</t>
        </is>
      </c>
      <c r="E1057" s="2" t="inlineStr">
        <is>
          <t>Sporting</t>
        </is>
      </c>
      <c r="F1057">
        <f>VLOOKUP(E1057,Clubes!B$2:D$438,2)</f>
        <v/>
      </c>
      <c r="G1057">
        <f>VLOOKUP(E1057,Clubes!B$2:D$438,3)</f>
        <v/>
      </c>
      <c r="H1057" s="2" t="n">
        <v>34</v>
      </c>
      <c r="J1057">
        <f>I1057/H1057</f>
        <v/>
      </c>
      <c r="K1057">
        <f>H1057*90</f>
        <v/>
      </c>
      <c r="M1057">
        <f>L1057/K1057</f>
        <v/>
      </c>
    </row>
    <row r="1058">
      <c r="A1058" s="1" t="n">
        <v>1082</v>
      </c>
      <c r="B1058" s="2" t="inlineStr">
        <is>
          <t>Portugal</t>
        </is>
      </c>
      <c r="C1058" s="2" t="inlineStr">
        <is>
          <t>Nélson Semedo</t>
        </is>
      </c>
      <c r="D1058" s="2" t="inlineStr">
        <is>
          <t>Defesa</t>
        </is>
      </c>
      <c r="E1058" s="2" t="inlineStr">
        <is>
          <t>Fenerbahçe</t>
        </is>
      </c>
      <c r="F1058">
        <f>VLOOKUP(E1058,Clubes!B$2:D$438,2)</f>
        <v/>
      </c>
      <c r="G1058">
        <f>VLOOKUP(E1058,Clubes!B$2:D$438,3)</f>
        <v/>
      </c>
      <c r="H1058" s="2" t="n">
        <v>40</v>
      </c>
      <c r="J1058">
        <f>I1058/H1058</f>
        <v/>
      </c>
      <c r="K1058">
        <f>H1058*90</f>
        <v/>
      </c>
      <c r="M1058">
        <f>L1058/K1058</f>
        <v/>
      </c>
    </row>
    <row r="1059">
      <c r="A1059" s="1" t="n">
        <v>1083</v>
      </c>
      <c r="B1059" s="2" t="inlineStr">
        <is>
          <t>Portugal</t>
        </is>
      </c>
      <c r="C1059" s="2" t="inlineStr">
        <is>
          <t>Rúben Dias</t>
        </is>
      </c>
      <c r="D1059" s="2" t="inlineStr">
        <is>
          <t>Defesa</t>
        </is>
      </c>
      <c r="E1059" s="2" t="inlineStr">
        <is>
          <t>Manchester City</t>
        </is>
      </c>
      <c r="F1059">
        <f>VLOOKUP(E1059,Clubes!B$2:D$438,2)</f>
        <v/>
      </c>
      <c r="G1059">
        <f>VLOOKUP(E1059,Clubes!B$2:D$438,3)</f>
        <v/>
      </c>
      <c r="H1059" s="2" t="n">
        <v>38</v>
      </c>
      <c r="J1059">
        <f>I1059/H1059</f>
        <v/>
      </c>
      <c r="K1059">
        <f>H1059*90</f>
        <v/>
      </c>
      <c r="M1059">
        <f>L1059/K1059</f>
        <v/>
      </c>
    </row>
    <row r="1060">
      <c r="A1060" s="1" t="n">
        <v>1084</v>
      </c>
      <c r="B1060" s="2" t="inlineStr">
        <is>
          <t>Portugal</t>
        </is>
      </c>
      <c r="C1060" s="2" t="inlineStr">
        <is>
          <t>Diogo Dalot</t>
        </is>
      </c>
      <c r="D1060" s="2" t="inlineStr">
        <is>
          <t>Defesa</t>
        </is>
      </c>
      <c r="E1060" s="2" t="inlineStr">
        <is>
          <t>Manchester United</t>
        </is>
      </c>
      <c r="F1060">
        <f>VLOOKUP(E1060,Clubes!B$2:D$438,2)</f>
        <v/>
      </c>
      <c r="G1060">
        <f>VLOOKUP(E1060,Clubes!B$2:D$438,3)</f>
        <v/>
      </c>
      <c r="H1060" s="2" t="n">
        <v>38</v>
      </c>
      <c r="J1060">
        <f>I1060/H1060</f>
        <v/>
      </c>
      <c r="K1060">
        <f>H1060*90</f>
        <v/>
      </c>
      <c r="M1060">
        <f>L1060/K1060</f>
        <v/>
      </c>
    </row>
    <row r="1061">
      <c r="A1061" s="1" t="n">
        <v>1085</v>
      </c>
      <c r="B1061" s="2" t="inlineStr">
        <is>
          <t>Portugal</t>
        </is>
      </c>
      <c r="C1061" s="2" t="inlineStr">
        <is>
          <t>Tomás Araújo</t>
        </is>
      </c>
      <c r="D1061" s="2" t="inlineStr">
        <is>
          <t>Defesa</t>
        </is>
      </c>
      <c r="E1061" s="2" t="inlineStr">
        <is>
          <t>Benfica</t>
        </is>
      </c>
      <c r="F1061">
        <f>VLOOKUP(E1061,Clubes!B$2:D$438,2)</f>
        <v/>
      </c>
      <c r="G1061">
        <f>VLOOKUP(E1061,Clubes!B$2:D$438,3)</f>
        <v/>
      </c>
      <c r="H1061" s="2" t="n">
        <v>34</v>
      </c>
      <c r="J1061">
        <f>I1061/H1061</f>
        <v/>
      </c>
      <c r="K1061">
        <f>H1061*90</f>
        <v/>
      </c>
      <c r="M1061">
        <f>L1061/K1061</f>
        <v/>
      </c>
    </row>
    <row r="1062">
      <c r="A1062" s="1" t="n">
        <v>1086</v>
      </c>
      <c r="B1062" s="2" t="inlineStr">
        <is>
          <t>Portugal</t>
        </is>
      </c>
      <c r="C1062" s="2" t="inlineStr">
        <is>
          <t>António Silva</t>
        </is>
      </c>
      <c r="D1062" s="2" t="inlineStr">
        <is>
          <t>Defesa</t>
        </is>
      </c>
      <c r="E1062" s="2" t="inlineStr">
        <is>
          <t>Benfica</t>
        </is>
      </c>
      <c r="F1062">
        <f>VLOOKUP(E1062,Clubes!B$2:D$438,2)</f>
        <v/>
      </c>
      <c r="G1062">
        <f>VLOOKUP(E1062,Clubes!B$2:D$438,3)</f>
        <v/>
      </c>
      <c r="H1062" s="2" t="n">
        <v>34</v>
      </c>
      <c r="J1062">
        <f>I1062/H1062</f>
        <v/>
      </c>
      <c r="K1062">
        <f>H1062*90</f>
        <v/>
      </c>
      <c r="M1062">
        <f>L1062/K1062</f>
        <v/>
      </c>
    </row>
    <row r="1063">
      <c r="A1063" s="1" t="n">
        <v>1087</v>
      </c>
      <c r="B1063" s="2" t="inlineStr">
        <is>
          <t>Portugal</t>
        </is>
      </c>
      <c r="C1063" s="2" t="inlineStr">
        <is>
          <t>Renato Veiga</t>
        </is>
      </c>
      <c r="D1063" s="2" t="inlineStr">
        <is>
          <t>Defesa</t>
        </is>
      </c>
      <c r="E1063" s="2" t="inlineStr">
        <is>
          <t>Villarreal</t>
        </is>
      </c>
      <c r="F1063">
        <f>VLOOKUP(E1063,Clubes!B$2:D$438,2)</f>
        <v/>
      </c>
      <c r="G1063">
        <f>VLOOKUP(E1063,Clubes!B$2:D$438,3)</f>
        <v/>
      </c>
      <c r="H1063" s="2" t="n">
        <v>38</v>
      </c>
      <c r="J1063">
        <f>I1063/H1063</f>
        <v/>
      </c>
      <c r="K1063">
        <f>H1063*90</f>
        <v/>
      </c>
      <c r="M1063">
        <f>L1063/K1063</f>
        <v/>
      </c>
    </row>
    <row r="1064">
      <c r="A1064" s="1" t="n">
        <v>1088</v>
      </c>
      <c r="B1064" s="2" t="inlineStr">
        <is>
          <t>Portugal</t>
        </is>
      </c>
      <c r="C1064" s="2" t="inlineStr">
        <is>
          <t>Gonçalo Inácio</t>
        </is>
      </c>
      <c r="D1064" s="2" t="inlineStr">
        <is>
          <t>Defesa</t>
        </is>
      </c>
      <c r="E1064" s="2" t="inlineStr">
        <is>
          <t>Sporting</t>
        </is>
      </c>
      <c r="F1064">
        <f>VLOOKUP(E1064,Clubes!B$2:D$438,2)</f>
        <v/>
      </c>
      <c r="G1064">
        <f>VLOOKUP(E1064,Clubes!B$2:D$438,3)</f>
        <v/>
      </c>
      <c r="H1064" s="2" t="n">
        <v>34</v>
      </c>
      <c r="J1064">
        <f>I1064/H1064</f>
        <v/>
      </c>
      <c r="K1064">
        <f>H1064*90</f>
        <v/>
      </c>
      <c r="M1064">
        <f>L1064/K1064</f>
        <v/>
      </c>
    </row>
    <row r="1065">
      <c r="A1065" s="1" t="n">
        <v>1089</v>
      </c>
      <c r="B1065" s="2" t="inlineStr">
        <is>
          <t>Portugal</t>
        </is>
      </c>
      <c r="C1065" s="2" t="inlineStr">
        <is>
          <t>João Cancelo</t>
        </is>
      </c>
      <c r="D1065" s="2" t="inlineStr">
        <is>
          <t>Defesa</t>
        </is>
      </c>
      <c r="E1065" s="2" t="inlineStr">
        <is>
          <t>Barcelona</t>
        </is>
      </c>
      <c r="F1065">
        <f>VLOOKUP(E1065,Clubes!B$2:D$438,2)</f>
        <v/>
      </c>
      <c r="G1065">
        <f>VLOOKUP(E1065,Clubes!B$2:D$438,3)</f>
        <v/>
      </c>
      <c r="H1065" s="2" t="n">
        <v>38</v>
      </c>
      <c r="J1065">
        <f>I1065/H1065</f>
        <v/>
      </c>
      <c r="K1065">
        <f>H1065*90</f>
        <v/>
      </c>
      <c r="M1065">
        <f>L1065/K1065</f>
        <v/>
      </c>
    </row>
    <row r="1066">
      <c r="A1066" s="1" t="n">
        <v>1090</v>
      </c>
      <c r="B1066" s="2" t="inlineStr">
        <is>
          <t>Portugal</t>
        </is>
      </c>
      <c r="C1066" s="2" t="inlineStr">
        <is>
          <t>Nuno Mendes</t>
        </is>
      </c>
      <c r="D1066" s="2" t="inlineStr">
        <is>
          <t>Defesa</t>
        </is>
      </c>
      <c r="E1066" s="2" t="inlineStr">
        <is>
          <t>PSG</t>
        </is>
      </c>
      <c r="F1066">
        <f>VLOOKUP(E1066,Clubes!B$2:D$438,2)</f>
        <v/>
      </c>
      <c r="G1066">
        <f>VLOOKUP(E1066,Clubes!B$2:D$438,3)</f>
        <v/>
      </c>
      <c r="H1066" s="2" t="n">
        <v>46</v>
      </c>
      <c r="J1066">
        <f>I1066/H1066</f>
        <v/>
      </c>
      <c r="K1066">
        <f>H1066*90</f>
        <v/>
      </c>
      <c r="M1066">
        <f>L1066/K1066</f>
        <v/>
      </c>
    </row>
    <row r="1067">
      <c r="A1067" s="1" t="n">
        <v>1091</v>
      </c>
      <c r="B1067" s="2" t="inlineStr">
        <is>
          <t>Portugal</t>
        </is>
      </c>
      <c r="C1067" s="2" t="inlineStr">
        <is>
          <t>Rodrigo Mora</t>
        </is>
      </c>
      <c r="D1067" s="2" t="inlineStr">
        <is>
          <t>Médio</t>
        </is>
      </c>
      <c r="E1067" s="2" t="inlineStr">
        <is>
          <t>FC Porto</t>
        </is>
      </c>
      <c r="F1067">
        <f>VLOOKUP(E1067,Clubes!B$2:D$438,2)</f>
        <v/>
      </c>
      <c r="G1067">
        <f>VLOOKUP(E1067,Clubes!B$2:D$438,3)</f>
        <v/>
      </c>
      <c r="H1067" s="2" t="n">
        <v>34</v>
      </c>
      <c r="J1067">
        <f>I1067/H1067</f>
        <v/>
      </c>
      <c r="K1067">
        <f>H1067*90</f>
        <v/>
      </c>
      <c r="M1067">
        <f>L1067/K1067</f>
        <v/>
      </c>
    </row>
    <row r="1068">
      <c r="A1068" s="1" t="n">
        <v>1092</v>
      </c>
      <c r="B1068" s="2" t="inlineStr">
        <is>
          <t>Portugal</t>
        </is>
      </c>
      <c r="C1068" s="2" t="inlineStr">
        <is>
          <t>Bernardo Silva</t>
        </is>
      </c>
      <c r="D1068" s="2" t="inlineStr">
        <is>
          <t>Médio</t>
        </is>
      </c>
      <c r="E1068" s="2" t="inlineStr">
        <is>
          <t>Manchester City</t>
        </is>
      </c>
      <c r="F1068">
        <f>VLOOKUP(E1068,Clubes!B$2:D$438,2)</f>
        <v/>
      </c>
      <c r="G1068">
        <f>VLOOKUP(E1068,Clubes!B$2:D$438,3)</f>
        <v/>
      </c>
      <c r="H1068" s="2" t="n">
        <v>38</v>
      </c>
      <c r="J1068">
        <f>I1068/H1068</f>
        <v/>
      </c>
      <c r="K1068">
        <f>H1068*90</f>
        <v/>
      </c>
      <c r="M1068">
        <f>L1068/K1068</f>
        <v/>
      </c>
    </row>
    <row r="1069">
      <c r="A1069" s="1" t="n">
        <v>1093</v>
      </c>
      <c r="B1069" s="2" t="inlineStr">
        <is>
          <t>Portugal</t>
        </is>
      </c>
      <c r="C1069" s="2" t="inlineStr">
        <is>
          <t>Samú Costa</t>
        </is>
      </c>
      <c r="D1069" s="2" t="inlineStr">
        <is>
          <t>Médio</t>
        </is>
      </c>
      <c r="E1069" s="2" t="inlineStr">
        <is>
          <t>Mallorca</t>
        </is>
      </c>
      <c r="F1069">
        <f>VLOOKUP(E1069,Clubes!B$2:D$438,2)</f>
        <v/>
      </c>
      <c r="G1069">
        <f>VLOOKUP(E1069,Clubes!B$2:D$438,3)</f>
        <v/>
      </c>
      <c r="H1069" s="2" t="n">
        <v>38</v>
      </c>
      <c r="J1069">
        <f>I1069/H1069</f>
        <v/>
      </c>
      <c r="K1069">
        <f>H1069*90</f>
        <v/>
      </c>
      <c r="M1069">
        <f>L1069/K1069</f>
        <v/>
      </c>
    </row>
    <row r="1070">
      <c r="A1070" s="1" t="n">
        <v>1094</v>
      </c>
      <c r="B1070" s="2" t="inlineStr">
        <is>
          <t>Portugal</t>
        </is>
      </c>
      <c r="C1070" s="2" t="inlineStr">
        <is>
          <t>Matheus Nunes</t>
        </is>
      </c>
      <c r="D1070" s="2" t="inlineStr">
        <is>
          <t>Médio</t>
        </is>
      </c>
      <c r="E1070" s="2" t="inlineStr">
        <is>
          <t>Manchester City</t>
        </is>
      </c>
      <c r="F1070">
        <f>VLOOKUP(E1070,Clubes!B$2:D$438,2)</f>
        <v/>
      </c>
      <c r="G1070">
        <f>VLOOKUP(E1070,Clubes!B$2:D$438,3)</f>
        <v/>
      </c>
      <c r="H1070" s="2" t="n">
        <v>38</v>
      </c>
      <c r="J1070">
        <f>I1070/H1070</f>
        <v/>
      </c>
      <c r="K1070">
        <f>H1070*90</f>
        <v/>
      </c>
      <c r="M1070">
        <f>L1070/K1070</f>
        <v/>
      </c>
    </row>
    <row r="1071">
      <c r="A1071" s="1" t="n">
        <v>1095</v>
      </c>
      <c r="B1071" s="2" t="inlineStr">
        <is>
          <t>Portugal</t>
        </is>
      </c>
      <c r="C1071" s="2" t="inlineStr">
        <is>
          <t>Bruno Fernandes</t>
        </is>
      </c>
      <c r="D1071" s="2" t="inlineStr">
        <is>
          <t>Médio</t>
        </is>
      </c>
      <c r="E1071" s="2" t="inlineStr">
        <is>
          <t>Manchester United</t>
        </is>
      </c>
      <c r="F1071">
        <f>VLOOKUP(E1071,Clubes!B$2:D$438,2)</f>
        <v/>
      </c>
      <c r="G1071">
        <f>VLOOKUP(E1071,Clubes!B$2:D$438,3)</f>
        <v/>
      </c>
      <c r="H1071" s="2" t="n">
        <v>38</v>
      </c>
      <c r="J1071">
        <f>I1071/H1071</f>
        <v/>
      </c>
      <c r="K1071">
        <f>H1071*90</f>
        <v/>
      </c>
      <c r="M1071">
        <f>L1071/K1071</f>
        <v/>
      </c>
    </row>
    <row r="1072">
      <c r="A1072" s="1" t="n">
        <v>1096</v>
      </c>
      <c r="B1072" s="2" t="inlineStr">
        <is>
          <t>Portugal</t>
        </is>
      </c>
      <c r="C1072" s="2" t="inlineStr">
        <is>
          <t>Mateus Fernandes</t>
        </is>
      </c>
      <c r="D1072" s="2" t="inlineStr">
        <is>
          <t>Médio</t>
        </is>
      </c>
      <c r="E1072" s="2" t="inlineStr">
        <is>
          <t>West Ham</t>
        </is>
      </c>
      <c r="F1072">
        <f>VLOOKUP(E1072,Clubes!B$2:D$438,2)</f>
        <v/>
      </c>
      <c r="G1072">
        <f>VLOOKUP(E1072,Clubes!B$2:D$438,3)</f>
        <v/>
      </c>
      <c r="H1072" s="2" t="n">
        <v>38</v>
      </c>
      <c r="J1072">
        <f>I1072/H1072</f>
        <v/>
      </c>
      <c r="K1072">
        <f>H1072*90</f>
        <v/>
      </c>
      <c r="M1072">
        <f>L1072/K1072</f>
        <v/>
      </c>
    </row>
    <row r="1073">
      <c r="A1073" s="1" t="n">
        <v>1097</v>
      </c>
      <c r="B1073" s="2" t="inlineStr">
        <is>
          <t>Portugal</t>
        </is>
      </c>
      <c r="C1073" s="2" t="inlineStr">
        <is>
          <t>João Neves</t>
        </is>
      </c>
      <c r="D1073" s="2" t="inlineStr">
        <is>
          <t>Médio</t>
        </is>
      </c>
      <c r="E1073" s="2" t="inlineStr">
        <is>
          <t>PSG</t>
        </is>
      </c>
      <c r="F1073">
        <f>VLOOKUP(E1073,Clubes!B$2:D$438,2)</f>
        <v/>
      </c>
      <c r="G1073">
        <f>VLOOKUP(E1073,Clubes!B$2:D$438,3)</f>
        <v/>
      </c>
      <c r="H1073" s="2" t="n">
        <v>46</v>
      </c>
      <c r="J1073">
        <f>I1073/H1073</f>
        <v/>
      </c>
      <c r="K1073">
        <f>H1073*90</f>
        <v/>
      </c>
      <c r="M1073">
        <f>L1073/K1073</f>
        <v/>
      </c>
    </row>
    <row r="1074">
      <c r="A1074" s="1" t="n">
        <v>1098</v>
      </c>
      <c r="B1074" s="2" t="inlineStr">
        <is>
          <t>Portugal</t>
        </is>
      </c>
      <c r="C1074" s="2" t="inlineStr">
        <is>
          <t>Rúben Neves</t>
        </is>
      </c>
      <c r="D1074" s="2" t="inlineStr">
        <is>
          <t>Médio</t>
        </is>
      </c>
      <c r="E1074" s="2" t="inlineStr">
        <is>
          <t>Al-Hilal</t>
        </is>
      </c>
      <c r="F1074">
        <f>VLOOKUP(E1074,Clubes!B$2:D$438,2)</f>
        <v/>
      </c>
      <c r="G1074">
        <f>VLOOKUP(E1074,Clubes!B$2:D$438,3)</f>
        <v/>
      </c>
      <c r="H1074" s="2" t="n">
        <v>34</v>
      </c>
      <c r="J1074">
        <f>I1074/H1074</f>
        <v/>
      </c>
      <c r="K1074">
        <f>H1074*90</f>
        <v/>
      </c>
      <c r="M1074">
        <f>L1074/K1074</f>
        <v/>
      </c>
    </row>
    <row r="1075">
      <c r="A1075" s="1" t="n">
        <v>1099</v>
      </c>
      <c r="B1075" s="2" t="inlineStr">
        <is>
          <t>Portugal</t>
        </is>
      </c>
      <c r="C1075" s="2" t="inlineStr">
        <is>
          <t>Vitinha</t>
        </is>
      </c>
      <c r="D1075" s="2" t="inlineStr">
        <is>
          <t>Médio</t>
        </is>
      </c>
      <c r="E1075" s="2" t="inlineStr">
        <is>
          <t>PSG</t>
        </is>
      </c>
      <c r="F1075">
        <f>VLOOKUP(E1075,Clubes!B$2:D$438,2)</f>
        <v/>
      </c>
      <c r="G1075">
        <f>VLOOKUP(E1075,Clubes!B$2:D$438,3)</f>
        <v/>
      </c>
      <c r="H1075" s="2" t="n">
        <v>46</v>
      </c>
      <c r="J1075">
        <f>I1075/H1075</f>
        <v/>
      </c>
      <c r="K1075">
        <f>H1075*90</f>
        <v/>
      </c>
      <c r="M1075">
        <f>L1075/K1075</f>
        <v/>
      </c>
    </row>
    <row r="1076">
      <c r="A1076" s="1" t="n">
        <v>1100</v>
      </c>
      <c r="B1076" s="2" t="inlineStr">
        <is>
          <t>Portugal</t>
        </is>
      </c>
      <c r="C1076" s="2" t="inlineStr">
        <is>
          <t>Rafael Leão</t>
        </is>
      </c>
      <c r="D1076" s="2" t="inlineStr">
        <is>
          <t>Avançado</t>
        </is>
      </c>
      <c r="E1076" s="2" t="inlineStr">
        <is>
          <t>Milan</t>
        </is>
      </c>
      <c r="F1076">
        <f>VLOOKUP(E1076,Clubes!B$2:D$438,2)</f>
        <v/>
      </c>
      <c r="G1076">
        <f>VLOOKUP(E1076,Clubes!B$2:D$438,3)</f>
        <v/>
      </c>
      <c r="H1076" s="2" t="n">
        <v>38</v>
      </c>
      <c r="J1076">
        <f>I1076/H1076</f>
        <v/>
      </c>
      <c r="K1076">
        <f>H1076*90</f>
        <v/>
      </c>
      <c r="M1076">
        <f>L1076/K1076</f>
        <v/>
      </c>
    </row>
    <row r="1077">
      <c r="A1077" s="1" t="n">
        <v>1101</v>
      </c>
      <c r="B1077" s="2" t="inlineStr">
        <is>
          <t>Portugal</t>
        </is>
      </c>
      <c r="C1077" s="2" t="inlineStr">
        <is>
          <t>Cristiano Ronaldo</t>
        </is>
      </c>
      <c r="D1077" s="2" t="inlineStr">
        <is>
          <t>Avançado</t>
        </is>
      </c>
      <c r="E1077" s="2" t="inlineStr">
        <is>
          <t>Al-Nassr</t>
        </is>
      </c>
      <c r="F1077">
        <f>VLOOKUP(E1077,Clubes!B$2:D$438,2)</f>
        <v/>
      </c>
      <c r="G1077">
        <f>VLOOKUP(E1077,Clubes!B$2:D$438,3)</f>
        <v/>
      </c>
      <c r="H1077" s="2" t="n">
        <v>34</v>
      </c>
      <c r="J1077">
        <f>I1077/H1077</f>
        <v/>
      </c>
      <c r="K1077">
        <f>H1077*90</f>
        <v/>
      </c>
      <c r="M1077">
        <f>L1077/K1077</f>
        <v/>
      </c>
    </row>
    <row r="1078">
      <c r="A1078" s="1" t="n">
        <v>1102</v>
      </c>
      <c r="B1078" s="2" t="inlineStr">
        <is>
          <t>Portugal</t>
        </is>
      </c>
      <c r="C1078" s="2" t="inlineStr">
        <is>
          <t>Gonçalo Guedes</t>
        </is>
      </c>
      <c r="D1078" s="2" t="inlineStr">
        <is>
          <t>Avançado</t>
        </is>
      </c>
      <c r="E1078" s="2" t="inlineStr">
        <is>
          <t>Real Sociedad</t>
        </is>
      </c>
      <c r="F1078">
        <f>VLOOKUP(E1078,Clubes!B$2:D$438,2)</f>
        <v/>
      </c>
      <c r="G1078">
        <f>VLOOKUP(E1078,Clubes!B$2:D$438,3)</f>
        <v/>
      </c>
      <c r="H1078" s="2" t="n">
        <v>38</v>
      </c>
      <c r="J1078">
        <f>I1078/H1078</f>
        <v/>
      </c>
      <c r="K1078">
        <f>H1078*90</f>
        <v/>
      </c>
      <c r="M1078">
        <f>L1078/K1078</f>
        <v/>
      </c>
    </row>
    <row r="1079">
      <c r="A1079" s="1" t="n">
        <v>1103</v>
      </c>
      <c r="B1079" s="2" t="inlineStr">
        <is>
          <t>Portugal</t>
        </is>
      </c>
      <c r="C1079" s="2" t="inlineStr">
        <is>
          <t>Gonçalo Ramos</t>
        </is>
      </c>
      <c r="D1079" s="2" t="inlineStr">
        <is>
          <t>Avançado</t>
        </is>
      </c>
      <c r="E1079" s="2" t="inlineStr">
        <is>
          <t>PSG</t>
        </is>
      </c>
      <c r="F1079">
        <f>VLOOKUP(E1079,Clubes!B$2:D$438,2)</f>
        <v/>
      </c>
      <c r="G1079">
        <f>VLOOKUP(E1079,Clubes!B$2:D$438,3)</f>
        <v/>
      </c>
      <c r="H1079" s="2" t="n">
        <v>46</v>
      </c>
      <c r="J1079">
        <f>I1079/H1079</f>
        <v/>
      </c>
      <c r="K1079">
        <f>H1079*90</f>
        <v/>
      </c>
      <c r="M1079">
        <f>L1079/K1079</f>
        <v/>
      </c>
    </row>
    <row r="1080">
      <c r="A1080" s="1" t="n">
        <v>1104</v>
      </c>
      <c r="B1080" s="2" t="inlineStr">
        <is>
          <t>Portugal</t>
        </is>
      </c>
      <c r="C1080" s="2" t="inlineStr">
        <is>
          <t>João Félix</t>
        </is>
      </c>
      <c r="D1080" s="2" t="inlineStr">
        <is>
          <t>Avançado</t>
        </is>
      </c>
      <c r="E1080" s="2" t="inlineStr">
        <is>
          <t>Al-Nassr</t>
        </is>
      </c>
      <c r="F1080">
        <f>VLOOKUP(E1080,Clubes!B$2:D$438,2)</f>
        <v/>
      </c>
      <c r="G1080">
        <f>VLOOKUP(E1080,Clubes!B$2:D$438,3)</f>
        <v/>
      </c>
      <c r="H1080" s="2" t="n">
        <v>34</v>
      </c>
      <c r="J1080">
        <f>I1080/H1080</f>
        <v/>
      </c>
      <c r="K1080">
        <f>H1080*90</f>
        <v/>
      </c>
      <c r="M1080">
        <f>L1080/K1080</f>
        <v/>
      </c>
    </row>
    <row r="1081">
      <c r="A1081" s="1" t="n">
        <v>1105</v>
      </c>
      <c r="B1081" s="2" t="inlineStr">
        <is>
          <t>Portugal</t>
        </is>
      </c>
      <c r="C1081" s="2" t="inlineStr">
        <is>
          <t>Francisco Trincão</t>
        </is>
      </c>
      <c r="D1081" s="2" t="inlineStr">
        <is>
          <t>Avançado</t>
        </is>
      </c>
      <c r="E1081" s="2" t="inlineStr">
        <is>
          <t>Sporting</t>
        </is>
      </c>
      <c r="F1081">
        <f>VLOOKUP(E1081,Clubes!B$2:D$438,2)</f>
        <v/>
      </c>
      <c r="G1081">
        <f>VLOOKUP(E1081,Clubes!B$2:D$438,3)</f>
        <v/>
      </c>
      <c r="H1081" s="2" t="n">
        <v>34</v>
      </c>
      <c r="J1081">
        <f>I1081/H1081</f>
        <v/>
      </c>
      <c r="K1081">
        <f>H1081*90</f>
        <v/>
      </c>
      <c r="M1081">
        <f>L1081/K1081</f>
        <v/>
      </c>
    </row>
    <row r="1082">
      <c r="A1082" s="1" t="n">
        <v>1106</v>
      </c>
      <c r="B1082" s="2" t="inlineStr">
        <is>
          <t>Portugal</t>
        </is>
      </c>
      <c r="C1082" s="2" t="inlineStr">
        <is>
          <t>Paulinho</t>
        </is>
      </c>
      <c r="D1082" s="2" t="inlineStr">
        <is>
          <t>Avançado</t>
        </is>
      </c>
      <c r="E1082" s="2" t="inlineStr">
        <is>
          <t>Toluca</t>
        </is>
      </c>
      <c r="F1082">
        <f>VLOOKUP(E1082,Clubes!B$2:D$438,2)</f>
        <v/>
      </c>
      <c r="G1082">
        <f>VLOOKUP(E1082,Clubes!B$2:D$438,3)</f>
        <v/>
      </c>
      <c r="H1082" s="2" t="n">
        <v>38</v>
      </c>
      <c r="J1082">
        <f>I1082/H1082</f>
        <v/>
      </c>
      <c r="K1082">
        <f>H1082*90</f>
        <v/>
      </c>
      <c r="M1082">
        <f>L1082/K1082</f>
        <v/>
      </c>
    </row>
    <row r="1083">
      <c r="A1083" s="1" t="n">
        <v>1107</v>
      </c>
      <c r="B1083" s="2" t="inlineStr">
        <is>
          <t>Portugal</t>
        </is>
      </c>
      <c r="C1083" s="2" t="inlineStr">
        <is>
          <t>Pedro Neto</t>
        </is>
      </c>
      <c r="D1083" s="2" t="inlineStr">
        <is>
          <t>Avançado</t>
        </is>
      </c>
      <c r="E1083" s="2" t="inlineStr">
        <is>
          <t>Chelsea</t>
        </is>
      </c>
      <c r="F1083">
        <f>VLOOKUP(E1083,Clubes!B$2:D$438,2)</f>
        <v/>
      </c>
      <c r="G1083">
        <f>VLOOKUP(E1083,Clubes!B$2:D$438,3)</f>
        <v/>
      </c>
      <c r="H1083" s="2" t="n">
        <v>38</v>
      </c>
      <c r="J1083">
        <f>I1083/H1083</f>
        <v/>
      </c>
      <c r="K1083">
        <f>H1083*90</f>
        <v/>
      </c>
      <c r="M1083">
        <f>L1083/K1083</f>
        <v/>
      </c>
    </row>
    <row r="1084">
      <c r="A1084" s="1" t="n">
        <v>1108</v>
      </c>
      <c r="B1084" s="2" t="inlineStr">
        <is>
          <t>Portugal</t>
        </is>
      </c>
      <c r="C1084" s="2" t="inlineStr">
        <is>
          <t>Pedro Gonçalves</t>
        </is>
      </c>
      <c r="D1084" s="2" t="inlineStr">
        <is>
          <t>Avançado</t>
        </is>
      </c>
      <c r="E1084" s="2" t="inlineStr">
        <is>
          <t>Sporting</t>
        </is>
      </c>
      <c r="F1084">
        <f>VLOOKUP(E1084,Clubes!B$2:D$438,2)</f>
        <v/>
      </c>
      <c r="G1084">
        <f>VLOOKUP(E1084,Clubes!B$2:D$438,3)</f>
        <v/>
      </c>
      <c r="H1084" s="2" t="n">
        <v>34</v>
      </c>
      <c r="J1084">
        <f>I1084/H1084</f>
        <v/>
      </c>
      <c r="K1084">
        <f>H1084*90</f>
        <v/>
      </c>
      <c r="M1084">
        <f>L1084/K1084</f>
        <v/>
      </c>
    </row>
    <row r="1085">
      <c r="A1085" s="1" t="n">
        <v>1109</v>
      </c>
      <c r="B1085" s="2" t="inlineStr">
        <is>
          <t>Portugal</t>
        </is>
      </c>
      <c r="C1085" s="2" t="inlineStr">
        <is>
          <t>Ricardo Horta</t>
        </is>
      </c>
      <c r="D1085" s="2" t="inlineStr">
        <is>
          <t>Avançado</t>
        </is>
      </c>
      <c r="E1085" s="2" t="inlineStr">
        <is>
          <t>SC Braga</t>
        </is>
      </c>
      <c r="F1085">
        <f>VLOOKUP(E1085,Clubes!B$2:D$438,2)</f>
        <v/>
      </c>
      <c r="G1085">
        <f>VLOOKUP(E1085,Clubes!B$2:D$438,3)</f>
        <v/>
      </c>
      <c r="H1085" s="2" t="n">
        <v>34</v>
      </c>
      <c r="J1085">
        <f>I1085/H1085</f>
        <v/>
      </c>
      <c r="K1085">
        <f>H1085*90</f>
        <v/>
      </c>
      <c r="M1085">
        <f>L1085/K1085</f>
        <v/>
      </c>
    </row>
    <row r="1086">
      <c r="A1086" s="1" t="n">
        <v>1110</v>
      </c>
      <c r="B1086" s="2" t="inlineStr">
        <is>
          <t>Portugal</t>
        </is>
      </c>
      <c r="C1086" s="2" t="inlineStr">
        <is>
          <t>Francisco Conceição</t>
        </is>
      </c>
      <c r="D1086" s="2" t="inlineStr">
        <is>
          <t>Avançado</t>
        </is>
      </c>
      <c r="E1086" s="2" t="inlineStr">
        <is>
          <t>Juventus</t>
        </is>
      </c>
      <c r="F1086">
        <f>VLOOKUP(E1086,Clubes!B$2:D$438,2)</f>
        <v/>
      </c>
      <c r="G1086">
        <f>VLOOKUP(E1086,Clubes!B$2:D$438,3)</f>
        <v/>
      </c>
      <c r="H1086" s="2" t="n">
        <v>38</v>
      </c>
      <c r="J1086">
        <f>I1086/H1086</f>
        <v/>
      </c>
      <c r="K1086">
        <f>H1086*90</f>
        <v/>
      </c>
      <c r="M1086">
        <f>L1086/K1086</f>
        <v/>
      </c>
    </row>
    <row r="1087">
      <c r="A1087" s="1" t="n">
        <v>1111</v>
      </c>
      <c r="B1087" s="2" t="inlineStr">
        <is>
          <t>DR Congo</t>
        </is>
      </c>
      <c r="C1087" s="2" t="inlineStr">
        <is>
          <t>Lionel Mpasi</t>
        </is>
      </c>
      <c r="D1087" s="2" t="inlineStr">
        <is>
          <t>Guarda Redes</t>
        </is>
      </c>
      <c r="E1087" s="2" t="inlineStr">
        <is>
          <t>Le Havre</t>
        </is>
      </c>
      <c r="F1087">
        <f>VLOOKUP(E1087,Clubes!B$2:D$438,2)</f>
        <v/>
      </c>
      <c r="G1087">
        <f>VLOOKUP(E1087,Clubes!B$2:D$438,3)</f>
        <v/>
      </c>
      <c r="H1087" s="2" t="n">
        <v>34</v>
      </c>
      <c r="J1087">
        <f>I1087/H1087</f>
        <v/>
      </c>
      <c r="K1087">
        <f>H1087*90</f>
        <v/>
      </c>
      <c r="M1087">
        <f>L1087/K1087</f>
        <v/>
      </c>
    </row>
    <row r="1088">
      <c r="A1088" s="1" t="n">
        <v>1112</v>
      </c>
      <c r="B1088" s="2" t="inlineStr">
        <is>
          <t>DR Congo</t>
        </is>
      </c>
      <c r="C1088" s="2" t="inlineStr">
        <is>
          <t>Timothy Fayulu</t>
        </is>
      </c>
      <c r="D1088" s="2" t="inlineStr">
        <is>
          <t>Guarda Redes</t>
        </is>
      </c>
      <c r="E1088" s="2" t="inlineStr">
        <is>
          <t>FC Noah</t>
        </is>
      </c>
      <c r="F1088">
        <f>VLOOKUP(E1088,Clubes!B$2:D$438,2)</f>
        <v/>
      </c>
      <c r="G1088">
        <f>VLOOKUP(E1088,Clubes!B$2:D$438,3)</f>
        <v/>
      </c>
      <c r="H1088" s="2" t="n">
        <v>36</v>
      </c>
      <c r="J1088">
        <f>I1088/H1088</f>
        <v/>
      </c>
      <c r="K1088">
        <f>H1088*90</f>
        <v/>
      </c>
      <c r="M1088">
        <f>L1088/K1088</f>
        <v/>
      </c>
    </row>
    <row r="1089">
      <c r="A1089" s="1" t="n">
        <v>1113</v>
      </c>
      <c r="B1089" s="2" t="inlineStr">
        <is>
          <t>DR Congo</t>
        </is>
      </c>
      <c r="C1089" s="2" t="inlineStr">
        <is>
          <t>Matthieu Epolo</t>
        </is>
      </c>
      <c r="D1089" s="2" t="inlineStr">
        <is>
          <t>Guarda Redes</t>
        </is>
      </c>
      <c r="E1089" s="2" t="inlineStr">
        <is>
          <t>Standard Liège</t>
        </is>
      </c>
      <c r="F1089">
        <f>VLOOKUP(E1089,Clubes!B$2:D$438,2)</f>
        <v/>
      </c>
      <c r="G1089">
        <f>VLOOKUP(E1089,Clubes!B$2:D$438,3)</f>
        <v/>
      </c>
      <c r="H1089" s="2" t="n">
        <v>40</v>
      </c>
      <c r="J1089">
        <f>I1089/H1089</f>
        <v/>
      </c>
      <c r="K1089">
        <f>H1089*90</f>
        <v/>
      </c>
      <c r="M1089">
        <f>L1089/K1089</f>
        <v/>
      </c>
    </row>
    <row r="1090">
      <c r="A1090" s="1" t="n">
        <v>1114</v>
      </c>
      <c r="B1090" s="2" t="inlineStr">
        <is>
          <t>DR Congo</t>
        </is>
      </c>
      <c r="C1090" s="2" t="inlineStr">
        <is>
          <t>Aaron Wan-Bissaka</t>
        </is>
      </c>
      <c r="D1090" s="2" t="inlineStr">
        <is>
          <t>Defesa</t>
        </is>
      </c>
      <c r="E1090" s="2" t="inlineStr">
        <is>
          <t>West Ham</t>
        </is>
      </c>
      <c r="F1090">
        <f>VLOOKUP(E1090,Clubes!B$2:D$438,2)</f>
        <v/>
      </c>
      <c r="G1090">
        <f>VLOOKUP(E1090,Clubes!B$2:D$438,3)</f>
        <v/>
      </c>
      <c r="H1090" s="2" t="n">
        <v>38</v>
      </c>
      <c r="J1090">
        <f>I1090/H1090</f>
        <v/>
      </c>
      <c r="K1090">
        <f>H1090*90</f>
        <v/>
      </c>
      <c r="M1090">
        <f>L1090/K1090</f>
        <v/>
      </c>
    </row>
    <row r="1091">
      <c r="A1091" s="1" t="n">
        <v>1115</v>
      </c>
      <c r="B1091" s="2" t="inlineStr">
        <is>
          <t>DR Congo</t>
        </is>
      </c>
      <c r="C1091" s="2" t="inlineStr">
        <is>
          <t>Steve Kapuadi</t>
        </is>
      </c>
      <c r="D1091" s="2" t="inlineStr">
        <is>
          <t>Defesa</t>
        </is>
      </c>
      <c r="E1091" s="2" t="inlineStr">
        <is>
          <t>Widzew Lodz</t>
        </is>
      </c>
      <c r="F1091">
        <f>VLOOKUP(E1091,Clubes!B$2:D$438,2)</f>
        <v/>
      </c>
      <c r="G1091">
        <f>VLOOKUP(E1091,Clubes!B$2:D$438,3)</f>
        <v/>
      </c>
      <c r="H1091" s="2" t="n">
        <v>34</v>
      </c>
      <c r="J1091">
        <f>I1091/H1091</f>
        <v/>
      </c>
      <c r="K1091">
        <f>H1091*90</f>
        <v/>
      </c>
      <c r="M1091">
        <f>L1091/K1091</f>
        <v/>
      </c>
    </row>
    <row r="1092">
      <c r="A1092" s="1" t="n">
        <v>1116</v>
      </c>
      <c r="B1092" s="2" t="inlineStr">
        <is>
          <t>DR Congo</t>
        </is>
      </c>
      <c r="C1092" s="2" t="inlineStr">
        <is>
          <t>Axel Tuanzebe</t>
        </is>
      </c>
      <c r="D1092" s="2" t="inlineStr">
        <is>
          <t>Defesa</t>
        </is>
      </c>
      <c r="E1092" s="2" t="inlineStr">
        <is>
          <t>Burnley</t>
        </is>
      </c>
      <c r="F1092">
        <f>VLOOKUP(E1092,Clubes!B$2:D$438,2)</f>
        <v/>
      </c>
      <c r="G1092">
        <f>VLOOKUP(E1092,Clubes!B$2:D$438,3)</f>
        <v/>
      </c>
      <c r="H1092" s="2" t="n">
        <v>38</v>
      </c>
      <c r="J1092">
        <f>I1092/H1092</f>
        <v/>
      </c>
      <c r="K1092">
        <f>H1092*90</f>
        <v/>
      </c>
      <c r="M1092">
        <f>L1092/K1092</f>
        <v/>
      </c>
    </row>
    <row r="1093">
      <c r="A1093" s="1" t="n">
        <v>1117</v>
      </c>
      <c r="B1093" s="2" t="inlineStr">
        <is>
          <t>DR Congo</t>
        </is>
      </c>
      <c r="C1093" s="2" t="inlineStr">
        <is>
          <t>Dylan Batubinsika</t>
        </is>
      </c>
      <c r="D1093" s="2" t="inlineStr">
        <is>
          <t>Defesa</t>
        </is>
      </c>
      <c r="E1093" s="2" t="inlineStr">
        <is>
          <t>Larissa</t>
        </is>
      </c>
      <c r="F1093">
        <f>VLOOKUP(E1093,Clubes!B$2:D$438,2)</f>
        <v/>
      </c>
      <c r="G1093">
        <f>VLOOKUP(E1093,Clubes!B$2:D$438,3)</f>
        <v/>
      </c>
      <c r="H1093" s="2" t="n">
        <v>34</v>
      </c>
      <c r="J1093">
        <f>I1093/H1093</f>
        <v/>
      </c>
      <c r="K1093">
        <f>H1093*90</f>
        <v/>
      </c>
      <c r="M1093">
        <f>L1093/K1093</f>
        <v/>
      </c>
    </row>
    <row r="1094">
      <c r="A1094" s="1" t="n">
        <v>1118</v>
      </c>
      <c r="B1094" s="2" t="inlineStr">
        <is>
          <t>DR Congo</t>
        </is>
      </c>
      <c r="C1094" s="2" t="inlineStr">
        <is>
          <t>Joris Kayembe</t>
        </is>
      </c>
      <c r="D1094" s="2" t="inlineStr">
        <is>
          <t>Defesa</t>
        </is>
      </c>
      <c r="E1094" s="2" t="inlineStr">
        <is>
          <t>Genk</t>
        </is>
      </c>
      <c r="F1094">
        <f>VLOOKUP(E1094,Clubes!B$2:D$438,2)</f>
        <v/>
      </c>
      <c r="G1094">
        <f>VLOOKUP(E1094,Clubes!B$2:D$438,3)</f>
        <v/>
      </c>
      <c r="H1094" s="2" t="n">
        <v>34</v>
      </c>
      <c r="J1094">
        <f>I1094/H1094</f>
        <v/>
      </c>
      <c r="K1094">
        <f>H1094*90</f>
        <v/>
      </c>
      <c r="M1094">
        <f>L1094/K1094</f>
        <v/>
      </c>
    </row>
    <row r="1095">
      <c r="A1095" s="1" t="n">
        <v>1119</v>
      </c>
      <c r="B1095" s="2" t="inlineStr">
        <is>
          <t>DR Congo</t>
        </is>
      </c>
      <c r="C1095" s="2" t="inlineStr">
        <is>
          <t>Chancel Mbemba</t>
        </is>
      </c>
      <c r="D1095" s="2" t="inlineStr">
        <is>
          <t>Defesa</t>
        </is>
      </c>
      <c r="E1095" s="2" t="inlineStr">
        <is>
          <t>Lille</t>
        </is>
      </c>
      <c r="F1095">
        <f>VLOOKUP(E1095,Clubes!B$2:D$438,2)</f>
        <v/>
      </c>
      <c r="G1095">
        <f>VLOOKUP(E1095,Clubes!B$2:D$438,3)</f>
        <v/>
      </c>
      <c r="H1095" s="2" t="n">
        <v>34</v>
      </c>
      <c r="J1095">
        <f>I1095/H1095</f>
        <v/>
      </c>
      <c r="K1095">
        <f>H1095*90</f>
        <v/>
      </c>
      <c r="M1095">
        <f>L1095/K1095</f>
        <v/>
      </c>
    </row>
    <row r="1096">
      <c r="A1096" s="1" t="n">
        <v>1120</v>
      </c>
      <c r="B1096" s="2" t="inlineStr">
        <is>
          <t>DR Congo</t>
        </is>
      </c>
      <c r="C1096" s="2" t="inlineStr">
        <is>
          <t>Gédéon Kalulu</t>
        </is>
      </c>
      <c r="D1096" s="2" t="inlineStr">
        <is>
          <t>Defesa</t>
        </is>
      </c>
      <c r="E1096" s="2" t="inlineStr">
        <is>
          <t>Aris Limassol</t>
        </is>
      </c>
      <c r="F1096">
        <f>VLOOKUP(E1096,Clubes!B$2:D$438,2)</f>
        <v/>
      </c>
      <c r="G1096">
        <f>VLOOKUP(E1096,Clubes!B$2:D$438,3)</f>
        <v/>
      </c>
      <c r="H1096" s="2" t="n">
        <v>36</v>
      </c>
      <c r="J1096">
        <f>I1096/H1096</f>
        <v/>
      </c>
      <c r="K1096">
        <f>H1096*90</f>
        <v/>
      </c>
      <c r="M1096">
        <f>L1096/K1096</f>
        <v/>
      </c>
    </row>
    <row r="1097">
      <c r="A1097" s="1" t="n">
        <v>1121</v>
      </c>
      <c r="B1097" s="2" t="inlineStr">
        <is>
          <t>DR Congo</t>
        </is>
      </c>
      <c r="C1097" s="2" t="inlineStr">
        <is>
          <t>Arthur Masuaku</t>
        </is>
      </c>
      <c r="D1097" s="2" t="inlineStr">
        <is>
          <t>Defesa</t>
        </is>
      </c>
      <c r="E1097" s="2" t="inlineStr">
        <is>
          <t>Lens</t>
        </is>
      </c>
      <c r="F1097">
        <f>VLOOKUP(E1097,Clubes!B$2:D$438,2)</f>
        <v/>
      </c>
      <c r="G1097">
        <f>VLOOKUP(E1097,Clubes!B$2:D$438,3)</f>
        <v/>
      </c>
      <c r="H1097" s="2" t="n">
        <v>34</v>
      </c>
      <c r="J1097">
        <f>I1097/H1097</f>
        <v/>
      </c>
      <c r="K1097">
        <f>H1097*90</f>
        <v/>
      </c>
      <c r="M1097">
        <f>L1097/K1097</f>
        <v/>
      </c>
    </row>
    <row r="1098">
      <c r="A1098" s="1" t="n">
        <v>1122</v>
      </c>
      <c r="B1098" s="2" t="inlineStr">
        <is>
          <t>DR Congo</t>
        </is>
      </c>
      <c r="C1098" s="2" t="inlineStr">
        <is>
          <t>Ngal´ayel Mukau</t>
        </is>
      </c>
      <c r="D1098" s="2" t="inlineStr">
        <is>
          <t>Médio</t>
        </is>
      </c>
      <c r="E1098" s="2" t="inlineStr">
        <is>
          <t>Lille</t>
        </is>
      </c>
      <c r="F1098">
        <f>VLOOKUP(E1098,Clubes!B$2:D$438,2)</f>
        <v/>
      </c>
      <c r="G1098">
        <f>VLOOKUP(E1098,Clubes!B$2:D$438,3)</f>
        <v/>
      </c>
      <c r="H1098" s="2" t="n">
        <v>34</v>
      </c>
      <c r="J1098">
        <f>I1098/H1098</f>
        <v/>
      </c>
      <c r="K1098">
        <f>H1098*90</f>
        <v/>
      </c>
      <c r="M1098">
        <f>L1098/K1098</f>
        <v/>
      </c>
    </row>
    <row r="1099">
      <c r="A1099" s="1" t="n">
        <v>1123</v>
      </c>
      <c r="B1099" s="2" t="inlineStr">
        <is>
          <t>DR Congo</t>
        </is>
      </c>
      <c r="C1099" s="2" t="inlineStr">
        <is>
          <t>Sam Moutoussamy</t>
        </is>
      </c>
      <c r="D1099" s="2" t="inlineStr">
        <is>
          <t>Médio</t>
        </is>
      </c>
      <c r="E1099" s="2" t="inlineStr">
        <is>
          <t>Atromitos</t>
        </is>
      </c>
      <c r="F1099">
        <f>VLOOKUP(E1099,Clubes!B$2:D$438,2)</f>
        <v/>
      </c>
      <c r="G1099">
        <f>VLOOKUP(E1099,Clubes!B$2:D$438,3)</f>
        <v/>
      </c>
      <c r="H1099" s="2" t="n">
        <v>36</v>
      </c>
      <c r="J1099">
        <f>I1099/H1099</f>
        <v/>
      </c>
      <c r="K1099">
        <f>H1099*90</f>
        <v/>
      </c>
      <c r="M1099">
        <f>L1099/K1099</f>
        <v/>
      </c>
    </row>
    <row r="1100">
      <c r="A1100" s="1" t="n">
        <v>1124</v>
      </c>
      <c r="B1100" s="2" t="inlineStr">
        <is>
          <t>DR Congo</t>
        </is>
      </c>
      <c r="C1100" s="2" t="inlineStr">
        <is>
          <t>Noah Sadiki</t>
        </is>
      </c>
      <c r="D1100" s="2" t="inlineStr">
        <is>
          <t>Médio</t>
        </is>
      </c>
      <c r="E1100" s="2" t="inlineStr">
        <is>
          <t>Sunderland</t>
        </is>
      </c>
      <c r="F1100">
        <f>VLOOKUP(E1100,Clubes!B$2:D$438,2)</f>
        <v/>
      </c>
      <c r="G1100">
        <f>VLOOKUP(E1100,Clubes!B$2:D$438,3)</f>
        <v/>
      </c>
      <c r="H1100" s="2" t="n">
        <v>38</v>
      </c>
      <c r="J1100">
        <f>I1100/H1100</f>
        <v/>
      </c>
      <c r="K1100">
        <f>H1100*90</f>
        <v/>
      </c>
      <c r="M1100">
        <f>L1100/K1100</f>
        <v/>
      </c>
    </row>
    <row r="1101">
      <c r="A1101" s="1" t="n">
        <v>1125</v>
      </c>
      <c r="B1101" s="2" t="inlineStr">
        <is>
          <t>DR Congo</t>
        </is>
      </c>
      <c r="C1101" s="2" t="inlineStr">
        <is>
          <t>Aaron Tshibola</t>
        </is>
      </c>
      <c r="D1101" s="2" t="inlineStr">
        <is>
          <t>Médio</t>
        </is>
      </c>
      <c r="E1101" s="2" t="inlineStr">
        <is>
          <t>Kilmarnock</t>
        </is>
      </c>
      <c r="F1101">
        <f>VLOOKUP(E1101,Clubes!B$2:D$438,2)</f>
        <v/>
      </c>
      <c r="G1101">
        <f>VLOOKUP(E1101,Clubes!B$2:D$438,3)</f>
        <v/>
      </c>
      <c r="H1101" s="2" t="n">
        <v>38</v>
      </c>
      <c r="J1101">
        <f>I1101/H1101</f>
        <v/>
      </c>
      <c r="K1101">
        <f>H1101*90</f>
        <v/>
      </c>
      <c r="M1101">
        <f>L1101/K1101</f>
        <v/>
      </c>
    </row>
    <row r="1102">
      <c r="A1102" s="1" t="n">
        <v>1126</v>
      </c>
      <c r="B1102" s="2" t="inlineStr">
        <is>
          <t>DR Congo</t>
        </is>
      </c>
      <c r="C1102" s="2" t="inlineStr">
        <is>
          <t>Charles Pickel</t>
        </is>
      </c>
      <c r="D1102" s="2" t="inlineStr">
        <is>
          <t>Médio</t>
        </is>
      </c>
      <c r="E1102" s="2" t="inlineStr">
        <is>
          <t>Espanyol</t>
        </is>
      </c>
      <c r="F1102">
        <f>VLOOKUP(E1102,Clubes!B$2:D$438,2)</f>
        <v/>
      </c>
      <c r="G1102">
        <f>VLOOKUP(E1102,Clubes!B$2:D$438,3)</f>
        <v/>
      </c>
      <c r="H1102" s="2" t="n">
        <v>38</v>
      </c>
      <c r="J1102">
        <f>I1102/H1102</f>
        <v/>
      </c>
      <c r="K1102">
        <f>H1102*90</f>
        <v/>
      </c>
      <c r="M1102">
        <f>L1102/K1102</f>
        <v/>
      </c>
    </row>
    <row r="1103">
      <c r="A1103" s="1" t="n">
        <v>1127</v>
      </c>
      <c r="B1103" s="2" t="inlineStr">
        <is>
          <t>DR Congo</t>
        </is>
      </c>
      <c r="C1103" s="2" t="inlineStr">
        <is>
          <t>Edo Kayembe</t>
        </is>
      </c>
      <c r="D1103" s="2" t="inlineStr">
        <is>
          <t>Médio</t>
        </is>
      </c>
      <c r="E1103" s="2" t="inlineStr">
        <is>
          <t>Watford</t>
        </is>
      </c>
      <c r="F1103">
        <f>VLOOKUP(E1103,Clubes!B$2:D$438,2)</f>
        <v/>
      </c>
      <c r="G1103">
        <f>VLOOKUP(E1103,Clubes!B$2:D$438,3)</f>
        <v/>
      </c>
      <c r="H1103" s="2" t="n">
        <v>32</v>
      </c>
      <c r="J1103">
        <f>I1103/H1103</f>
        <v/>
      </c>
      <c r="K1103">
        <f>H1103*90</f>
        <v/>
      </c>
      <c r="M1103">
        <f>L1103/K1103</f>
        <v/>
      </c>
    </row>
    <row r="1104">
      <c r="A1104" s="1" t="n">
        <v>1128</v>
      </c>
      <c r="B1104" s="2" t="inlineStr">
        <is>
          <t>DR Congo</t>
        </is>
      </c>
      <c r="C1104" s="2" t="inlineStr">
        <is>
          <t>Nathanael Mbuku</t>
        </is>
      </c>
      <c r="D1104" s="2" t="inlineStr">
        <is>
          <t>Avançado</t>
        </is>
      </c>
      <c r="E1104" s="2" t="inlineStr">
        <is>
          <t>Montpellier</t>
        </is>
      </c>
      <c r="F1104">
        <f>VLOOKUP(E1104,Clubes!B$2:D$438,2)</f>
        <v/>
      </c>
      <c r="G1104">
        <f>VLOOKUP(E1104,Clubes!B$2:D$438,3)</f>
        <v/>
      </c>
      <c r="H1104" s="2" t="n">
        <v>34</v>
      </c>
      <c r="J1104">
        <f>I1104/H1104</f>
        <v/>
      </c>
      <c r="K1104">
        <f>H1104*90</f>
        <v/>
      </c>
      <c r="M1104">
        <f>L1104/K1104</f>
        <v/>
      </c>
    </row>
    <row r="1105">
      <c r="A1105" s="1" t="n">
        <v>1129</v>
      </c>
      <c r="B1105" s="2" t="inlineStr">
        <is>
          <t>DR Congo</t>
        </is>
      </c>
      <c r="C1105" s="2" t="inlineStr">
        <is>
          <t>Brian Cipenga</t>
        </is>
      </c>
      <c r="D1105" s="2" t="inlineStr">
        <is>
          <t>Avançado</t>
        </is>
      </c>
      <c r="E1105" s="2" t="inlineStr">
        <is>
          <t>Castellón</t>
        </is>
      </c>
      <c r="F1105">
        <f>VLOOKUP(E1105,Clubes!B$2:D$438,2)</f>
        <v/>
      </c>
      <c r="G1105">
        <f>VLOOKUP(E1105,Clubes!B$2:D$438,3)</f>
        <v/>
      </c>
      <c r="H1105" s="2" t="n">
        <v>42</v>
      </c>
      <c r="J1105">
        <f>I1105/H1105</f>
        <v/>
      </c>
      <c r="K1105">
        <f>H1105*90</f>
        <v/>
      </c>
      <c r="M1105">
        <f>L1105/K1105</f>
        <v/>
      </c>
    </row>
    <row r="1106">
      <c r="A1106" s="1" t="n">
        <v>1130</v>
      </c>
      <c r="B1106" s="2" t="inlineStr">
        <is>
          <t>DR Congo</t>
        </is>
      </c>
      <c r="C1106" s="2" t="inlineStr">
        <is>
          <t>Theo Bongonda</t>
        </is>
      </c>
      <c r="D1106" s="2" t="inlineStr">
        <is>
          <t>Avançado</t>
        </is>
      </c>
      <c r="E1106" s="2" t="inlineStr">
        <is>
          <t>Spartak Moskva</t>
        </is>
      </c>
      <c r="F1106">
        <f>VLOOKUP(E1106,Clubes!B$2:D$438,2)</f>
        <v/>
      </c>
      <c r="G1106">
        <f>VLOOKUP(E1106,Clubes!B$2:D$438,3)</f>
        <v/>
      </c>
      <c r="H1106" s="2" t="n">
        <v>30</v>
      </c>
      <c r="J1106">
        <f>I1106/H1106</f>
        <v/>
      </c>
      <c r="K1106">
        <f>H1106*90</f>
        <v/>
      </c>
      <c r="M1106">
        <f>L1106/K1106</f>
        <v/>
      </c>
    </row>
    <row r="1107">
      <c r="A1107" s="1" t="n">
        <v>1131</v>
      </c>
      <c r="B1107" s="2" t="inlineStr">
        <is>
          <t>DR Congo</t>
        </is>
      </c>
      <c r="C1107" s="2" t="inlineStr">
        <is>
          <t>Gaël Kakuta</t>
        </is>
      </c>
      <c r="D1107" s="2" t="inlineStr">
        <is>
          <t>Avançado</t>
        </is>
      </c>
      <c r="E1107" s="2" t="inlineStr">
        <is>
          <t>Larissa</t>
        </is>
      </c>
      <c r="F1107">
        <f>VLOOKUP(E1107,Clubes!B$2:D$438,2)</f>
        <v/>
      </c>
      <c r="G1107">
        <f>VLOOKUP(E1107,Clubes!B$2:D$438,3)</f>
        <v/>
      </c>
      <c r="H1107" s="2" t="n">
        <v>34</v>
      </c>
      <c r="J1107">
        <f>I1107/H1107</f>
        <v/>
      </c>
      <c r="K1107">
        <f>H1107*90</f>
        <v/>
      </c>
      <c r="M1107">
        <f>L1107/K1107</f>
        <v/>
      </c>
    </row>
    <row r="1108">
      <c r="A1108" s="1" t="n">
        <v>1132</v>
      </c>
      <c r="B1108" s="2" t="inlineStr">
        <is>
          <t>DR Congo</t>
        </is>
      </c>
      <c r="C1108" s="2" t="inlineStr">
        <is>
          <t>Meschack Elia</t>
        </is>
      </c>
      <c r="D1108" s="2" t="inlineStr">
        <is>
          <t>Avançado</t>
        </is>
      </c>
      <c r="E1108" s="2" t="inlineStr">
        <is>
          <t>Alanyaspor</t>
        </is>
      </c>
      <c r="F1108">
        <f>VLOOKUP(E1108,Clubes!B$2:D$438,2)</f>
        <v/>
      </c>
      <c r="G1108">
        <f>VLOOKUP(E1108,Clubes!B$2:D$438,3)</f>
        <v/>
      </c>
      <c r="H1108" s="2" t="n">
        <v>34</v>
      </c>
      <c r="J1108">
        <f>I1108/H1108</f>
        <v/>
      </c>
      <c r="K1108">
        <f>H1108*90</f>
        <v/>
      </c>
      <c r="M1108">
        <f>L1108/K1108</f>
        <v/>
      </c>
    </row>
    <row r="1109">
      <c r="A1109" s="1" t="n">
        <v>1133</v>
      </c>
      <c r="B1109" s="2" t="inlineStr">
        <is>
          <t>DR Congo</t>
        </is>
      </c>
      <c r="C1109" s="2" t="inlineStr">
        <is>
          <t>Cédric Bakambu</t>
        </is>
      </c>
      <c r="D1109" s="2" t="inlineStr">
        <is>
          <t>Avançado</t>
        </is>
      </c>
      <c r="E1109" s="2" t="inlineStr">
        <is>
          <t>Real Betis</t>
        </is>
      </c>
      <c r="F1109">
        <f>VLOOKUP(E1109,Clubes!B$2:D$438,2)</f>
        <v/>
      </c>
      <c r="G1109">
        <f>VLOOKUP(E1109,Clubes!B$2:D$438,3)</f>
        <v/>
      </c>
      <c r="H1109" s="2" t="n">
        <v>34</v>
      </c>
      <c r="J1109">
        <f>I1109/H1109</f>
        <v/>
      </c>
      <c r="K1109">
        <f>H1109*90</f>
        <v/>
      </c>
      <c r="M1109">
        <f>L1109/K1109</f>
        <v/>
      </c>
    </row>
    <row r="1110">
      <c r="A1110" s="1" t="n">
        <v>1134</v>
      </c>
      <c r="B1110" s="2" t="inlineStr">
        <is>
          <t>DR Congo</t>
        </is>
      </c>
      <c r="C1110" s="2" t="inlineStr">
        <is>
          <t>Fiston Mayele</t>
        </is>
      </c>
      <c r="D1110" s="2" t="inlineStr">
        <is>
          <t>Avançado</t>
        </is>
      </c>
      <c r="E1110" s="2" t="inlineStr">
        <is>
          <t>Pyramids FC</t>
        </is>
      </c>
      <c r="F1110">
        <f>VLOOKUP(E1110,Clubes!B$2:D$438,2)</f>
        <v/>
      </c>
      <c r="G1110">
        <f>VLOOKUP(E1110,Clubes!B$2:D$438,3)</f>
        <v/>
      </c>
      <c r="H1110" s="2" t="n">
        <v>34</v>
      </c>
      <c r="J1110">
        <f>I1110/H1110</f>
        <v/>
      </c>
      <c r="K1110">
        <f>H1110*90</f>
        <v/>
      </c>
      <c r="M1110">
        <f>L1110/K1110</f>
        <v/>
      </c>
    </row>
    <row r="1111">
      <c r="A1111" s="1" t="n">
        <v>1135</v>
      </c>
      <c r="B1111" s="2" t="inlineStr">
        <is>
          <t>DR Congo</t>
        </is>
      </c>
      <c r="C1111" s="2" t="inlineStr">
        <is>
          <t>Yoane Wissa</t>
        </is>
      </c>
      <c r="D1111" s="2" t="inlineStr">
        <is>
          <t>Avançado</t>
        </is>
      </c>
      <c r="E1111" s="2" t="inlineStr">
        <is>
          <t>Newcastle</t>
        </is>
      </c>
      <c r="F1111">
        <f>VLOOKUP(E1111,Clubes!B$2:D$438,2)</f>
        <v/>
      </c>
      <c r="G1111">
        <f>VLOOKUP(E1111,Clubes!B$2:D$438,3)</f>
        <v/>
      </c>
      <c r="H1111" s="2" t="n">
        <v>38</v>
      </c>
      <c r="J1111">
        <f>I1111/H1111</f>
        <v/>
      </c>
      <c r="K1111">
        <f>H1111*90</f>
        <v/>
      </c>
      <c r="M1111">
        <f>L1111/K1111</f>
        <v/>
      </c>
    </row>
    <row r="1112">
      <c r="A1112" s="1" t="n">
        <v>1136</v>
      </c>
      <c r="B1112" s="2" t="inlineStr">
        <is>
          <t>DR Congo</t>
        </is>
      </c>
      <c r="C1112" s="2" t="inlineStr">
        <is>
          <t>Simon Banza</t>
        </is>
      </c>
      <c r="D1112" s="2" t="inlineStr">
        <is>
          <t>Avançado</t>
        </is>
      </c>
      <c r="E1112" s="2" t="inlineStr">
        <is>
          <t>Al Jazira</t>
        </is>
      </c>
      <c r="F1112">
        <f>VLOOKUP(E1112,Clubes!B$2:D$438,2)</f>
        <v/>
      </c>
      <c r="G1112">
        <f>VLOOKUP(E1112,Clubes!B$2:D$438,3)</f>
        <v/>
      </c>
      <c r="H1112" s="2" t="n">
        <v>26</v>
      </c>
      <c r="J1112">
        <f>I1112/H1112</f>
        <v/>
      </c>
      <c r="K1112">
        <f>H1112*90</f>
        <v/>
      </c>
      <c r="M1112">
        <f>L1112/K1112</f>
        <v/>
      </c>
    </row>
    <row r="1113">
      <c r="A1113" s="1" t="n">
        <v>1137</v>
      </c>
      <c r="B1113" s="2" t="inlineStr">
        <is>
          <t>Senegal</t>
        </is>
      </c>
      <c r="C1113" s="2" t="inlineStr">
        <is>
          <t>Yehvann Diouf</t>
        </is>
      </c>
      <c r="D1113" s="2" t="inlineStr">
        <is>
          <t>Guarda Redes</t>
        </is>
      </c>
      <c r="E1113" s="2" t="inlineStr">
        <is>
          <t>Nice</t>
        </is>
      </c>
      <c r="F1113">
        <f>VLOOKUP(E1113,Clubes!B$2:D$438,2)</f>
        <v/>
      </c>
      <c r="G1113">
        <f>VLOOKUP(E1113,Clubes!B$2:D$438,3)</f>
        <v/>
      </c>
      <c r="H1113" s="2" t="n">
        <v>34</v>
      </c>
      <c r="J1113">
        <f>I1113/H1113</f>
        <v/>
      </c>
      <c r="K1113">
        <f>H1113*90</f>
        <v/>
      </c>
      <c r="M1113">
        <f>L1113/K1113</f>
        <v/>
      </c>
    </row>
    <row r="1114">
      <c r="A1114" s="1" t="n">
        <v>1138</v>
      </c>
      <c r="B1114" s="2" t="inlineStr">
        <is>
          <t>Senegal</t>
        </is>
      </c>
      <c r="C1114" s="2" t="inlineStr">
        <is>
          <t>Édouard Mendy</t>
        </is>
      </c>
      <c r="D1114" s="2" t="inlineStr">
        <is>
          <t>Guarda Redes</t>
        </is>
      </c>
      <c r="E1114" s="2" t="inlineStr">
        <is>
          <t>Al-Ahli Jeddah</t>
        </is>
      </c>
      <c r="F1114">
        <f>VLOOKUP(E1114,Clubes!B$2:D$438,2)</f>
        <v/>
      </c>
      <c r="G1114">
        <f>VLOOKUP(E1114,Clubes!B$2:D$438,3)</f>
        <v/>
      </c>
      <c r="H1114" s="2" t="n">
        <v>34</v>
      </c>
      <c r="J1114">
        <f>I1114/H1114</f>
        <v/>
      </c>
      <c r="K1114">
        <f>H1114*90</f>
        <v/>
      </c>
      <c r="M1114">
        <f>L1114/K1114</f>
        <v/>
      </c>
    </row>
    <row r="1115">
      <c r="A1115" s="1" t="n">
        <v>1139</v>
      </c>
      <c r="B1115" s="2" t="inlineStr">
        <is>
          <t>Senegal</t>
        </is>
      </c>
      <c r="C1115" s="2" t="inlineStr">
        <is>
          <t>Mory Diaw</t>
        </is>
      </c>
      <c r="D1115" s="2" t="inlineStr">
        <is>
          <t>Guarda Redes</t>
        </is>
      </c>
      <c r="E1115" s="2" t="inlineStr">
        <is>
          <t>Le Havre</t>
        </is>
      </c>
      <c r="F1115">
        <f>VLOOKUP(E1115,Clubes!B$2:D$438,2)</f>
        <v/>
      </c>
      <c r="G1115">
        <f>VLOOKUP(E1115,Clubes!B$2:D$438,3)</f>
        <v/>
      </c>
      <c r="H1115" s="2" t="n">
        <v>34</v>
      </c>
      <c r="J1115">
        <f>I1115/H1115</f>
        <v/>
      </c>
      <c r="K1115">
        <f>H1115*90</f>
        <v/>
      </c>
      <c r="M1115">
        <f>L1115/K1115</f>
        <v/>
      </c>
    </row>
    <row r="1116">
      <c r="A1116" s="1" t="n">
        <v>1140</v>
      </c>
      <c r="B1116" s="2" t="inlineStr">
        <is>
          <t>Senegal</t>
        </is>
      </c>
      <c r="C1116" s="2" t="inlineStr">
        <is>
          <t>Krépin Diatta</t>
        </is>
      </c>
      <c r="D1116" s="2" t="inlineStr">
        <is>
          <t>Defesa</t>
        </is>
      </c>
      <c r="E1116" s="2" t="inlineStr">
        <is>
          <t>Monaco</t>
        </is>
      </c>
      <c r="F1116">
        <f>VLOOKUP(E1116,Clubes!B$2:D$438,2)</f>
        <v/>
      </c>
      <c r="G1116">
        <f>VLOOKUP(E1116,Clubes!B$2:D$438,3)</f>
        <v/>
      </c>
      <c r="H1116" s="2" t="n">
        <v>34</v>
      </c>
      <c r="J1116">
        <f>I1116/H1116</f>
        <v/>
      </c>
      <c r="K1116">
        <f>H1116*90</f>
        <v/>
      </c>
      <c r="M1116">
        <f>L1116/K1116</f>
        <v/>
      </c>
    </row>
    <row r="1117">
      <c r="A1117" s="1" t="n">
        <v>1141</v>
      </c>
      <c r="B1117" s="2" t="inlineStr">
        <is>
          <t>Senegal</t>
        </is>
      </c>
      <c r="C1117" s="2" t="inlineStr">
        <is>
          <t>Mamadou Sarr</t>
        </is>
      </c>
      <c r="D1117" s="2" t="inlineStr">
        <is>
          <t>Defesa</t>
        </is>
      </c>
      <c r="E1117" s="2" t="inlineStr">
        <is>
          <t>Chelsea</t>
        </is>
      </c>
      <c r="F1117">
        <f>VLOOKUP(E1117,Clubes!B$2:D$438,2)</f>
        <v/>
      </c>
      <c r="G1117">
        <f>VLOOKUP(E1117,Clubes!B$2:D$438,3)</f>
        <v/>
      </c>
      <c r="H1117" s="2" t="n">
        <v>38</v>
      </c>
      <c r="J1117">
        <f>I1117/H1117</f>
        <v/>
      </c>
      <c r="K1117">
        <f>H1117*90</f>
        <v/>
      </c>
      <c r="M1117">
        <f>L1117/K1117</f>
        <v/>
      </c>
    </row>
    <row r="1118">
      <c r="A1118" s="1" t="n">
        <v>1142</v>
      </c>
      <c r="B1118" s="2" t="inlineStr">
        <is>
          <t>Senegal</t>
        </is>
      </c>
      <c r="C1118" s="2" t="inlineStr">
        <is>
          <t>Kalidou Koulibaly</t>
        </is>
      </c>
      <c r="D1118" s="2" t="inlineStr">
        <is>
          <t>Defesa</t>
        </is>
      </c>
      <c r="E1118" s="2" t="inlineStr">
        <is>
          <t>Al-Hilal</t>
        </is>
      </c>
      <c r="F1118">
        <f>VLOOKUP(E1118,Clubes!B$2:D$438,2)</f>
        <v/>
      </c>
      <c r="G1118">
        <f>VLOOKUP(E1118,Clubes!B$2:D$438,3)</f>
        <v/>
      </c>
      <c r="H1118" s="2" t="n">
        <v>34</v>
      </c>
      <c r="J1118">
        <f>I1118/H1118</f>
        <v/>
      </c>
      <c r="K1118">
        <f>H1118*90</f>
        <v/>
      </c>
      <c r="M1118">
        <f>L1118/K1118</f>
        <v/>
      </c>
    </row>
    <row r="1119">
      <c r="A1119" s="1" t="n">
        <v>1143</v>
      </c>
      <c r="B1119" s="2" t="inlineStr">
        <is>
          <t>Senegal</t>
        </is>
      </c>
      <c r="C1119" s="2" t="inlineStr">
        <is>
          <t>Abdoulaye Seck</t>
        </is>
      </c>
      <c r="D1119" s="2" t="inlineStr">
        <is>
          <t>Defesa</t>
        </is>
      </c>
      <c r="E1119" s="2" t="inlineStr">
        <is>
          <t>Maccabi Haifa</t>
        </is>
      </c>
      <c r="F1119">
        <f>VLOOKUP(E1119,Clubes!B$2:D$438,2)</f>
        <v/>
      </c>
      <c r="G1119">
        <f>VLOOKUP(E1119,Clubes!B$2:D$438,3)</f>
        <v/>
      </c>
      <c r="H1119" s="2" t="n">
        <v>36</v>
      </c>
      <c r="J1119">
        <f>I1119/H1119</f>
        <v/>
      </c>
      <c r="K1119">
        <f>H1119*90</f>
        <v/>
      </c>
      <c r="M1119">
        <f>L1119/K1119</f>
        <v/>
      </c>
    </row>
    <row r="1120">
      <c r="A1120" s="1" t="n">
        <v>1144</v>
      </c>
      <c r="B1120" s="2" t="inlineStr">
        <is>
          <t>Senegal</t>
        </is>
      </c>
      <c r="C1120" s="2" t="inlineStr">
        <is>
          <t>Pathé Ciss</t>
        </is>
      </c>
      <c r="D1120" s="2" t="inlineStr">
        <is>
          <t>Defesa</t>
        </is>
      </c>
      <c r="E1120" s="2" t="inlineStr">
        <is>
          <t>Rayo Vallecano</t>
        </is>
      </c>
      <c r="F1120">
        <f>VLOOKUP(E1120,Clubes!B$2:D$438,2)</f>
        <v/>
      </c>
      <c r="G1120">
        <f>VLOOKUP(E1120,Clubes!B$2:D$438,3)</f>
        <v/>
      </c>
      <c r="H1120" s="2" t="n">
        <v>34</v>
      </c>
      <c r="J1120">
        <f>I1120/H1120</f>
        <v/>
      </c>
      <c r="K1120">
        <f>H1120*90</f>
        <v/>
      </c>
      <c r="M1120">
        <f>L1120/K1120</f>
        <v/>
      </c>
    </row>
    <row r="1121">
      <c r="A1121" s="1" t="n">
        <v>1145</v>
      </c>
      <c r="B1121" s="2" t="inlineStr">
        <is>
          <t>Senegal</t>
        </is>
      </c>
      <c r="C1121" s="2" t="inlineStr">
        <is>
          <t>Moussa Niakhaté</t>
        </is>
      </c>
      <c r="D1121" s="2" t="inlineStr">
        <is>
          <t>Defesa</t>
        </is>
      </c>
      <c r="E1121" s="2" t="inlineStr">
        <is>
          <t>Lyon</t>
        </is>
      </c>
      <c r="F1121">
        <f>VLOOKUP(E1121,Clubes!B$2:D$438,2)</f>
        <v/>
      </c>
      <c r="G1121">
        <f>VLOOKUP(E1121,Clubes!B$2:D$438,3)</f>
        <v/>
      </c>
      <c r="H1121" s="2" t="n">
        <v>34</v>
      </c>
      <c r="J1121">
        <f>I1121/H1121</f>
        <v/>
      </c>
      <c r="K1121">
        <f>H1121*90</f>
        <v/>
      </c>
      <c r="M1121">
        <f>L1121/K1121</f>
        <v/>
      </c>
    </row>
    <row r="1122">
      <c r="A1122" s="1" t="n">
        <v>1146</v>
      </c>
      <c r="B1122" s="2" t="inlineStr">
        <is>
          <t>Senegal</t>
        </is>
      </c>
      <c r="C1122" s="2" t="inlineStr">
        <is>
          <t>Antoine Mendy</t>
        </is>
      </c>
      <c r="D1122" s="2" t="inlineStr">
        <is>
          <t>Defesa</t>
        </is>
      </c>
      <c r="E1122" s="2" t="inlineStr">
        <is>
          <t>Nice</t>
        </is>
      </c>
      <c r="F1122">
        <f>VLOOKUP(E1122,Clubes!B$2:D$438,2)</f>
        <v/>
      </c>
      <c r="G1122">
        <f>VLOOKUP(E1122,Clubes!B$2:D$438,3)</f>
        <v/>
      </c>
      <c r="H1122" s="2" t="n">
        <v>34</v>
      </c>
      <c r="J1122">
        <f>I1122/H1122</f>
        <v/>
      </c>
      <c r="K1122">
        <f>H1122*90</f>
        <v/>
      </c>
      <c r="M1122">
        <f>L1122/K1122</f>
        <v/>
      </c>
    </row>
    <row r="1123">
      <c r="A1123" s="1" t="n">
        <v>1147</v>
      </c>
      <c r="B1123" s="2" t="inlineStr">
        <is>
          <t>Senegal</t>
        </is>
      </c>
      <c r="C1123" s="2" t="inlineStr">
        <is>
          <t>Ismail Jakobs</t>
        </is>
      </c>
      <c r="D1123" s="2" t="inlineStr">
        <is>
          <t>Defesa</t>
        </is>
      </c>
      <c r="E1123" s="2" t="inlineStr">
        <is>
          <t>Galatasaray</t>
        </is>
      </c>
      <c r="F1123">
        <f>VLOOKUP(E1123,Clubes!B$2:D$438,2)</f>
        <v/>
      </c>
      <c r="G1123">
        <f>VLOOKUP(E1123,Clubes!B$2:D$438,3)</f>
        <v/>
      </c>
      <c r="H1123" s="2" t="n">
        <v>38</v>
      </c>
      <c r="J1123">
        <f>I1123/H1123</f>
        <v/>
      </c>
      <c r="K1123">
        <f>H1123*90</f>
        <v/>
      </c>
      <c r="M1123">
        <f>L1123/K1123</f>
        <v/>
      </c>
    </row>
    <row r="1124">
      <c r="A1124" s="1" t="n">
        <v>1148</v>
      </c>
      <c r="B1124" s="2" t="inlineStr">
        <is>
          <t>Senegal</t>
        </is>
      </c>
      <c r="C1124" s="2" t="inlineStr">
        <is>
          <t>El Hadji Diouf</t>
        </is>
      </c>
      <c r="D1124" s="2" t="inlineStr">
        <is>
          <t>Defesa</t>
        </is>
      </c>
      <c r="E1124" s="2" t="inlineStr">
        <is>
          <t>West Ham</t>
        </is>
      </c>
      <c r="F1124">
        <f>VLOOKUP(E1124,Clubes!B$2:D$438,2)</f>
        <v/>
      </c>
      <c r="G1124">
        <f>VLOOKUP(E1124,Clubes!B$2:D$438,3)</f>
        <v/>
      </c>
      <c r="H1124" s="2" t="n">
        <v>38</v>
      </c>
      <c r="J1124">
        <f>I1124/H1124</f>
        <v/>
      </c>
      <c r="K1124">
        <f>H1124*90</f>
        <v/>
      </c>
      <c r="M1124">
        <f>L1124/K1124</f>
        <v/>
      </c>
    </row>
    <row r="1125">
      <c r="A1125" s="1" t="n">
        <v>1149</v>
      </c>
      <c r="B1125" s="2" t="inlineStr">
        <is>
          <t>Senegal</t>
        </is>
      </c>
      <c r="C1125" s="2" t="inlineStr">
        <is>
          <t>Gana Gueye</t>
        </is>
      </c>
      <c r="D1125" s="2" t="inlineStr">
        <is>
          <t>Médio</t>
        </is>
      </c>
      <c r="E1125" s="2" t="inlineStr">
        <is>
          <t>Everton</t>
        </is>
      </c>
      <c r="F1125">
        <f>VLOOKUP(E1125,Clubes!B$2:D$438,2)</f>
        <v/>
      </c>
      <c r="G1125">
        <f>VLOOKUP(E1125,Clubes!B$2:D$438,3)</f>
        <v/>
      </c>
      <c r="H1125" s="2" t="n">
        <v>38</v>
      </c>
      <c r="J1125">
        <f>I1125/H1125</f>
        <v/>
      </c>
      <c r="K1125">
        <f>H1125*90</f>
        <v/>
      </c>
      <c r="M1125">
        <f>L1125/K1125</f>
        <v/>
      </c>
    </row>
    <row r="1126">
      <c r="A1126" s="1" t="n">
        <v>1150</v>
      </c>
      <c r="B1126" s="2" t="inlineStr">
        <is>
          <t>Senegal</t>
        </is>
      </c>
      <c r="C1126" s="2" t="inlineStr">
        <is>
          <t>Pape Gueye</t>
        </is>
      </c>
      <c r="D1126" s="2" t="inlineStr">
        <is>
          <t>Médio</t>
        </is>
      </c>
      <c r="E1126" s="2" t="inlineStr">
        <is>
          <t>Villarreal</t>
        </is>
      </c>
      <c r="F1126">
        <f>VLOOKUP(E1126,Clubes!B$2:D$438,2)</f>
        <v/>
      </c>
      <c r="G1126">
        <f>VLOOKUP(E1126,Clubes!B$2:D$438,3)</f>
        <v/>
      </c>
      <c r="H1126" s="2" t="n">
        <v>38</v>
      </c>
      <c r="J1126">
        <f>I1126/H1126</f>
        <v/>
      </c>
      <c r="K1126">
        <f>H1126*90</f>
        <v/>
      </c>
      <c r="M1126">
        <f>L1126/K1126</f>
        <v/>
      </c>
    </row>
    <row r="1127">
      <c r="A1127" s="1" t="n">
        <v>1151</v>
      </c>
      <c r="B1127" s="2" t="inlineStr">
        <is>
          <t>Senegal</t>
        </is>
      </c>
      <c r="C1127" s="2" t="inlineStr">
        <is>
          <t>Lamine Camara</t>
        </is>
      </c>
      <c r="D1127" s="2" t="inlineStr">
        <is>
          <t>Médio</t>
        </is>
      </c>
      <c r="E1127" s="2" t="inlineStr">
        <is>
          <t>Monaco</t>
        </is>
      </c>
      <c r="F1127">
        <f>VLOOKUP(E1127,Clubes!B$2:D$438,2)</f>
        <v/>
      </c>
      <c r="G1127">
        <f>VLOOKUP(E1127,Clubes!B$2:D$438,3)</f>
        <v/>
      </c>
      <c r="H1127" s="2" t="n">
        <v>34</v>
      </c>
      <c r="J1127">
        <f>I1127/H1127</f>
        <v/>
      </c>
      <c r="K1127">
        <f>H1127*90</f>
        <v/>
      </c>
      <c r="M1127">
        <f>L1127/K1127</f>
        <v/>
      </c>
    </row>
    <row r="1128">
      <c r="A1128" s="1" t="n">
        <v>1152</v>
      </c>
      <c r="B1128" s="2" t="inlineStr">
        <is>
          <t>Senegal</t>
        </is>
      </c>
      <c r="C1128" s="2" t="inlineStr">
        <is>
          <t>Pape Sarr</t>
        </is>
      </c>
      <c r="D1128" s="2" t="inlineStr">
        <is>
          <t>Médio</t>
        </is>
      </c>
      <c r="E1128" s="2" t="inlineStr">
        <is>
          <t>Tottenham</t>
        </is>
      </c>
      <c r="F1128">
        <f>VLOOKUP(E1128,Clubes!B$2:D$438,2)</f>
        <v/>
      </c>
      <c r="G1128">
        <f>VLOOKUP(E1128,Clubes!B$2:D$438,3)</f>
        <v/>
      </c>
      <c r="H1128" s="2" t="n">
        <v>38</v>
      </c>
      <c r="J1128">
        <f>I1128/H1128</f>
        <v/>
      </c>
      <c r="K1128">
        <f>H1128*90</f>
        <v/>
      </c>
      <c r="M1128">
        <f>L1128/K1128</f>
        <v/>
      </c>
    </row>
    <row r="1129">
      <c r="A1129" s="1" t="n">
        <v>1153</v>
      </c>
      <c r="B1129" s="2" t="inlineStr">
        <is>
          <t>Senegal</t>
        </is>
      </c>
      <c r="C1129" s="2" t="inlineStr">
        <is>
          <t>Habib Diarra</t>
        </is>
      </c>
      <c r="D1129" s="2" t="inlineStr">
        <is>
          <t>Médio</t>
        </is>
      </c>
      <c r="E1129" s="2" t="inlineStr">
        <is>
          <t>Sunderland</t>
        </is>
      </c>
      <c r="F1129">
        <f>VLOOKUP(E1129,Clubes!B$2:D$438,2)</f>
        <v/>
      </c>
      <c r="G1129">
        <f>VLOOKUP(E1129,Clubes!B$2:D$438,3)</f>
        <v/>
      </c>
      <c r="H1129" s="2" t="n">
        <v>38</v>
      </c>
      <c r="J1129">
        <f>I1129/H1129</f>
        <v/>
      </c>
      <c r="K1129">
        <f>H1129*90</f>
        <v/>
      </c>
      <c r="M1129">
        <f>L1129/K1129</f>
        <v/>
      </c>
    </row>
    <row r="1130">
      <c r="A1130" s="1" t="n">
        <v>1154</v>
      </c>
      <c r="B1130" s="2" t="inlineStr">
        <is>
          <t>Senegal</t>
        </is>
      </c>
      <c r="C1130" s="2" t="inlineStr">
        <is>
          <t>Bara Ndiaye</t>
        </is>
      </c>
      <c r="D1130" s="2" t="inlineStr">
        <is>
          <t>Médio</t>
        </is>
      </c>
      <c r="E1130" s="2" t="inlineStr">
        <is>
          <t>Bayern München</t>
        </is>
      </c>
      <c r="F1130">
        <f>VLOOKUP(E1130,Clubes!B$2:D$438,2)</f>
        <v/>
      </c>
      <c r="G1130">
        <f>VLOOKUP(E1130,Clubes!B$2:D$438,3)</f>
        <v/>
      </c>
      <c r="H1130" s="2" t="n">
        <v>34</v>
      </c>
      <c r="J1130">
        <f>I1130/H1130</f>
        <v/>
      </c>
      <c r="K1130">
        <f>H1130*90</f>
        <v/>
      </c>
      <c r="M1130">
        <f>L1130/K1130</f>
        <v/>
      </c>
    </row>
    <row r="1131">
      <c r="A1131" s="1" t="n">
        <v>1155</v>
      </c>
      <c r="B1131" s="2" t="inlineStr">
        <is>
          <t>Senegal</t>
        </is>
      </c>
      <c r="C1131" s="2" t="inlineStr">
        <is>
          <t>Iliman Ndiaye</t>
        </is>
      </c>
      <c r="D1131" s="2" t="inlineStr">
        <is>
          <t>Avançado</t>
        </is>
      </c>
      <c r="E1131" s="2" t="inlineStr">
        <is>
          <t>Everton</t>
        </is>
      </c>
      <c r="F1131">
        <f>VLOOKUP(E1131,Clubes!B$2:D$438,2)</f>
        <v/>
      </c>
      <c r="G1131">
        <f>VLOOKUP(E1131,Clubes!B$2:D$438,3)</f>
        <v/>
      </c>
      <c r="H1131" s="2" t="n">
        <v>38</v>
      </c>
      <c r="J1131">
        <f>I1131/H1131</f>
        <v/>
      </c>
      <c r="K1131">
        <f>H1131*90</f>
        <v/>
      </c>
      <c r="M1131">
        <f>L1131/K1131</f>
        <v/>
      </c>
    </row>
    <row r="1132">
      <c r="A1132" s="1" t="n">
        <v>1156</v>
      </c>
      <c r="B1132" s="2" t="inlineStr">
        <is>
          <t>Senegal</t>
        </is>
      </c>
      <c r="C1132" s="2" t="inlineStr">
        <is>
          <t>Ismaila Sarr</t>
        </is>
      </c>
      <c r="D1132" s="2" t="inlineStr">
        <is>
          <t>Avançado</t>
        </is>
      </c>
      <c r="E1132" s="2" t="inlineStr">
        <is>
          <t>Crystal Palace</t>
        </is>
      </c>
      <c r="F1132">
        <f>VLOOKUP(E1132,Clubes!B$2:D$438,2)</f>
        <v/>
      </c>
      <c r="G1132">
        <f>VLOOKUP(E1132,Clubes!B$2:D$438,3)</f>
        <v/>
      </c>
      <c r="H1132" s="2" t="n">
        <v>38</v>
      </c>
      <c r="J1132">
        <f>I1132/H1132</f>
        <v/>
      </c>
      <c r="K1132">
        <f>H1132*90</f>
        <v/>
      </c>
      <c r="M1132">
        <f>L1132/K1132</f>
        <v/>
      </c>
    </row>
    <row r="1133">
      <c r="A1133" s="1" t="n">
        <v>1157</v>
      </c>
      <c r="B1133" s="2" t="inlineStr">
        <is>
          <t>Senegal</t>
        </is>
      </c>
      <c r="C1133" s="2" t="inlineStr">
        <is>
          <t>Ibrahim Mbaye</t>
        </is>
      </c>
      <c r="D1133" s="2" t="inlineStr">
        <is>
          <t>Avançado</t>
        </is>
      </c>
      <c r="E1133" s="2" t="inlineStr">
        <is>
          <t>PSG</t>
        </is>
      </c>
      <c r="F1133">
        <f>VLOOKUP(E1133,Clubes!B$2:D$438,2)</f>
        <v/>
      </c>
      <c r="G1133">
        <f>VLOOKUP(E1133,Clubes!B$2:D$438,3)</f>
        <v/>
      </c>
      <c r="H1133" s="2" t="n">
        <v>46</v>
      </c>
      <c r="J1133">
        <f>I1133/H1133</f>
        <v/>
      </c>
      <c r="K1133">
        <f>H1133*90</f>
        <v/>
      </c>
      <c r="M1133">
        <f>L1133/K1133</f>
        <v/>
      </c>
    </row>
    <row r="1134">
      <c r="A1134" s="1" t="n">
        <v>1158</v>
      </c>
      <c r="B1134" s="2" t="inlineStr">
        <is>
          <t>Senegal</t>
        </is>
      </c>
      <c r="C1134" s="2" t="inlineStr">
        <is>
          <t>Bamba Dieng</t>
        </is>
      </c>
      <c r="D1134" s="2" t="inlineStr">
        <is>
          <t>Avançado</t>
        </is>
      </c>
      <c r="E1134" s="2" t="inlineStr">
        <is>
          <t>FC Lorient</t>
        </is>
      </c>
      <c r="F1134">
        <f>VLOOKUP(E1134,Clubes!B$2:D$438,2)</f>
        <v/>
      </c>
      <c r="G1134">
        <f>VLOOKUP(E1134,Clubes!B$2:D$438,3)</f>
        <v/>
      </c>
      <c r="H1134" s="2" t="n">
        <v>34</v>
      </c>
      <c r="J1134">
        <f>I1134/H1134</f>
        <v/>
      </c>
      <c r="K1134">
        <f>H1134*90</f>
        <v/>
      </c>
      <c r="M1134">
        <f>L1134/K1134</f>
        <v/>
      </c>
    </row>
    <row r="1135">
      <c r="A1135" s="1" t="n">
        <v>1159</v>
      </c>
      <c r="B1135" s="2" t="inlineStr">
        <is>
          <t>Senegal</t>
        </is>
      </c>
      <c r="C1135" s="2" t="inlineStr">
        <is>
          <t>Nicolas Jackson</t>
        </is>
      </c>
      <c r="D1135" s="2" t="inlineStr">
        <is>
          <t>Avançado</t>
        </is>
      </c>
      <c r="E1135" s="2" t="inlineStr">
        <is>
          <t>Bayern München</t>
        </is>
      </c>
      <c r="F1135">
        <f>VLOOKUP(E1135,Clubes!B$2:D$438,2)</f>
        <v/>
      </c>
      <c r="G1135">
        <f>VLOOKUP(E1135,Clubes!B$2:D$438,3)</f>
        <v/>
      </c>
      <c r="H1135" s="2" t="n">
        <v>34</v>
      </c>
      <c r="J1135">
        <f>I1135/H1135</f>
        <v/>
      </c>
      <c r="K1135">
        <f>H1135*90</f>
        <v/>
      </c>
      <c r="M1135">
        <f>L1135/K1135</f>
        <v/>
      </c>
    </row>
    <row r="1136">
      <c r="A1136" s="1" t="n">
        <v>1160</v>
      </c>
      <c r="B1136" s="2" t="inlineStr">
        <is>
          <t>Senegal</t>
        </is>
      </c>
      <c r="C1136" s="2" t="inlineStr">
        <is>
          <t>Cherif Ndiaye</t>
        </is>
      </c>
      <c r="D1136" s="2" t="inlineStr">
        <is>
          <t>Avançado</t>
        </is>
      </c>
      <c r="E1136" s="2" t="inlineStr">
        <is>
          <t>Samsunspor</t>
        </is>
      </c>
      <c r="F1136">
        <f>VLOOKUP(E1136,Clubes!B$2:D$438,2)</f>
        <v/>
      </c>
      <c r="G1136">
        <f>VLOOKUP(E1136,Clubes!B$2:D$438,3)</f>
        <v/>
      </c>
      <c r="H1136" s="2" t="n">
        <v>40</v>
      </c>
      <c r="J1136">
        <f>I1136/H1136</f>
        <v/>
      </c>
      <c r="K1136">
        <f>H1136*90</f>
        <v/>
      </c>
      <c r="M1136">
        <f>L1136/K1136</f>
        <v/>
      </c>
    </row>
    <row r="1137">
      <c r="A1137" s="1" t="n">
        <v>1161</v>
      </c>
      <c r="B1137" s="2" t="inlineStr">
        <is>
          <t>Senegal</t>
        </is>
      </c>
      <c r="C1137" s="2" t="inlineStr">
        <is>
          <t>Assane Diao</t>
        </is>
      </c>
      <c r="D1137" s="2" t="inlineStr">
        <is>
          <t>Avançado</t>
        </is>
      </c>
      <c r="E1137" s="2" t="inlineStr">
        <is>
          <t>Como 1907</t>
        </is>
      </c>
      <c r="F1137">
        <f>VLOOKUP(E1137,Clubes!B$2:D$438,2)</f>
        <v/>
      </c>
      <c r="G1137">
        <f>VLOOKUP(E1137,Clubes!B$2:D$438,3)</f>
        <v/>
      </c>
      <c r="H1137" s="2" t="n">
        <v>38</v>
      </c>
      <c r="J1137">
        <f>I1137/H1137</f>
        <v/>
      </c>
      <c r="K1137">
        <f>H1137*90</f>
        <v/>
      </c>
      <c r="M1137">
        <f>L1137/K1137</f>
        <v/>
      </c>
    </row>
    <row r="1138">
      <c r="A1138" s="1" t="n">
        <v>1162</v>
      </c>
      <c r="B1138" s="2" t="inlineStr">
        <is>
          <t>Senegal</t>
        </is>
      </c>
      <c r="C1138" s="2" t="inlineStr">
        <is>
          <t>Sadio Mané</t>
        </is>
      </c>
      <c r="D1138" s="2" t="inlineStr">
        <is>
          <t>Avançado</t>
        </is>
      </c>
      <c r="E1138" s="2" t="inlineStr">
        <is>
          <t>Al-Nassr</t>
        </is>
      </c>
      <c r="F1138">
        <f>VLOOKUP(E1138,Clubes!B$2:D$438,2)</f>
        <v/>
      </c>
      <c r="G1138">
        <f>VLOOKUP(E1138,Clubes!B$2:D$438,3)</f>
        <v/>
      </c>
      <c r="H1138" s="2" t="n">
        <v>34</v>
      </c>
      <c r="J1138">
        <f>I1138/H1138</f>
        <v/>
      </c>
      <c r="K1138">
        <f>H1138*90</f>
        <v/>
      </c>
      <c r="M1138">
        <f>L1138/K1138</f>
        <v/>
      </c>
    </row>
    <row r="1139">
      <c r="A1139" s="1" t="n">
        <v>1163</v>
      </c>
      <c r="B1139" s="2" t="inlineStr">
        <is>
          <t>Sweden</t>
        </is>
      </c>
      <c r="C1139" s="2" t="inlineStr">
        <is>
          <t>Jacob Zetterström</t>
        </is>
      </c>
      <c r="D1139" s="2" t="inlineStr">
        <is>
          <t>Guarda Redes</t>
        </is>
      </c>
      <c r="E1139" s="2" t="inlineStr">
        <is>
          <t>Derby County</t>
        </is>
      </c>
      <c r="F1139">
        <f>VLOOKUP(E1139,Clubes!B$2:D$438,2)</f>
        <v/>
      </c>
      <c r="G1139">
        <f>VLOOKUP(E1139,Clubes!B$2:D$438,3)</f>
        <v/>
      </c>
      <c r="H1139" s="2" t="n">
        <v>46</v>
      </c>
      <c r="J1139">
        <f>I1139/H1139</f>
        <v/>
      </c>
      <c r="K1139">
        <f>H1139*90</f>
        <v/>
      </c>
      <c r="M1139">
        <f>L1139/K1139</f>
        <v/>
      </c>
    </row>
    <row r="1140">
      <c r="A1140" s="1" t="n">
        <v>1164</v>
      </c>
      <c r="B1140" s="2" t="inlineStr">
        <is>
          <t>Sweden</t>
        </is>
      </c>
      <c r="C1140" s="2" t="inlineStr">
        <is>
          <t>Viktor Johansson</t>
        </is>
      </c>
      <c r="D1140" s="2" t="inlineStr">
        <is>
          <t>Guarda Redes</t>
        </is>
      </c>
      <c r="E1140" s="2" t="inlineStr">
        <is>
          <t>Stoke City</t>
        </is>
      </c>
      <c r="F1140">
        <f>VLOOKUP(E1140,Clubes!B$2:D$438,2)</f>
        <v/>
      </c>
      <c r="G1140">
        <f>VLOOKUP(E1140,Clubes!B$2:D$438,3)</f>
        <v/>
      </c>
      <c r="H1140" s="2" t="n">
        <v>46</v>
      </c>
      <c r="J1140">
        <f>I1140/H1140</f>
        <v/>
      </c>
      <c r="K1140">
        <f>H1140*90</f>
        <v/>
      </c>
      <c r="M1140">
        <f>L1140/K1140</f>
        <v/>
      </c>
    </row>
    <row r="1141">
      <c r="A1141" s="1" t="n">
        <v>1165</v>
      </c>
      <c r="B1141" s="2" t="inlineStr">
        <is>
          <t>Sweden</t>
        </is>
      </c>
      <c r="C1141" s="2" t="inlineStr">
        <is>
          <t>Kristoffer Nordfeldt</t>
        </is>
      </c>
      <c r="D1141" s="2" t="inlineStr">
        <is>
          <t>Guarda Redes</t>
        </is>
      </c>
      <c r="E1141" s="2" t="inlineStr">
        <is>
          <t>AIK</t>
        </is>
      </c>
      <c r="F1141">
        <f>VLOOKUP(E1141,Clubes!B$2:D$438,2)</f>
        <v/>
      </c>
      <c r="G1141">
        <f>VLOOKUP(E1141,Clubes!B$2:D$438,3)</f>
        <v/>
      </c>
      <c r="H1141" s="2" t="n">
        <v>30</v>
      </c>
      <c r="J1141">
        <f>I1141/H1141</f>
        <v/>
      </c>
      <c r="K1141">
        <f>H1141*90</f>
        <v/>
      </c>
      <c r="M1141">
        <f>L1141/K1141</f>
        <v/>
      </c>
    </row>
    <row r="1142">
      <c r="A1142" s="1" t="n">
        <v>1166</v>
      </c>
      <c r="B1142" s="2" t="inlineStr">
        <is>
          <t>Sweden</t>
        </is>
      </c>
      <c r="C1142" s="2" t="inlineStr">
        <is>
          <t>Herman Johansson</t>
        </is>
      </c>
      <c r="D1142" s="2" t="inlineStr">
        <is>
          <t>Defesa</t>
        </is>
      </c>
      <c r="E1142" s="2" t="inlineStr">
        <is>
          <t>FC Dallas</t>
        </is>
      </c>
      <c r="F1142">
        <f>VLOOKUP(E1142,Clubes!B$2:D$438,2)</f>
        <v/>
      </c>
      <c r="G1142">
        <f>VLOOKUP(E1142,Clubes!B$2:D$438,3)</f>
        <v/>
      </c>
      <c r="H1142" s="2" t="n">
        <v>34</v>
      </c>
      <c r="J1142">
        <f>I1142/H1142</f>
        <v/>
      </c>
      <c r="K1142">
        <f>H1142*90</f>
        <v/>
      </c>
      <c r="M1142">
        <f>L1142/K1142</f>
        <v/>
      </c>
    </row>
    <row r="1143">
      <c r="A1143" s="1" t="n">
        <v>1167</v>
      </c>
      <c r="B1143" s="2" t="inlineStr">
        <is>
          <t>Sweden</t>
        </is>
      </c>
      <c r="C1143" s="2" t="inlineStr">
        <is>
          <t>Elliot Stroud</t>
        </is>
      </c>
      <c r="D1143" s="2" t="inlineStr">
        <is>
          <t>Defesa</t>
        </is>
      </c>
      <c r="E1143" s="2" t="inlineStr">
        <is>
          <t>Mjallby</t>
        </is>
      </c>
      <c r="F1143">
        <f>VLOOKUP(E1143,Clubes!B$2:D$438,2)</f>
        <v/>
      </c>
      <c r="G1143">
        <f>VLOOKUP(E1143,Clubes!B$2:D$438,3)</f>
        <v/>
      </c>
      <c r="H1143" s="2" t="n">
        <v>30</v>
      </c>
      <c r="J1143">
        <f>I1143/H1143</f>
        <v/>
      </c>
      <c r="K1143">
        <f>H1143*90</f>
        <v/>
      </c>
      <c r="M1143">
        <f>L1143/K1143</f>
        <v/>
      </c>
    </row>
    <row r="1144">
      <c r="A1144" s="1" t="n">
        <v>1168</v>
      </c>
      <c r="B1144" s="2" t="inlineStr">
        <is>
          <t>Sweden</t>
        </is>
      </c>
      <c r="C1144" s="2" t="inlineStr">
        <is>
          <t>Gustaf Lagerbielke</t>
        </is>
      </c>
      <c r="D1144" s="2" t="inlineStr">
        <is>
          <t>Defesa</t>
        </is>
      </c>
      <c r="E1144" s="2" t="inlineStr">
        <is>
          <t>SC Braga</t>
        </is>
      </c>
      <c r="F1144">
        <f>VLOOKUP(E1144,Clubes!B$2:D$438,2)</f>
        <v/>
      </c>
      <c r="G1144">
        <f>VLOOKUP(E1144,Clubes!B$2:D$438,3)</f>
        <v/>
      </c>
      <c r="H1144" s="2" t="n">
        <v>34</v>
      </c>
      <c r="J1144">
        <f>I1144/H1144</f>
        <v/>
      </c>
      <c r="K1144">
        <f>H1144*90</f>
        <v/>
      </c>
      <c r="M1144">
        <f>L1144/K1144</f>
        <v/>
      </c>
    </row>
    <row r="1145">
      <c r="A1145" s="1" t="n">
        <v>1169</v>
      </c>
      <c r="B1145" s="2" t="inlineStr">
        <is>
          <t>Sweden</t>
        </is>
      </c>
      <c r="C1145" s="2" t="inlineStr">
        <is>
          <t>Victor Lindelöf</t>
        </is>
      </c>
      <c r="D1145" s="2" t="inlineStr">
        <is>
          <t>Defesa</t>
        </is>
      </c>
      <c r="E1145" s="2" t="inlineStr">
        <is>
          <t>Aston Villa</t>
        </is>
      </c>
      <c r="F1145">
        <f>VLOOKUP(E1145,Clubes!B$2:D$438,2)</f>
        <v/>
      </c>
      <c r="G1145">
        <f>VLOOKUP(E1145,Clubes!B$2:D$438,3)</f>
        <v/>
      </c>
      <c r="H1145" s="2" t="n">
        <v>38</v>
      </c>
      <c r="J1145">
        <f>I1145/H1145</f>
        <v/>
      </c>
      <c r="K1145">
        <f>H1145*90</f>
        <v/>
      </c>
      <c r="M1145">
        <f>L1145/K1145</f>
        <v/>
      </c>
    </row>
    <row r="1146">
      <c r="A1146" s="1" t="n">
        <v>1170</v>
      </c>
      <c r="B1146" s="2" t="inlineStr">
        <is>
          <t>Sweden</t>
        </is>
      </c>
      <c r="C1146" s="2" t="inlineStr">
        <is>
          <t>Isak Hien</t>
        </is>
      </c>
      <c r="D1146" s="2" t="inlineStr">
        <is>
          <t>Defesa</t>
        </is>
      </c>
      <c r="E1146" s="2" t="inlineStr">
        <is>
          <t>Atalanta</t>
        </is>
      </c>
      <c r="F1146">
        <f>VLOOKUP(E1146,Clubes!B$2:D$438,2)</f>
        <v/>
      </c>
      <c r="G1146">
        <f>VLOOKUP(E1146,Clubes!B$2:D$438,3)</f>
        <v/>
      </c>
      <c r="H1146" s="2" t="n">
        <v>38</v>
      </c>
      <c r="J1146">
        <f>I1146/H1146</f>
        <v/>
      </c>
      <c r="K1146">
        <f>H1146*90</f>
        <v/>
      </c>
      <c r="M1146">
        <f>L1146/K1146</f>
        <v/>
      </c>
    </row>
    <row r="1147">
      <c r="A1147" s="1" t="n">
        <v>1171</v>
      </c>
      <c r="B1147" s="2" t="inlineStr">
        <is>
          <t>Sweden</t>
        </is>
      </c>
      <c r="C1147" s="2" t="inlineStr">
        <is>
          <t>Hjalmar Ekdal</t>
        </is>
      </c>
      <c r="D1147" s="2" t="inlineStr">
        <is>
          <t>Defesa</t>
        </is>
      </c>
      <c r="E1147" s="2" t="inlineStr">
        <is>
          <t>Burnley</t>
        </is>
      </c>
      <c r="F1147">
        <f>VLOOKUP(E1147,Clubes!B$2:D$438,2)</f>
        <v/>
      </c>
      <c r="G1147">
        <f>VLOOKUP(E1147,Clubes!B$2:D$438,3)</f>
        <v/>
      </c>
      <c r="H1147" s="2" t="n">
        <v>38</v>
      </c>
      <c r="J1147">
        <f>I1147/H1147</f>
        <v/>
      </c>
      <c r="K1147">
        <f>H1147*90</f>
        <v/>
      </c>
      <c r="M1147">
        <f>L1147/K1147</f>
        <v/>
      </c>
    </row>
    <row r="1148">
      <c r="A1148" s="1" t="n">
        <v>1172</v>
      </c>
      <c r="B1148" s="2" t="inlineStr">
        <is>
          <t>Sweden</t>
        </is>
      </c>
      <c r="C1148" s="2" t="inlineStr">
        <is>
          <t>Carl Starfelt</t>
        </is>
      </c>
      <c r="D1148" s="2" t="inlineStr">
        <is>
          <t>Defesa</t>
        </is>
      </c>
      <c r="E1148" s="2" t="inlineStr">
        <is>
          <t>Celta de Vigo</t>
        </is>
      </c>
      <c r="F1148">
        <f>VLOOKUP(E1148,Clubes!B$2:D$438,2)</f>
        <v/>
      </c>
      <c r="G1148">
        <f>VLOOKUP(E1148,Clubes!B$2:D$438,3)</f>
        <v/>
      </c>
      <c r="H1148" s="2" t="n">
        <v>38</v>
      </c>
      <c r="J1148">
        <f>I1148/H1148</f>
        <v/>
      </c>
      <c r="K1148">
        <f>H1148*90</f>
        <v/>
      </c>
      <c r="M1148">
        <f>L1148/K1148</f>
        <v/>
      </c>
    </row>
    <row r="1149">
      <c r="A1149" s="1" t="n">
        <v>1173</v>
      </c>
      <c r="B1149" s="2" t="inlineStr">
        <is>
          <t>Sweden</t>
        </is>
      </c>
      <c r="C1149" s="2" t="inlineStr">
        <is>
          <t>Eric Smith</t>
        </is>
      </c>
      <c r="D1149" s="2" t="inlineStr">
        <is>
          <t>Defesa</t>
        </is>
      </c>
      <c r="E1149" s="2" t="inlineStr">
        <is>
          <t>FC St. Pauli</t>
        </is>
      </c>
      <c r="F1149">
        <f>VLOOKUP(E1149,Clubes!B$2:D$438,2)</f>
        <v/>
      </c>
      <c r="G1149">
        <f>VLOOKUP(E1149,Clubes!B$2:D$438,3)</f>
        <v/>
      </c>
      <c r="H1149" s="2" t="n">
        <v>34</v>
      </c>
      <c r="J1149">
        <f>I1149/H1149</f>
        <v/>
      </c>
      <c r="K1149">
        <f>H1149*90</f>
        <v/>
      </c>
      <c r="M1149">
        <f>L1149/K1149</f>
        <v/>
      </c>
    </row>
    <row r="1150">
      <c r="A1150" s="1" t="n">
        <v>1174</v>
      </c>
      <c r="B1150" s="2" t="inlineStr">
        <is>
          <t>Sweden</t>
        </is>
      </c>
      <c r="C1150" s="2" t="inlineStr">
        <is>
          <t>Gabriel Gudmundsson</t>
        </is>
      </c>
      <c r="D1150" s="2" t="inlineStr">
        <is>
          <t>Defesa</t>
        </is>
      </c>
      <c r="E1150" s="2" t="inlineStr">
        <is>
          <t>Leeds United</t>
        </is>
      </c>
      <c r="F1150">
        <f>VLOOKUP(E1150,Clubes!B$2:D$438,2)</f>
        <v/>
      </c>
      <c r="G1150">
        <f>VLOOKUP(E1150,Clubes!B$2:D$438,3)</f>
        <v/>
      </c>
      <c r="H1150" s="2" t="n">
        <v>38</v>
      </c>
      <c r="J1150">
        <f>I1150/H1150</f>
        <v/>
      </c>
      <c r="K1150">
        <f>H1150*90</f>
        <v/>
      </c>
      <c r="M1150">
        <f>L1150/K1150</f>
        <v/>
      </c>
    </row>
    <row r="1151">
      <c r="A1151" s="1" t="n">
        <v>1175</v>
      </c>
      <c r="B1151" s="2" t="inlineStr">
        <is>
          <t>Sweden</t>
        </is>
      </c>
      <c r="C1151" s="2" t="inlineStr">
        <is>
          <t>Daniel Svensson</t>
        </is>
      </c>
      <c r="D1151" s="2" t="inlineStr">
        <is>
          <t>Defesa</t>
        </is>
      </c>
      <c r="E1151" s="2" t="inlineStr">
        <is>
          <t>Borussia Dortmund</t>
        </is>
      </c>
      <c r="F1151">
        <f>VLOOKUP(E1151,Clubes!B$2:D$438,2)</f>
        <v/>
      </c>
      <c r="G1151">
        <f>VLOOKUP(E1151,Clubes!B$2:D$438,3)</f>
        <v/>
      </c>
      <c r="H1151" s="2" t="n">
        <v>34</v>
      </c>
      <c r="J1151">
        <f>I1151/H1151</f>
        <v/>
      </c>
      <c r="K1151">
        <f>H1151*90</f>
        <v/>
      </c>
      <c r="M1151">
        <f>L1151/K1151</f>
        <v/>
      </c>
    </row>
    <row r="1152">
      <c r="A1152" s="1" t="n">
        <v>1176</v>
      </c>
      <c r="B1152" s="2" t="inlineStr">
        <is>
          <t>Sweden</t>
        </is>
      </c>
      <c r="C1152" s="2" t="inlineStr">
        <is>
          <t>Jesper Karlstrom</t>
        </is>
      </c>
      <c r="D1152" s="2" t="inlineStr">
        <is>
          <t>Médio</t>
        </is>
      </c>
      <c r="E1152" s="2" t="inlineStr">
        <is>
          <t>Udinese</t>
        </is>
      </c>
      <c r="F1152">
        <f>VLOOKUP(E1152,Clubes!B$2:D$438,2)</f>
        <v/>
      </c>
      <c r="G1152">
        <f>VLOOKUP(E1152,Clubes!B$2:D$438,3)</f>
        <v/>
      </c>
      <c r="H1152" s="2" t="n">
        <v>30</v>
      </c>
      <c r="J1152">
        <f>I1152/H1152</f>
        <v/>
      </c>
      <c r="K1152">
        <f>H1152*90</f>
        <v/>
      </c>
      <c r="M1152">
        <f>L1152/K1152</f>
        <v/>
      </c>
    </row>
    <row r="1153">
      <c r="A1153" s="1" t="n">
        <v>1177</v>
      </c>
      <c r="B1153" s="2" t="inlineStr">
        <is>
          <t>Sweden</t>
        </is>
      </c>
      <c r="C1153" s="2" t="inlineStr">
        <is>
          <t>Lucas Bergvall</t>
        </is>
      </c>
      <c r="D1153" s="2" t="inlineStr">
        <is>
          <t>Médio</t>
        </is>
      </c>
      <c r="E1153" s="2" t="inlineStr">
        <is>
          <t>Tottenham</t>
        </is>
      </c>
      <c r="F1153">
        <f>VLOOKUP(E1153,Clubes!B$2:D$438,2)</f>
        <v/>
      </c>
      <c r="G1153">
        <f>VLOOKUP(E1153,Clubes!B$2:D$438,3)</f>
        <v/>
      </c>
      <c r="H1153" s="2" t="n">
        <v>38</v>
      </c>
      <c r="J1153">
        <f>I1153/H1153</f>
        <v/>
      </c>
      <c r="K1153">
        <f>H1153*90</f>
        <v/>
      </c>
      <c r="M1153">
        <f>L1153/K1153</f>
        <v/>
      </c>
    </row>
    <row r="1154">
      <c r="A1154" s="1" t="n">
        <v>1178</v>
      </c>
      <c r="B1154" s="2" t="inlineStr">
        <is>
          <t>Sweden</t>
        </is>
      </c>
      <c r="C1154" s="2" t="inlineStr">
        <is>
          <t>Mattias Svanberg</t>
        </is>
      </c>
      <c r="D1154" s="2" t="inlineStr">
        <is>
          <t>Médio</t>
        </is>
      </c>
      <c r="E1154" s="2" t="inlineStr">
        <is>
          <t>Wolfsburg</t>
        </is>
      </c>
      <c r="F1154">
        <f>VLOOKUP(E1154,Clubes!B$2:D$438,2)</f>
        <v/>
      </c>
      <c r="G1154">
        <f>VLOOKUP(E1154,Clubes!B$2:D$438,3)</f>
        <v/>
      </c>
      <c r="H1154" s="2" t="n">
        <v>34</v>
      </c>
      <c r="J1154">
        <f>I1154/H1154</f>
        <v/>
      </c>
      <c r="K1154">
        <f>H1154*90</f>
        <v/>
      </c>
      <c r="M1154">
        <f>L1154/K1154</f>
        <v/>
      </c>
    </row>
    <row r="1155">
      <c r="A1155" s="1" t="n">
        <v>1179</v>
      </c>
      <c r="B1155" s="2" t="inlineStr">
        <is>
          <t>Sweden</t>
        </is>
      </c>
      <c r="C1155" s="2" t="inlineStr">
        <is>
          <t>Besfort Zeneli</t>
        </is>
      </c>
      <c r="D1155" s="2" t="inlineStr">
        <is>
          <t>Médio</t>
        </is>
      </c>
      <c r="E1155" s="2" t="inlineStr">
        <is>
          <t>Union St. Gilloise</t>
        </is>
      </c>
      <c r="F1155">
        <f>VLOOKUP(E1155,Clubes!B$2:D$438,2)</f>
        <v/>
      </c>
      <c r="G1155">
        <f>VLOOKUP(E1155,Clubes!B$2:D$438,3)</f>
        <v/>
      </c>
      <c r="H1155" s="2" t="n">
        <v>30</v>
      </c>
      <c r="J1155">
        <f>I1155/H1155</f>
        <v/>
      </c>
      <c r="K1155">
        <f>H1155*90</f>
        <v/>
      </c>
      <c r="M1155">
        <f>L1155/K1155</f>
        <v/>
      </c>
    </row>
    <row r="1156">
      <c r="A1156" s="1" t="n">
        <v>1180</v>
      </c>
      <c r="B1156" s="2" t="inlineStr">
        <is>
          <t>Sweden</t>
        </is>
      </c>
      <c r="C1156" s="2" t="inlineStr">
        <is>
          <t>Yasin Ayari</t>
        </is>
      </c>
      <c r="D1156" s="2" t="inlineStr">
        <is>
          <t>Médio</t>
        </is>
      </c>
      <c r="E1156" s="2" t="inlineStr">
        <is>
          <t>Brighton &amp; Hove Albion</t>
        </is>
      </c>
      <c r="F1156">
        <f>VLOOKUP(E1156,Clubes!B$2:D$438,2)</f>
        <v/>
      </c>
      <c r="G1156">
        <f>VLOOKUP(E1156,Clubes!B$2:D$438,3)</f>
        <v/>
      </c>
      <c r="H1156" s="2" t="n">
        <v>38</v>
      </c>
      <c r="J1156">
        <f>I1156/H1156</f>
        <v/>
      </c>
      <c r="K1156">
        <f>H1156*90</f>
        <v/>
      </c>
      <c r="M1156">
        <f>L1156/K1156</f>
        <v/>
      </c>
    </row>
    <row r="1157">
      <c r="A1157" s="1" t="n">
        <v>1181</v>
      </c>
      <c r="B1157" s="2" t="inlineStr">
        <is>
          <t>Sweden</t>
        </is>
      </c>
      <c r="C1157" s="2" t="inlineStr">
        <is>
          <t>Alexander Bernhardsson</t>
        </is>
      </c>
      <c r="D1157" s="2" t="inlineStr">
        <is>
          <t>Avançado</t>
        </is>
      </c>
      <c r="E1157" s="2" t="inlineStr">
        <is>
          <t>Holstein Kiel</t>
        </is>
      </c>
      <c r="F1157">
        <f>VLOOKUP(E1157,Clubes!B$2:D$438,2)</f>
        <v/>
      </c>
      <c r="G1157">
        <f>VLOOKUP(E1157,Clubes!B$2:D$438,3)</f>
        <v/>
      </c>
      <c r="H1157" s="2" t="n">
        <v>34</v>
      </c>
      <c r="J1157">
        <f>I1157/H1157</f>
        <v/>
      </c>
      <c r="K1157">
        <f>H1157*90</f>
        <v/>
      </c>
      <c r="M1157">
        <f>L1157/K1157</f>
        <v/>
      </c>
    </row>
    <row r="1158">
      <c r="A1158" s="1" t="n">
        <v>1182</v>
      </c>
      <c r="B1158" s="2" t="inlineStr">
        <is>
          <t>Sweden</t>
        </is>
      </c>
      <c r="C1158" s="2" t="inlineStr">
        <is>
          <t>Taha Ali</t>
        </is>
      </c>
      <c r="D1158" s="2" t="inlineStr">
        <is>
          <t>Avançado</t>
        </is>
      </c>
      <c r="E1158" s="2" t="inlineStr">
        <is>
          <t>Malmö</t>
        </is>
      </c>
      <c r="F1158">
        <f>VLOOKUP(E1158,Clubes!B$2:D$438,2)</f>
        <v/>
      </c>
      <c r="G1158">
        <f>VLOOKUP(E1158,Clubes!B$2:D$438,3)</f>
        <v/>
      </c>
      <c r="H1158" s="2" t="n">
        <v>30</v>
      </c>
      <c r="J1158">
        <f>I1158/H1158</f>
        <v/>
      </c>
      <c r="K1158">
        <f>H1158*90</f>
        <v/>
      </c>
      <c r="M1158">
        <f>L1158/K1158</f>
        <v/>
      </c>
    </row>
    <row r="1159">
      <c r="A1159" s="1" t="n">
        <v>1183</v>
      </c>
      <c r="B1159" s="2" t="inlineStr">
        <is>
          <t>Sweden</t>
        </is>
      </c>
      <c r="C1159" s="2" t="inlineStr">
        <is>
          <t>Alexander Isak</t>
        </is>
      </c>
      <c r="D1159" s="2" t="inlineStr">
        <is>
          <t>Avançado</t>
        </is>
      </c>
      <c r="E1159" s="2" t="inlineStr">
        <is>
          <t>Liverpool</t>
        </is>
      </c>
      <c r="F1159">
        <f>VLOOKUP(E1159,Clubes!B$2:D$438,2)</f>
        <v/>
      </c>
      <c r="G1159">
        <f>VLOOKUP(E1159,Clubes!B$2:D$438,3)</f>
        <v/>
      </c>
      <c r="H1159" s="2" t="n">
        <v>38</v>
      </c>
      <c r="J1159">
        <f>I1159/H1159</f>
        <v/>
      </c>
      <c r="K1159">
        <f>H1159*90</f>
        <v/>
      </c>
      <c r="M1159">
        <f>L1159/K1159</f>
        <v/>
      </c>
    </row>
    <row r="1160">
      <c r="A1160" s="1" t="n">
        <v>1184</v>
      </c>
      <c r="B1160" s="2" t="inlineStr">
        <is>
          <t>Sweden</t>
        </is>
      </c>
      <c r="C1160" s="2" t="inlineStr">
        <is>
          <t>Benjamin Nygren</t>
        </is>
      </c>
      <c r="D1160" s="2" t="inlineStr">
        <is>
          <t>Avançado</t>
        </is>
      </c>
      <c r="E1160" s="2" t="inlineStr">
        <is>
          <t>Celtic</t>
        </is>
      </c>
      <c r="F1160">
        <f>VLOOKUP(E1160,Clubes!B$2:D$438,2)</f>
        <v/>
      </c>
      <c r="G1160">
        <f>VLOOKUP(E1160,Clubes!B$2:D$438,3)</f>
        <v/>
      </c>
      <c r="H1160" s="2" t="n">
        <v>38</v>
      </c>
      <c r="J1160">
        <f>I1160/H1160</f>
        <v/>
      </c>
      <c r="K1160">
        <f>H1160*90</f>
        <v/>
      </c>
      <c r="M1160">
        <f>L1160/K1160</f>
        <v/>
      </c>
    </row>
    <row r="1161">
      <c r="A1161" s="1" t="n">
        <v>1185</v>
      </c>
      <c r="B1161" s="2" t="inlineStr">
        <is>
          <t>Sweden</t>
        </is>
      </c>
      <c r="C1161" s="2" t="inlineStr">
        <is>
          <t>Viktor Gyökeres</t>
        </is>
      </c>
      <c r="D1161" s="2" t="inlineStr">
        <is>
          <t>Avançado</t>
        </is>
      </c>
      <c r="E1161" s="2" t="inlineStr">
        <is>
          <t>Arsenal</t>
        </is>
      </c>
      <c r="F1161">
        <f>VLOOKUP(E1161,Clubes!B$2:D$438,2)</f>
        <v/>
      </c>
      <c r="G1161">
        <f>VLOOKUP(E1161,Clubes!B$2:D$438,3)</f>
        <v/>
      </c>
      <c r="H1161" s="2" t="n">
        <v>38</v>
      </c>
      <c r="J1161">
        <f>I1161/H1161</f>
        <v/>
      </c>
      <c r="K1161">
        <f>H1161*90</f>
        <v/>
      </c>
      <c r="M1161">
        <f>L1161/K1161</f>
        <v/>
      </c>
    </row>
    <row r="1162">
      <c r="A1162" s="1" t="n">
        <v>1186</v>
      </c>
      <c r="B1162" s="2" t="inlineStr">
        <is>
          <t>Sweden</t>
        </is>
      </c>
      <c r="C1162" s="2" t="inlineStr">
        <is>
          <t>Gustaf Nilsson</t>
        </is>
      </c>
      <c r="D1162" s="2" t="inlineStr">
        <is>
          <t>Avançado</t>
        </is>
      </c>
      <c r="E1162" s="2" t="inlineStr">
        <is>
          <t>Club Brugge</t>
        </is>
      </c>
      <c r="F1162">
        <f>VLOOKUP(E1162,Clubes!B$2:D$438,2)</f>
        <v/>
      </c>
      <c r="G1162">
        <f>VLOOKUP(E1162,Clubes!B$2:D$438,3)</f>
        <v/>
      </c>
      <c r="H1162" s="2" t="n">
        <v>40</v>
      </c>
      <c r="J1162">
        <f>I1162/H1162</f>
        <v/>
      </c>
      <c r="K1162">
        <f>H1162*90</f>
        <v/>
      </c>
      <c r="M1162">
        <f>L1162/K1162</f>
        <v/>
      </c>
    </row>
    <row r="1163">
      <c r="A1163" s="1" t="n">
        <v>1187</v>
      </c>
      <c r="B1163" s="2" t="inlineStr">
        <is>
          <t>Sweden</t>
        </is>
      </c>
      <c r="C1163" s="2" t="inlineStr">
        <is>
          <t>Anthony Elanga</t>
        </is>
      </c>
      <c r="D1163" s="2" t="inlineStr">
        <is>
          <t>Avançado</t>
        </is>
      </c>
      <c r="E1163" s="2" t="inlineStr">
        <is>
          <t>Newcastle</t>
        </is>
      </c>
      <c r="F1163">
        <f>VLOOKUP(E1163,Clubes!B$2:D$438,2)</f>
        <v/>
      </c>
      <c r="G1163">
        <f>VLOOKUP(E1163,Clubes!B$2:D$438,3)</f>
        <v/>
      </c>
      <c r="H1163" s="2" t="n">
        <v>38</v>
      </c>
      <c r="J1163">
        <f>I1163/H1163</f>
        <v/>
      </c>
      <c r="K1163">
        <f>H1163*90</f>
        <v/>
      </c>
      <c r="M1163">
        <f>L1163/K1163</f>
        <v/>
      </c>
    </row>
    <row r="1164">
      <c r="A1164" s="1" t="n">
        <v>1188</v>
      </c>
      <c r="B1164" s="2" t="inlineStr">
        <is>
          <t>Sweden</t>
        </is>
      </c>
      <c r="C1164" s="2" t="inlineStr">
        <is>
          <t>Ken Sema</t>
        </is>
      </c>
      <c r="D1164" s="2" t="inlineStr">
        <is>
          <t>Avançado</t>
        </is>
      </c>
      <c r="E1164" s="2" t="inlineStr">
        <is>
          <t>Pafos FC</t>
        </is>
      </c>
      <c r="F1164">
        <f>VLOOKUP(E1164,Clubes!B$2:D$438,2)</f>
        <v/>
      </c>
      <c r="G1164">
        <f>VLOOKUP(E1164,Clubes!B$2:D$438,3)</f>
        <v/>
      </c>
      <c r="H1164" s="2" t="n">
        <v>38</v>
      </c>
      <c r="J1164">
        <f>I1164/H1164</f>
        <v/>
      </c>
      <c r="K1164">
        <f>H1164*90</f>
        <v/>
      </c>
      <c r="M1164">
        <f>L1164/K1164</f>
        <v/>
      </c>
    </row>
    <row r="1165">
      <c r="A1165" s="1" t="n">
        <v>1189</v>
      </c>
      <c r="B1165" s="2" t="inlineStr">
        <is>
          <t>Switzerland</t>
        </is>
      </c>
      <c r="C1165" s="2" t="inlineStr">
        <is>
          <t>Gregor Kobel</t>
        </is>
      </c>
      <c r="D1165" s="2" t="inlineStr">
        <is>
          <t>Guarda Redes</t>
        </is>
      </c>
      <c r="E1165" s="2" t="inlineStr">
        <is>
          <t>Borussia Dortmund</t>
        </is>
      </c>
      <c r="F1165">
        <f>VLOOKUP(E1165,Clubes!B$2:D$438,2)</f>
        <v/>
      </c>
      <c r="G1165">
        <f>VLOOKUP(E1165,Clubes!B$2:D$438,3)</f>
        <v/>
      </c>
      <c r="H1165" s="2" t="n">
        <v>34</v>
      </c>
      <c r="J1165">
        <f>I1165/H1165</f>
        <v/>
      </c>
      <c r="K1165">
        <f>H1165*90</f>
        <v/>
      </c>
      <c r="M1165">
        <f>L1165/K1165</f>
        <v/>
      </c>
    </row>
    <row r="1166">
      <c r="A1166" s="1" t="n">
        <v>1190</v>
      </c>
      <c r="B1166" s="2" t="inlineStr">
        <is>
          <t>Switzerland</t>
        </is>
      </c>
      <c r="C1166" s="2" t="inlineStr">
        <is>
          <t>Yvon Mvogo</t>
        </is>
      </c>
      <c r="D1166" s="2" t="inlineStr">
        <is>
          <t>Guarda Redes</t>
        </is>
      </c>
      <c r="E1166" s="2" t="inlineStr">
        <is>
          <t>FC Lorient</t>
        </is>
      </c>
      <c r="F1166">
        <f>VLOOKUP(E1166,Clubes!B$2:D$438,2)</f>
        <v/>
      </c>
      <c r="G1166">
        <f>VLOOKUP(E1166,Clubes!B$2:D$438,3)</f>
        <v/>
      </c>
      <c r="H1166" s="2" t="n">
        <v>34</v>
      </c>
      <c r="J1166">
        <f>I1166/H1166</f>
        <v/>
      </c>
      <c r="K1166">
        <f>H1166*90</f>
        <v/>
      </c>
      <c r="M1166">
        <f>L1166/K1166</f>
        <v/>
      </c>
    </row>
    <row r="1167">
      <c r="A1167" s="1" t="n">
        <v>1191</v>
      </c>
      <c r="B1167" s="2" t="inlineStr">
        <is>
          <t>Switzerland</t>
        </is>
      </c>
      <c r="C1167" s="2" t="inlineStr">
        <is>
          <t>Marvin Keller</t>
        </is>
      </c>
      <c r="D1167" s="2" t="inlineStr">
        <is>
          <t>Guarda Redes</t>
        </is>
      </c>
      <c r="E1167" s="2" t="inlineStr">
        <is>
          <t>Young Boys</t>
        </is>
      </c>
      <c r="F1167">
        <f>VLOOKUP(E1167,Clubes!B$2:D$438,2)</f>
        <v/>
      </c>
      <c r="G1167">
        <f>VLOOKUP(E1167,Clubes!B$2:D$438,3)</f>
        <v/>
      </c>
      <c r="H1167" s="2" t="n">
        <v>38</v>
      </c>
      <c r="J1167">
        <f>I1167/H1167</f>
        <v/>
      </c>
      <c r="K1167">
        <f>H1167*90</f>
        <v/>
      </c>
      <c r="M1167">
        <f>L1167/K1167</f>
        <v/>
      </c>
    </row>
    <row r="1168">
      <c r="A1168" s="1" t="n">
        <v>1192</v>
      </c>
      <c r="B1168" s="2" t="inlineStr">
        <is>
          <t>Switzerland</t>
        </is>
      </c>
      <c r="C1168" s="2" t="inlineStr">
        <is>
          <t>Miro Muheim</t>
        </is>
      </c>
      <c r="D1168" s="2" t="inlineStr">
        <is>
          <t>Defesa</t>
        </is>
      </c>
      <c r="E1168" s="2" t="inlineStr">
        <is>
          <t>Hamburger SV</t>
        </is>
      </c>
      <c r="F1168">
        <f>VLOOKUP(E1168,Clubes!B$2:D$438,2)</f>
        <v/>
      </c>
      <c r="G1168">
        <f>VLOOKUP(E1168,Clubes!B$2:D$438,3)</f>
        <v/>
      </c>
      <c r="H1168" s="2" t="n">
        <v>34</v>
      </c>
      <c r="J1168">
        <f>I1168/H1168</f>
        <v/>
      </c>
      <c r="K1168">
        <f>H1168*90</f>
        <v/>
      </c>
      <c r="M1168">
        <f>L1168/K1168</f>
        <v/>
      </c>
    </row>
    <row r="1169">
      <c r="A1169" s="1" t="n">
        <v>1193</v>
      </c>
      <c r="B1169" s="2" t="inlineStr">
        <is>
          <t>Switzerland</t>
        </is>
      </c>
      <c r="C1169" s="2" t="inlineStr">
        <is>
          <t>Silvan Widmer</t>
        </is>
      </c>
      <c r="D1169" s="2" t="inlineStr">
        <is>
          <t>Defesa</t>
        </is>
      </c>
      <c r="E1169" s="2" t="inlineStr">
        <is>
          <t>Mainz</t>
        </is>
      </c>
      <c r="F1169">
        <f>VLOOKUP(E1169,Clubes!B$2:D$438,2)</f>
        <v/>
      </c>
      <c r="G1169">
        <f>VLOOKUP(E1169,Clubes!B$2:D$438,3)</f>
        <v/>
      </c>
      <c r="H1169" s="2" t="n">
        <v>34</v>
      </c>
      <c r="J1169">
        <f>I1169/H1169</f>
        <v/>
      </c>
      <c r="K1169">
        <f>H1169*90</f>
        <v/>
      </c>
      <c r="M1169">
        <f>L1169/K1169</f>
        <v/>
      </c>
    </row>
    <row r="1170">
      <c r="A1170" s="1" t="n">
        <v>1194</v>
      </c>
      <c r="B1170" s="2" t="inlineStr">
        <is>
          <t>Switzerland</t>
        </is>
      </c>
      <c r="C1170" s="2" t="inlineStr">
        <is>
          <t>Nico Elvedi</t>
        </is>
      </c>
      <c r="D1170" s="2" t="inlineStr">
        <is>
          <t>Defesa</t>
        </is>
      </c>
      <c r="E1170" s="2" t="inlineStr">
        <is>
          <t>Borussia M´gladbach</t>
        </is>
      </c>
      <c r="F1170">
        <f>VLOOKUP(E1170,Clubes!B$2:D$438,2)</f>
        <v/>
      </c>
      <c r="G1170">
        <f>VLOOKUP(E1170,Clubes!B$2:D$438,3)</f>
        <v/>
      </c>
      <c r="H1170" s="2" t="n">
        <v>34</v>
      </c>
      <c r="J1170">
        <f>I1170/H1170</f>
        <v/>
      </c>
      <c r="K1170">
        <f>H1170*90</f>
        <v/>
      </c>
      <c r="M1170">
        <f>L1170/K1170</f>
        <v/>
      </c>
    </row>
    <row r="1171">
      <c r="A1171" s="1" t="n">
        <v>1195</v>
      </c>
      <c r="B1171" s="2" t="inlineStr">
        <is>
          <t>Switzerland</t>
        </is>
      </c>
      <c r="C1171" s="2" t="inlineStr">
        <is>
          <t>Manuel Akanji</t>
        </is>
      </c>
      <c r="D1171" s="2" t="inlineStr">
        <is>
          <t>Defesa</t>
        </is>
      </c>
      <c r="E1171" s="2" t="inlineStr">
        <is>
          <t>Internazionale</t>
        </is>
      </c>
      <c r="F1171">
        <f>VLOOKUP(E1171,Clubes!B$2:D$438,2)</f>
        <v/>
      </c>
      <c r="G1171">
        <f>VLOOKUP(E1171,Clubes!B$2:D$438,3)</f>
        <v/>
      </c>
      <c r="H1171" s="2" t="n">
        <v>38</v>
      </c>
      <c r="J1171">
        <f>I1171/H1171</f>
        <v/>
      </c>
      <c r="K1171">
        <f>H1171*90</f>
        <v/>
      </c>
      <c r="M1171">
        <f>L1171/K1171</f>
        <v/>
      </c>
    </row>
    <row r="1172">
      <c r="A1172" s="1" t="n">
        <v>1196</v>
      </c>
      <c r="B1172" s="2" t="inlineStr">
        <is>
          <t>Switzerland</t>
        </is>
      </c>
      <c r="C1172" s="2" t="inlineStr">
        <is>
          <t>Ricardo Rodríguez</t>
        </is>
      </c>
      <c r="D1172" s="2" t="inlineStr">
        <is>
          <t>Defesa</t>
        </is>
      </c>
      <c r="E1172" s="2" t="inlineStr">
        <is>
          <t>Real Betis</t>
        </is>
      </c>
      <c r="F1172">
        <f>VLOOKUP(E1172,Clubes!B$2:D$438,2)</f>
        <v/>
      </c>
      <c r="G1172">
        <f>VLOOKUP(E1172,Clubes!B$2:D$438,3)</f>
        <v/>
      </c>
      <c r="H1172" s="2" t="n">
        <v>34</v>
      </c>
      <c r="J1172">
        <f>I1172/H1172</f>
        <v/>
      </c>
      <c r="K1172">
        <f>H1172*90</f>
        <v/>
      </c>
      <c r="M1172">
        <f>L1172/K1172</f>
        <v/>
      </c>
    </row>
    <row r="1173">
      <c r="A1173" s="1" t="n">
        <v>1197</v>
      </c>
      <c r="B1173" s="2" t="inlineStr">
        <is>
          <t>Switzerland</t>
        </is>
      </c>
      <c r="C1173" s="2" t="inlineStr">
        <is>
          <t>Eray Cömert</t>
        </is>
      </c>
      <c r="D1173" s="2" t="inlineStr">
        <is>
          <t>Defesa</t>
        </is>
      </c>
      <c r="E1173" s="2" t="inlineStr">
        <is>
          <t>Valencia</t>
        </is>
      </c>
      <c r="F1173">
        <f>VLOOKUP(E1173,Clubes!B$2:D$438,2)</f>
        <v/>
      </c>
      <c r="G1173">
        <f>VLOOKUP(E1173,Clubes!B$2:D$438,3)</f>
        <v/>
      </c>
      <c r="H1173" s="2" t="n">
        <v>38</v>
      </c>
      <c r="J1173">
        <f>I1173/H1173</f>
        <v/>
      </c>
      <c r="K1173">
        <f>H1173*90</f>
        <v/>
      </c>
      <c r="M1173">
        <f>L1173/K1173</f>
        <v/>
      </c>
    </row>
    <row r="1174">
      <c r="A1174" s="1" t="n">
        <v>1198</v>
      </c>
      <c r="B1174" s="2" t="inlineStr">
        <is>
          <t>Switzerland</t>
        </is>
      </c>
      <c r="C1174" s="2" t="inlineStr">
        <is>
          <t>Aurèle Amenda</t>
        </is>
      </c>
      <c r="D1174" s="2" t="inlineStr">
        <is>
          <t>Defesa</t>
        </is>
      </c>
      <c r="E1174" s="2" t="inlineStr">
        <is>
          <t>Eintracht Frankfurt</t>
        </is>
      </c>
      <c r="F1174">
        <f>VLOOKUP(E1174,Clubes!B$2:D$438,2)</f>
        <v/>
      </c>
      <c r="G1174">
        <f>VLOOKUP(E1174,Clubes!B$2:D$438,3)</f>
        <v/>
      </c>
      <c r="H1174" s="2" t="n">
        <v>34</v>
      </c>
      <c r="J1174">
        <f>I1174/H1174</f>
        <v/>
      </c>
      <c r="K1174">
        <f>H1174*90</f>
        <v/>
      </c>
      <c r="M1174">
        <f>L1174/K1174</f>
        <v/>
      </c>
    </row>
    <row r="1175">
      <c r="A1175" s="1" t="n">
        <v>1199</v>
      </c>
      <c r="B1175" s="2" t="inlineStr">
        <is>
          <t>Switzerland</t>
        </is>
      </c>
      <c r="C1175" s="2" t="inlineStr">
        <is>
          <t>Luca Jaquez</t>
        </is>
      </c>
      <c r="D1175" s="2" t="inlineStr">
        <is>
          <t>Defesa</t>
        </is>
      </c>
      <c r="E1175" s="2" t="inlineStr">
        <is>
          <t>Stuttgart</t>
        </is>
      </c>
      <c r="F1175">
        <f>VLOOKUP(E1175,Clubes!B$2:D$438,2)</f>
        <v/>
      </c>
      <c r="G1175">
        <f>VLOOKUP(E1175,Clubes!B$2:D$438,3)</f>
        <v/>
      </c>
      <c r="H1175" s="2" t="n">
        <v>34</v>
      </c>
      <c r="J1175">
        <f>I1175/H1175</f>
        <v/>
      </c>
      <c r="K1175">
        <f>H1175*90</f>
        <v/>
      </c>
      <c r="M1175">
        <f>L1175/K1175</f>
        <v/>
      </c>
    </row>
    <row r="1176">
      <c r="A1176" s="1" t="n">
        <v>1200</v>
      </c>
      <c r="B1176" s="2" t="inlineStr">
        <is>
          <t>Switzerland</t>
        </is>
      </c>
      <c r="C1176" s="2" t="inlineStr">
        <is>
          <t>Denis Zakaria</t>
        </is>
      </c>
      <c r="D1176" s="2" t="inlineStr">
        <is>
          <t>Médio</t>
        </is>
      </c>
      <c r="E1176" s="2" t="inlineStr">
        <is>
          <t>Monaco</t>
        </is>
      </c>
      <c r="F1176">
        <f>VLOOKUP(E1176,Clubes!B$2:D$438,2)</f>
        <v/>
      </c>
      <c r="G1176">
        <f>VLOOKUP(E1176,Clubes!B$2:D$438,3)</f>
        <v/>
      </c>
      <c r="H1176" s="2" t="n">
        <v>34</v>
      </c>
      <c r="J1176">
        <f>I1176/H1176</f>
        <v/>
      </c>
      <c r="K1176">
        <f>H1176*90</f>
        <v/>
      </c>
      <c r="M1176">
        <f>L1176/K1176</f>
        <v/>
      </c>
    </row>
    <row r="1177">
      <c r="A1177" s="1" t="n">
        <v>1201</v>
      </c>
      <c r="B1177" s="2" t="inlineStr">
        <is>
          <t>Switzerland</t>
        </is>
      </c>
      <c r="C1177" s="2" t="inlineStr">
        <is>
          <t>Remo Freuler</t>
        </is>
      </c>
      <c r="D1177" s="2" t="inlineStr">
        <is>
          <t>Médio</t>
        </is>
      </c>
      <c r="E1177" s="2" t="inlineStr">
        <is>
          <t>Bologna</t>
        </is>
      </c>
      <c r="F1177">
        <f>VLOOKUP(E1177,Clubes!B$2:D$438,2)</f>
        <v/>
      </c>
      <c r="G1177">
        <f>VLOOKUP(E1177,Clubes!B$2:D$438,3)</f>
        <v/>
      </c>
      <c r="H1177" s="2" t="n">
        <v>38</v>
      </c>
      <c r="J1177">
        <f>I1177/H1177</f>
        <v/>
      </c>
      <c r="K1177">
        <f>H1177*90</f>
        <v/>
      </c>
      <c r="M1177">
        <f>L1177/K1177</f>
        <v/>
      </c>
    </row>
    <row r="1178">
      <c r="A1178" s="1" t="n">
        <v>1202</v>
      </c>
      <c r="B1178" s="2" t="inlineStr">
        <is>
          <t>Switzerland</t>
        </is>
      </c>
      <c r="C1178" s="2" t="inlineStr">
        <is>
          <t>Johan Manzambi</t>
        </is>
      </c>
      <c r="D1178" s="2" t="inlineStr">
        <is>
          <t>Médio</t>
        </is>
      </c>
      <c r="E1178" s="2" t="inlineStr">
        <is>
          <t>SC Freiburg</t>
        </is>
      </c>
      <c r="F1178">
        <f>VLOOKUP(E1178,Clubes!B$2:D$438,2)</f>
        <v/>
      </c>
      <c r="G1178">
        <f>VLOOKUP(E1178,Clubes!B$2:D$438,3)</f>
        <v/>
      </c>
      <c r="H1178" s="2" t="n">
        <v>38</v>
      </c>
      <c r="J1178">
        <f>I1178/H1178</f>
        <v/>
      </c>
      <c r="K1178">
        <f>H1178*90</f>
        <v/>
      </c>
      <c r="M1178">
        <f>L1178/K1178</f>
        <v/>
      </c>
    </row>
    <row r="1179">
      <c r="A1179" s="1" t="n">
        <v>1203</v>
      </c>
      <c r="B1179" s="2" t="inlineStr">
        <is>
          <t>Switzerland</t>
        </is>
      </c>
      <c r="C1179" s="2" t="inlineStr">
        <is>
          <t>Granit Xhaka</t>
        </is>
      </c>
      <c r="D1179" s="2" t="inlineStr">
        <is>
          <t>Médio</t>
        </is>
      </c>
      <c r="E1179" s="2" t="inlineStr">
        <is>
          <t>Sunderland</t>
        </is>
      </c>
      <c r="F1179">
        <f>VLOOKUP(E1179,Clubes!B$2:D$438,2)</f>
        <v/>
      </c>
      <c r="G1179">
        <f>VLOOKUP(E1179,Clubes!B$2:D$438,3)</f>
        <v/>
      </c>
      <c r="H1179" s="2" t="n">
        <v>38</v>
      </c>
      <c r="J1179">
        <f>I1179/H1179</f>
        <v/>
      </c>
      <c r="K1179">
        <f>H1179*90</f>
        <v/>
      </c>
      <c r="M1179">
        <f>L1179/K1179</f>
        <v/>
      </c>
    </row>
    <row r="1180">
      <c r="A1180" s="1" t="n">
        <v>1204</v>
      </c>
      <c r="B1180" s="2" t="inlineStr">
        <is>
          <t>Switzerland</t>
        </is>
      </c>
      <c r="C1180" s="2" t="inlineStr">
        <is>
          <t>Ardon Jashari</t>
        </is>
      </c>
      <c r="D1180" s="2" t="inlineStr">
        <is>
          <t>Médio</t>
        </is>
      </c>
      <c r="E1180" s="2" t="inlineStr">
        <is>
          <t>Milan</t>
        </is>
      </c>
      <c r="F1180">
        <f>VLOOKUP(E1180,Clubes!B$2:D$438,2)</f>
        <v/>
      </c>
      <c r="G1180">
        <f>VLOOKUP(E1180,Clubes!B$2:D$438,3)</f>
        <v/>
      </c>
      <c r="H1180" s="2" t="n">
        <v>38</v>
      </c>
      <c r="J1180">
        <f>I1180/H1180</f>
        <v/>
      </c>
      <c r="K1180">
        <f>H1180*90</f>
        <v/>
      </c>
      <c r="M1180">
        <f>L1180/K1180</f>
        <v/>
      </c>
    </row>
    <row r="1181">
      <c r="A1181" s="1" t="n">
        <v>1205</v>
      </c>
      <c r="B1181" s="2" t="inlineStr">
        <is>
          <t>Switzerland</t>
        </is>
      </c>
      <c r="C1181" s="2" t="inlineStr">
        <is>
          <t>Djibril Sow</t>
        </is>
      </c>
      <c r="D1181" s="2" t="inlineStr">
        <is>
          <t>Médio</t>
        </is>
      </c>
      <c r="E1181" s="2" t="inlineStr">
        <is>
          <t>Sevilla</t>
        </is>
      </c>
      <c r="F1181">
        <f>VLOOKUP(E1181,Clubes!B$2:D$438,2)</f>
        <v/>
      </c>
      <c r="G1181">
        <f>VLOOKUP(E1181,Clubes!B$2:D$438,3)</f>
        <v/>
      </c>
      <c r="H1181" s="2" t="n">
        <v>38</v>
      </c>
      <c r="J1181">
        <f>I1181/H1181</f>
        <v/>
      </c>
      <c r="K1181">
        <f>H1181*90</f>
        <v/>
      </c>
      <c r="M1181">
        <f>L1181/K1181</f>
        <v/>
      </c>
    </row>
    <row r="1182">
      <c r="A1182" s="1" t="n">
        <v>1206</v>
      </c>
      <c r="B1182" s="2" t="inlineStr">
        <is>
          <t>Switzerland</t>
        </is>
      </c>
      <c r="C1182" s="2" t="inlineStr">
        <is>
          <t>Christian Fassnacht</t>
        </is>
      </c>
      <c r="D1182" s="2" t="inlineStr">
        <is>
          <t>Médio</t>
        </is>
      </c>
      <c r="E1182" s="2" t="inlineStr">
        <is>
          <t>Young Boys</t>
        </is>
      </c>
      <c r="F1182">
        <f>VLOOKUP(E1182,Clubes!B$2:D$438,2)</f>
        <v/>
      </c>
      <c r="G1182">
        <f>VLOOKUP(E1182,Clubes!B$2:D$438,3)</f>
        <v/>
      </c>
      <c r="H1182" s="2" t="n">
        <v>38</v>
      </c>
      <c r="J1182">
        <f>I1182/H1182</f>
        <v/>
      </c>
      <c r="K1182">
        <f>H1182*90</f>
        <v/>
      </c>
      <c r="M1182">
        <f>L1182/K1182</f>
        <v/>
      </c>
    </row>
    <row r="1183">
      <c r="A1183" s="1" t="n">
        <v>1207</v>
      </c>
      <c r="B1183" s="2" t="inlineStr">
        <is>
          <t>Switzerland</t>
        </is>
      </c>
      <c r="C1183" s="2" t="inlineStr">
        <is>
          <t>Michel Aebischer</t>
        </is>
      </c>
      <c r="D1183" s="2" t="inlineStr">
        <is>
          <t>Médio</t>
        </is>
      </c>
      <c r="E1183" s="2" t="inlineStr">
        <is>
          <t>Pisa</t>
        </is>
      </c>
      <c r="F1183">
        <f>VLOOKUP(E1183,Clubes!B$2:D$438,2)</f>
        <v/>
      </c>
      <c r="G1183">
        <f>VLOOKUP(E1183,Clubes!B$2:D$438,3)</f>
        <v/>
      </c>
      <c r="H1183" s="2" t="n">
        <v>38</v>
      </c>
      <c r="J1183">
        <f>I1183/H1183</f>
        <v/>
      </c>
      <c r="K1183">
        <f>H1183*90</f>
        <v/>
      </c>
      <c r="M1183">
        <f>L1183/K1183</f>
        <v/>
      </c>
    </row>
    <row r="1184">
      <c r="A1184" s="1" t="n">
        <v>1208</v>
      </c>
      <c r="B1184" s="2" t="inlineStr">
        <is>
          <t>Switzerland</t>
        </is>
      </c>
      <c r="C1184" s="2" t="inlineStr">
        <is>
          <t>Fabian Rieder</t>
        </is>
      </c>
      <c r="D1184" s="2" t="inlineStr">
        <is>
          <t>Médio</t>
        </is>
      </c>
      <c r="E1184" s="2" t="inlineStr">
        <is>
          <t>FC Augsburg</t>
        </is>
      </c>
      <c r="F1184">
        <f>VLOOKUP(E1184,Clubes!B$2:D$438,2)</f>
        <v/>
      </c>
      <c r="G1184">
        <f>VLOOKUP(E1184,Clubes!B$2:D$438,3)</f>
        <v/>
      </c>
      <c r="H1184" s="2" t="n">
        <v>34</v>
      </c>
      <c r="J1184">
        <f>I1184/H1184</f>
        <v/>
      </c>
      <c r="K1184">
        <f>H1184*90</f>
        <v/>
      </c>
      <c r="M1184">
        <f>L1184/K1184</f>
        <v/>
      </c>
    </row>
    <row r="1185">
      <c r="A1185" s="1" t="n">
        <v>1209</v>
      </c>
      <c r="B1185" s="2" t="inlineStr">
        <is>
          <t>Switzerland</t>
        </is>
      </c>
      <c r="C1185" s="2" t="inlineStr">
        <is>
          <t>Breel Embolo</t>
        </is>
      </c>
      <c r="D1185" s="2" t="inlineStr">
        <is>
          <t>Avançado</t>
        </is>
      </c>
      <c r="E1185" s="2" t="inlineStr">
        <is>
          <t>Rennes</t>
        </is>
      </c>
      <c r="F1185">
        <f>VLOOKUP(E1185,Clubes!B$2:D$438,2)</f>
        <v/>
      </c>
      <c r="G1185">
        <f>VLOOKUP(E1185,Clubes!B$2:D$438,3)</f>
        <v/>
      </c>
      <c r="H1185" s="2" t="n">
        <v>34</v>
      </c>
      <c r="J1185">
        <f>I1185/H1185</f>
        <v/>
      </c>
      <c r="K1185">
        <f>H1185*90</f>
        <v/>
      </c>
      <c r="M1185">
        <f>L1185/K1185</f>
        <v/>
      </c>
    </row>
    <row r="1186">
      <c r="A1186" s="1" t="n">
        <v>1210</v>
      </c>
      <c r="B1186" s="2" t="inlineStr">
        <is>
          <t>Switzerland</t>
        </is>
      </c>
      <c r="C1186" s="2" t="inlineStr">
        <is>
          <t>Dan Ndoye</t>
        </is>
      </c>
      <c r="D1186" s="2" t="inlineStr">
        <is>
          <t>Avançado</t>
        </is>
      </c>
      <c r="E1186" s="2" t="inlineStr">
        <is>
          <t>Nottingham Forest</t>
        </is>
      </c>
      <c r="F1186">
        <f>VLOOKUP(E1186,Clubes!B$2:D$438,2)</f>
        <v/>
      </c>
      <c r="G1186">
        <f>VLOOKUP(E1186,Clubes!B$2:D$438,3)</f>
        <v/>
      </c>
      <c r="H1186" s="2" t="n">
        <v>38</v>
      </c>
      <c r="J1186">
        <f>I1186/H1186</f>
        <v/>
      </c>
      <c r="K1186">
        <f>H1186*90</f>
        <v/>
      </c>
      <c r="M1186">
        <f>L1186/K1186</f>
        <v/>
      </c>
    </row>
    <row r="1187">
      <c r="A1187" s="1" t="n">
        <v>1211</v>
      </c>
      <c r="B1187" s="2" t="inlineStr">
        <is>
          <t>Switzerland</t>
        </is>
      </c>
      <c r="C1187" s="2" t="inlineStr">
        <is>
          <t>Rubén Vargas</t>
        </is>
      </c>
      <c r="D1187" s="2" t="inlineStr">
        <is>
          <t>Avançado</t>
        </is>
      </c>
      <c r="E1187" s="2" t="inlineStr">
        <is>
          <t>Sevilla</t>
        </is>
      </c>
      <c r="F1187">
        <f>VLOOKUP(E1187,Clubes!B$2:D$438,2)</f>
        <v/>
      </c>
      <c r="G1187">
        <f>VLOOKUP(E1187,Clubes!B$2:D$438,3)</f>
        <v/>
      </c>
      <c r="H1187" s="2" t="n">
        <v>38</v>
      </c>
      <c r="J1187">
        <f>I1187/H1187</f>
        <v/>
      </c>
      <c r="K1187">
        <f>H1187*90</f>
        <v/>
      </c>
      <c r="M1187">
        <f>L1187/K1187</f>
        <v/>
      </c>
    </row>
    <row r="1188">
      <c r="A1188" s="1" t="n">
        <v>1212</v>
      </c>
      <c r="B1188" s="2" t="inlineStr">
        <is>
          <t>Switzerland</t>
        </is>
      </c>
      <c r="C1188" s="2" t="inlineStr">
        <is>
          <t>Noah Okafor</t>
        </is>
      </c>
      <c r="D1188" s="2" t="inlineStr">
        <is>
          <t>Avançado</t>
        </is>
      </c>
      <c r="E1188" s="2" t="inlineStr">
        <is>
          <t>Leeds United</t>
        </is>
      </c>
      <c r="F1188">
        <f>VLOOKUP(E1188,Clubes!B$2:D$438,2)</f>
        <v/>
      </c>
      <c r="G1188">
        <f>VLOOKUP(E1188,Clubes!B$2:D$438,3)</f>
        <v/>
      </c>
      <c r="H1188" s="2" t="n">
        <v>38</v>
      </c>
      <c r="J1188">
        <f>I1188/H1188</f>
        <v/>
      </c>
      <c r="K1188">
        <f>H1188*90</f>
        <v/>
      </c>
      <c r="M1188">
        <f>L1188/K1188</f>
        <v/>
      </c>
    </row>
    <row r="1189">
      <c r="A1189" s="1" t="n">
        <v>1213</v>
      </c>
      <c r="B1189" s="2" t="inlineStr">
        <is>
          <t>Switzerland</t>
        </is>
      </c>
      <c r="C1189" s="2" t="inlineStr">
        <is>
          <t>Zeki Amdouni</t>
        </is>
      </c>
      <c r="D1189" s="2" t="inlineStr">
        <is>
          <t>Avançado</t>
        </is>
      </c>
      <c r="E1189" s="2" t="inlineStr">
        <is>
          <t>Burnley</t>
        </is>
      </c>
      <c r="F1189">
        <f>VLOOKUP(E1189,Clubes!B$2:D$438,2)</f>
        <v/>
      </c>
      <c r="G1189">
        <f>VLOOKUP(E1189,Clubes!B$2:D$438,3)</f>
        <v/>
      </c>
      <c r="H1189" s="2" t="n">
        <v>38</v>
      </c>
      <c r="J1189">
        <f>I1189/H1189</f>
        <v/>
      </c>
      <c r="K1189">
        <f>H1189*90</f>
        <v/>
      </c>
      <c r="M1189">
        <f>L1189/K1189</f>
        <v/>
      </c>
    </row>
    <row r="1190">
      <c r="A1190" s="1" t="n">
        <v>1214</v>
      </c>
      <c r="B1190" s="2" t="inlineStr">
        <is>
          <t>Switzerland</t>
        </is>
      </c>
      <c r="C1190" s="2" t="inlineStr">
        <is>
          <t>Cedric Itten</t>
        </is>
      </c>
      <c r="D1190" s="2" t="inlineStr">
        <is>
          <t>Avançado</t>
        </is>
      </c>
      <c r="E1190" s="2" t="inlineStr">
        <is>
          <t>Fortuna Düsseldorf</t>
        </is>
      </c>
      <c r="F1190">
        <f>VLOOKUP(E1190,Clubes!B$2:D$438,2)</f>
        <v/>
      </c>
      <c r="G1190">
        <f>VLOOKUP(E1190,Clubes!B$2:D$438,3)</f>
        <v/>
      </c>
      <c r="H1190" s="2" t="n">
        <v>34</v>
      </c>
      <c r="J1190">
        <f>I1190/H1190</f>
        <v/>
      </c>
      <c r="K1190">
        <f>H1190*90</f>
        <v/>
      </c>
      <c r="M1190">
        <f>L1190/K1190</f>
        <v/>
      </c>
    </row>
    <row r="1191">
      <c r="A1191" s="1" t="n">
        <v>1215</v>
      </c>
      <c r="B1191" s="2" t="inlineStr">
        <is>
          <t>Tunisia</t>
        </is>
      </c>
      <c r="C1191" s="2" t="inlineStr">
        <is>
          <t>Abdelmouhib Chamakh</t>
        </is>
      </c>
      <c r="D1191" s="2" t="inlineStr">
        <is>
          <t>Guarda Redes</t>
        </is>
      </c>
      <c r="E1191" s="2" t="inlineStr">
        <is>
          <t>Club Africain</t>
        </is>
      </c>
      <c r="F1191">
        <f>VLOOKUP(E1191,Clubes!B$2:D$438,2)</f>
        <v/>
      </c>
      <c r="G1191">
        <f>VLOOKUP(E1191,Clubes!B$2:D$438,3)</f>
        <v/>
      </c>
      <c r="H1191" s="2" t="n">
        <v>30</v>
      </c>
      <c r="J1191">
        <f>I1191/H1191</f>
        <v/>
      </c>
      <c r="K1191">
        <f>H1191*90</f>
        <v/>
      </c>
      <c r="M1191">
        <f>L1191/K1191</f>
        <v/>
      </c>
    </row>
    <row r="1192">
      <c r="A1192" s="1" t="n">
        <v>1216</v>
      </c>
      <c r="B1192" s="2" t="inlineStr">
        <is>
          <t>Tunisia</t>
        </is>
      </c>
      <c r="C1192" s="2" t="inlineStr">
        <is>
          <t>Aymen Dahmen</t>
        </is>
      </c>
      <c r="D1192" s="2" t="inlineStr">
        <is>
          <t>Guarda Redes</t>
        </is>
      </c>
      <c r="E1192" s="2" t="inlineStr">
        <is>
          <t>CS Sfaxien</t>
        </is>
      </c>
      <c r="F1192">
        <f>VLOOKUP(E1192,Clubes!B$2:D$438,2)</f>
        <v/>
      </c>
      <c r="G1192">
        <f>VLOOKUP(E1192,Clubes!B$2:D$438,3)</f>
        <v/>
      </c>
      <c r="H1192" s="2" t="n">
        <v>38</v>
      </c>
      <c r="J1192">
        <f>I1192/H1192</f>
        <v/>
      </c>
      <c r="K1192">
        <f>H1192*90</f>
        <v/>
      </c>
      <c r="M1192">
        <f>L1192/K1192</f>
        <v/>
      </c>
    </row>
    <row r="1193">
      <c r="A1193" s="1" t="n">
        <v>1217</v>
      </c>
      <c r="B1193" s="2" t="inlineStr">
        <is>
          <t>Tunisia</t>
        </is>
      </c>
      <c r="C1193" s="2" t="inlineStr">
        <is>
          <t>Sabri Ben Hessen</t>
        </is>
      </c>
      <c r="D1193" s="2" t="inlineStr">
        <is>
          <t>Guarda Redes</t>
        </is>
      </c>
      <c r="E1193" s="2" t="inlineStr">
        <is>
          <t>Étoile du Sahel</t>
        </is>
      </c>
      <c r="F1193">
        <f>VLOOKUP(E1193,Clubes!B$2:D$438,2)</f>
        <v/>
      </c>
      <c r="G1193">
        <f>VLOOKUP(E1193,Clubes!B$2:D$438,3)</f>
        <v/>
      </c>
      <c r="H1193" s="2" t="n">
        <v>32</v>
      </c>
      <c r="J1193">
        <f>I1193/H1193</f>
        <v/>
      </c>
      <c r="K1193">
        <f>H1193*90</f>
        <v/>
      </c>
      <c r="M1193">
        <f>L1193/K1193</f>
        <v/>
      </c>
    </row>
    <row r="1194">
      <c r="A1194" s="1" t="n">
        <v>1218</v>
      </c>
      <c r="B1194" s="2" t="inlineStr">
        <is>
          <t>Tunisia</t>
        </is>
      </c>
      <c r="C1194" s="2" t="inlineStr">
        <is>
          <t>Yan Valery</t>
        </is>
      </c>
      <c r="D1194" s="2" t="inlineStr">
        <is>
          <t>Defesa</t>
        </is>
      </c>
      <c r="E1194" s="2" t="inlineStr">
        <is>
          <t>Young Boys</t>
        </is>
      </c>
      <c r="F1194">
        <f>VLOOKUP(E1194,Clubes!B$2:D$438,2)</f>
        <v/>
      </c>
      <c r="G1194">
        <f>VLOOKUP(E1194,Clubes!B$2:D$438,3)</f>
        <v/>
      </c>
      <c r="H1194" s="2" t="n">
        <v>38</v>
      </c>
      <c r="J1194">
        <f>I1194/H1194</f>
        <v/>
      </c>
      <c r="K1194">
        <f>H1194*90</f>
        <v/>
      </c>
      <c r="M1194">
        <f>L1194/K1194</f>
        <v/>
      </c>
    </row>
    <row r="1195">
      <c r="A1195" s="1" t="n">
        <v>1219</v>
      </c>
      <c r="B1195" s="2" t="inlineStr">
        <is>
          <t>Tunisia</t>
        </is>
      </c>
      <c r="C1195" s="2" t="inlineStr">
        <is>
          <t>Moutaz Neffati</t>
        </is>
      </c>
      <c r="D1195" s="2" t="inlineStr">
        <is>
          <t>Defesa</t>
        </is>
      </c>
      <c r="E1195" s="2" t="inlineStr">
        <is>
          <t>IFK Norrköping</t>
        </is>
      </c>
      <c r="F1195">
        <f>VLOOKUP(E1195,Clubes!B$2:D$438,2)</f>
        <v/>
      </c>
      <c r="G1195">
        <f>VLOOKUP(E1195,Clubes!B$2:D$438,3)</f>
        <v/>
      </c>
      <c r="H1195" s="2" t="n">
        <v>30</v>
      </c>
      <c r="J1195">
        <f>I1195/H1195</f>
        <v/>
      </c>
      <c r="K1195">
        <f>H1195*90</f>
        <v/>
      </c>
      <c r="M1195">
        <f>L1195/K1195</f>
        <v/>
      </c>
    </row>
    <row r="1196">
      <c r="A1196" s="1" t="n">
        <v>1220</v>
      </c>
      <c r="B1196" s="2" t="inlineStr">
        <is>
          <t>Tunisia</t>
        </is>
      </c>
      <c r="C1196" s="2" t="inlineStr">
        <is>
          <t>Montassar Talbi</t>
        </is>
      </c>
      <c r="D1196" s="2" t="inlineStr">
        <is>
          <t>Defesa</t>
        </is>
      </c>
      <c r="E1196" s="2" t="inlineStr">
        <is>
          <t>FC Lorient</t>
        </is>
      </c>
      <c r="F1196">
        <f>VLOOKUP(E1196,Clubes!B$2:D$438,2)</f>
        <v/>
      </c>
      <c r="G1196">
        <f>VLOOKUP(E1196,Clubes!B$2:D$438,3)</f>
        <v/>
      </c>
      <c r="H1196" s="2" t="n">
        <v>34</v>
      </c>
      <c r="J1196">
        <f>I1196/H1196</f>
        <v/>
      </c>
      <c r="K1196">
        <f>H1196*90</f>
        <v/>
      </c>
      <c r="M1196">
        <f>L1196/K1196</f>
        <v/>
      </c>
    </row>
    <row r="1197">
      <c r="A1197" s="1" t="n">
        <v>1221</v>
      </c>
      <c r="B1197" s="2" t="inlineStr">
        <is>
          <t>Tunisia</t>
        </is>
      </c>
      <c r="C1197" s="2" t="inlineStr">
        <is>
          <t>Omar Rekik</t>
        </is>
      </c>
      <c r="D1197" s="2" t="inlineStr">
        <is>
          <t>Defesa</t>
        </is>
      </c>
      <c r="E1197" s="2" t="inlineStr">
        <is>
          <t>Maribor</t>
        </is>
      </c>
      <c r="F1197">
        <f>VLOOKUP(E1197,Clubes!B$2:D$438,2)</f>
        <v/>
      </c>
      <c r="G1197">
        <f>VLOOKUP(E1197,Clubes!B$2:D$438,3)</f>
        <v/>
      </c>
      <c r="H1197" s="2" t="n">
        <v>36</v>
      </c>
      <c r="J1197">
        <f>I1197/H1197</f>
        <v/>
      </c>
      <c r="K1197">
        <f>H1197*90</f>
        <v/>
      </c>
      <c r="M1197">
        <f>L1197/K1197</f>
        <v/>
      </c>
    </row>
    <row r="1198">
      <c r="A1198" s="1" t="n">
        <v>1222</v>
      </c>
      <c r="B1198" s="2" t="inlineStr">
        <is>
          <t>Tunisia</t>
        </is>
      </c>
      <c r="C1198" s="2" t="inlineStr">
        <is>
          <t>Adem Arous</t>
        </is>
      </c>
      <c r="D1198" s="2" t="inlineStr">
        <is>
          <t>Defesa</t>
        </is>
      </c>
      <c r="E1198" s="2" t="inlineStr">
        <is>
          <t>Kasimpasa</t>
        </is>
      </c>
      <c r="F1198">
        <f>VLOOKUP(E1198,Clubes!B$2:D$438,2)</f>
        <v/>
      </c>
      <c r="G1198">
        <f>VLOOKUP(E1198,Clubes!B$2:D$438,3)</f>
        <v/>
      </c>
      <c r="H1198" s="2" t="n">
        <v>34</v>
      </c>
      <c r="J1198">
        <f>I1198/H1198</f>
        <v/>
      </c>
      <c r="K1198">
        <f>H1198*90</f>
        <v/>
      </c>
      <c r="M1198">
        <f>L1198/K1198</f>
        <v/>
      </c>
    </row>
    <row r="1199">
      <c r="A1199" s="1" t="n">
        <v>1223</v>
      </c>
      <c r="B1199" s="2" t="inlineStr">
        <is>
          <t>Tunisia</t>
        </is>
      </c>
      <c r="C1199" s="2" t="inlineStr">
        <is>
          <t>Dylan Bronn</t>
        </is>
      </c>
      <c r="D1199" s="2" t="inlineStr">
        <is>
          <t>Defesa</t>
        </is>
      </c>
      <c r="E1199" s="2" t="inlineStr">
        <is>
          <t>Servette</t>
        </is>
      </c>
      <c r="F1199">
        <f>VLOOKUP(E1199,Clubes!B$2:D$438,2)</f>
        <v/>
      </c>
      <c r="G1199">
        <f>VLOOKUP(E1199,Clubes!B$2:D$438,3)</f>
        <v/>
      </c>
      <c r="H1199" s="2" t="n">
        <v>38</v>
      </c>
      <c r="J1199">
        <f>I1199/H1199</f>
        <v/>
      </c>
      <c r="K1199">
        <f>H1199*90</f>
        <v/>
      </c>
      <c r="M1199">
        <f>L1199/K1199</f>
        <v/>
      </c>
    </row>
    <row r="1200">
      <c r="A1200" s="1" t="n">
        <v>1224</v>
      </c>
      <c r="B1200" s="2" t="inlineStr">
        <is>
          <t>Tunisia</t>
        </is>
      </c>
      <c r="C1200" s="2" t="inlineStr">
        <is>
          <t>Raed Chikhaoui</t>
        </is>
      </c>
      <c r="D1200" s="2" t="inlineStr">
        <is>
          <t>Defesa</t>
        </is>
      </c>
      <c r="E1200" s="2" t="inlineStr">
        <is>
          <t>US Monastirienne</t>
        </is>
      </c>
      <c r="F1200">
        <f>VLOOKUP(E1200,Clubes!B$2:D$438,2)</f>
        <v/>
      </c>
      <c r="G1200">
        <f>VLOOKUP(E1200,Clubes!B$2:D$438,3)</f>
        <v/>
      </c>
      <c r="H1200" s="2" t="n">
        <v>30</v>
      </c>
      <c r="J1200">
        <f>I1200/H1200</f>
        <v/>
      </c>
      <c r="K1200">
        <f>H1200*90</f>
        <v/>
      </c>
      <c r="M1200">
        <f>L1200/K1200</f>
        <v/>
      </c>
    </row>
    <row r="1201">
      <c r="A1201" s="1" t="n">
        <v>1225</v>
      </c>
      <c r="B1201" s="2" t="inlineStr">
        <is>
          <t>Tunisia</t>
        </is>
      </c>
      <c r="C1201" s="2" t="inlineStr">
        <is>
          <t>Ali Abdi</t>
        </is>
      </c>
      <c r="D1201" s="2" t="inlineStr">
        <is>
          <t>Defesa</t>
        </is>
      </c>
      <c r="E1201" s="2" t="inlineStr">
        <is>
          <t>Nice</t>
        </is>
      </c>
      <c r="F1201">
        <f>VLOOKUP(E1201,Clubes!B$2:D$438,2)</f>
        <v/>
      </c>
      <c r="G1201">
        <f>VLOOKUP(E1201,Clubes!B$2:D$438,3)</f>
        <v/>
      </c>
      <c r="H1201" s="2" t="n">
        <v>34</v>
      </c>
      <c r="J1201">
        <f>I1201/H1201</f>
        <v/>
      </c>
      <c r="K1201">
        <f>H1201*90</f>
        <v/>
      </c>
      <c r="M1201">
        <f>L1201/K1201</f>
        <v/>
      </c>
    </row>
    <row r="1202">
      <c r="A1202" s="1" t="n">
        <v>1226</v>
      </c>
      <c r="B1202" s="2" t="inlineStr">
        <is>
          <t>Tunisia</t>
        </is>
      </c>
      <c r="C1202" s="2" t="inlineStr">
        <is>
          <t>Mohamed Ben Hamida</t>
        </is>
      </c>
      <c r="D1202" s="2" t="inlineStr">
        <is>
          <t>Defesa</t>
        </is>
      </c>
      <c r="E1202" s="2" t="inlineStr">
        <is>
          <t>Espérance de Tunis</t>
        </is>
      </c>
      <c r="F1202">
        <f>VLOOKUP(E1202,Clubes!B$2:D$438,2)</f>
        <v/>
      </c>
      <c r="G1202">
        <f>VLOOKUP(E1202,Clubes!B$2:D$438,3)</f>
        <v/>
      </c>
      <c r="H1202" s="2" t="n">
        <v>30</v>
      </c>
      <c r="J1202">
        <f>I1202/H1202</f>
        <v/>
      </c>
      <c r="K1202">
        <f>H1202*90</f>
        <v/>
      </c>
      <c r="M1202">
        <f>L1202/K1202</f>
        <v/>
      </c>
    </row>
    <row r="1203">
      <c r="A1203" s="1" t="n">
        <v>1227</v>
      </c>
      <c r="B1203" s="2" t="inlineStr">
        <is>
          <t>Tunisia</t>
        </is>
      </c>
      <c r="C1203" s="2" t="inlineStr">
        <is>
          <t>Rani Khedira</t>
        </is>
      </c>
      <c r="D1203" s="2" t="inlineStr">
        <is>
          <t>Médio</t>
        </is>
      </c>
      <c r="E1203" s="2" t="inlineStr">
        <is>
          <t>1. FC Union Berlin</t>
        </is>
      </c>
      <c r="F1203">
        <f>VLOOKUP(E1203,Clubes!B$2:D$438,2)</f>
        <v/>
      </c>
      <c r="G1203">
        <f>VLOOKUP(E1203,Clubes!B$2:D$438,3)</f>
        <v/>
      </c>
      <c r="H1203" s="2" t="n">
        <v>34</v>
      </c>
      <c r="J1203">
        <f>I1203/H1203</f>
        <v/>
      </c>
      <c r="K1203">
        <f>H1203*90</f>
        <v/>
      </c>
      <c r="M1203">
        <f>L1203/K1203</f>
        <v/>
      </c>
    </row>
    <row r="1204">
      <c r="A1204" s="1" t="n">
        <v>1228</v>
      </c>
      <c r="B1204" s="2" t="inlineStr">
        <is>
          <t>Tunisia</t>
        </is>
      </c>
      <c r="C1204" s="2" t="inlineStr">
        <is>
          <t>Hannibal Mejbri</t>
        </is>
      </c>
      <c r="D1204" s="2" t="inlineStr">
        <is>
          <t>Médio</t>
        </is>
      </c>
      <c r="E1204" s="2" t="inlineStr">
        <is>
          <t>Burnley</t>
        </is>
      </c>
      <c r="F1204">
        <f>VLOOKUP(E1204,Clubes!B$2:D$438,2)</f>
        <v/>
      </c>
      <c r="G1204">
        <f>VLOOKUP(E1204,Clubes!B$2:D$438,3)</f>
        <v/>
      </c>
      <c r="H1204" s="2" t="n">
        <v>38</v>
      </c>
      <c r="J1204">
        <f>I1204/H1204</f>
        <v/>
      </c>
      <c r="K1204">
        <f>H1204*90</f>
        <v/>
      </c>
      <c r="M1204">
        <f>L1204/K1204</f>
        <v/>
      </c>
    </row>
    <row r="1205">
      <c r="A1205" s="1" t="n">
        <v>1229</v>
      </c>
      <c r="B1205" s="2" t="inlineStr">
        <is>
          <t>Tunisia</t>
        </is>
      </c>
      <c r="C1205" s="2" t="inlineStr">
        <is>
          <t>Hadj Mahmoud</t>
        </is>
      </c>
      <c r="D1205" s="2" t="inlineStr">
        <is>
          <t>Médio</t>
        </is>
      </c>
      <c r="E1205" s="2" t="inlineStr">
        <is>
          <t>FC Lugano</t>
        </is>
      </c>
      <c r="F1205">
        <f>VLOOKUP(E1205,Clubes!B$2:D$438,2)</f>
        <v/>
      </c>
      <c r="G1205">
        <f>VLOOKUP(E1205,Clubes!B$2:D$438,3)</f>
        <v/>
      </c>
      <c r="H1205" s="2" t="n">
        <v>38</v>
      </c>
      <c r="J1205">
        <f>I1205/H1205</f>
        <v/>
      </c>
      <c r="K1205">
        <f>H1205*90</f>
        <v/>
      </c>
      <c r="M1205">
        <f>L1205/K1205</f>
        <v/>
      </c>
    </row>
    <row r="1206">
      <c r="A1206" s="1" t="n">
        <v>1230</v>
      </c>
      <c r="B1206" s="2" t="inlineStr">
        <is>
          <t>Tunisia</t>
        </is>
      </c>
      <c r="C1206" s="2" t="inlineStr">
        <is>
          <t>Ellyes Skhiri</t>
        </is>
      </c>
      <c r="D1206" s="2" t="inlineStr">
        <is>
          <t>Médio</t>
        </is>
      </c>
      <c r="E1206" s="2" t="inlineStr">
        <is>
          <t>Eintracht Frankfurt</t>
        </is>
      </c>
      <c r="F1206">
        <f>VLOOKUP(E1206,Clubes!B$2:D$438,2)</f>
        <v/>
      </c>
      <c r="G1206">
        <f>VLOOKUP(E1206,Clubes!B$2:D$438,3)</f>
        <v/>
      </c>
      <c r="H1206" s="2" t="n">
        <v>34</v>
      </c>
      <c r="J1206">
        <f>I1206/H1206</f>
        <v/>
      </c>
      <c r="K1206">
        <f>H1206*90</f>
        <v/>
      </c>
      <c r="M1206">
        <f>L1206/K1206</f>
        <v/>
      </c>
    </row>
    <row r="1207">
      <c r="A1207" s="1" t="n">
        <v>1231</v>
      </c>
      <c r="B1207" s="2" t="inlineStr">
        <is>
          <t>Tunisia</t>
        </is>
      </c>
      <c r="C1207" s="2" t="inlineStr">
        <is>
          <t>Anis Slimane</t>
        </is>
      </c>
      <c r="D1207" s="2" t="inlineStr">
        <is>
          <t>Médio</t>
        </is>
      </c>
      <c r="E1207" s="2" t="inlineStr">
        <is>
          <t>Norwich City</t>
        </is>
      </c>
      <c r="F1207">
        <f>VLOOKUP(E1207,Clubes!B$2:D$438,2)</f>
        <v/>
      </c>
      <c r="G1207">
        <f>VLOOKUP(E1207,Clubes!B$2:D$438,3)</f>
        <v/>
      </c>
      <c r="H1207" s="2" t="n">
        <v>46</v>
      </c>
      <c r="J1207">
        <f>I1207/H1207</f>
        <v/>
      </c>
      <c r="K1207">
        <f>H1207*90</f>
        <v/>
      </c>
      <c r="M1207">
        <f>L1207/K1207</f>
        <v/>
      </c>
    </row>
    <row r="1208">
      <c r="A1208" s="1" t="n">
        <v>1232</v>
      </c>
      <c r="B1208" s="2" t="inlineStr">
        <is>
          <t>Tunisia</t>
        </is>
      </c>
      <c r="C1208" s="2" t="inlineStr">
        <is>
          <t>Elias Achouri</t>
        </is>
      </c>
      <c r="D1208" s="2" t="inlineStr">
        <is>
          <t>Avançado</t>
        </is>
      </c>
      <c r="E1208" s="2" t="inlineStr">
        <is>
          <t>FC Kobenhavn</t>
        </is>
      </c>
      <c r="F1208">
        <f>VLOOKUP(E1208,Clubes!B$2:D$438,2)</f>
        <v/>
      </c>
      <c r="G1208">
        <f>VLOOKUP(E1208,Clubes!B$2:D$438,3)</f>
        <v/>
      </c>
      <c r="H1208" s="2" t="n">
        <v>32</v>
      </c>
      <c r="J1208">
        <f>I1208/H1208</f>
        <v/>
      </c>
      <c r="K1208">
        <f>H1208*90</f>
        <v/>
      </c>
      <c r="M1208">
        <f>L1208/K1208</f>
        <v/>
      </c>
    </row>
    <row r="1209">
      <c r="A1209" s="1" t="n">
        <v>1233</v>
      </c>
      <c r="B1209" s="2" t="inlineStr">
        <is>
          <t>Tunisia</t>
        </is>
      </c>
      <c r="C1209" s="2" t="inlineStr">
        <is>
          <t>Hazem Mastouri</t>
        </is>
      </c>
      <c r="D1209" s="2" t="inlineStr">
        <is>
          <t>Avançado</t>
        </is>
      </c>
      <c r="E1209" s="2" t="inlineStr">
        <is>
          <t>Dynamo Makhachkala</t>
        </is>
      </c>
      <c r="F1209">
        <f>VLOOKUP(E1209,Clubes!B$2:D$438,2)</f>
        <v/>
      </c>
      <c r="G1209">
        <f>VLOOKUP(E1209,Clubes!B$2:D$438,3)</f>
        <v/>
      </c>
      <c r="H1209" s="2" t="n">
        <v>30</v>
      </c>
      <c r="J1209">
        <f>I1209/H1209</f>
        <v/>
      </c>
      <c r="K1209">
        <f>H1209*90</f>
        <v/>
      </c>
      <c r="M1209">
        <f>L1209/K1209</f>
        <v/>
      </c>
    </row>
    <row r="1210">
      <c r="A1210" s="1" t="n">
        <v>1234</v>
      </c>
      <c r="B1210" s="2" t="inlineStr">
        <is>
          <t>Tunisia</t>
        </is>
      </c>
      <c r="C1210" s="2" t="inlineStr">
        <is>
          <t>Rayan Elloumi</t>
        </is>
      </c>
      <c r="D1210" s="2" t="inlineStr">
        <is>
          <t>Avançado</t>
        </is>
      </c>
      <c r="E1210" s="2" t="inlineStr">
        <is>
          <t>Vancouver Whitecaps</t>
        </is>
      </c>
      <c r="F1210">
        <f>VLOOKUP(E1210,Clubes!B$2:D$438,2)</f>
        <v/>
      </c>
      <c r="G1210">
        <f>VLOOKUP(E1210,Clubes!B$2:D$438,3)</f>
        <v/>
      </c>
      <c r="H1210" s="2" t="n">
        <v>34</v>
      </c>
      <c r="J1210">
        <f>I1210/H1210</f>
        <v/>
      </c>
      <c r="K1210">
        <f>H1210*90</f>
        <v/>
      </c>
      <c r="M1210">
        <f>L1210/K1210</f>
        <v/>
      </c>
    </row>
    <row r="1211">
      <c r="A1211" s="1" t="n">
        <v>1235</v>
      </c>
      <c r="B1211" s="2" t="inlineStr">
        <is>
          <t>Tunisia</t>
        </is>
      </c>
      <c r="C1211" s="2" t="inlineStr">
        <is>
          <t>Firas Chaouat</t>
        </is>
      </c>
      <c r="D1211" s="2" t="inlineStr">
        <is>
          <t>Avançado</t>
        </is>
      </c>
      <c r="E1211" s="2" t="inlineStr">
        <is>
          <t>Club Africain</t>
        </is>
      </c>
      <c r="F1211">
        <f>VLOOKUP(E1211,Clubes!B$2:D$438,2)</f>
        <v/>
      </c>
      <c r="G1211">
        <f>VLOOKUP(E1211,Clubes!B$2:D$438,3)</f>
        <v/>
      </c>
      <c r="H1211" s="2" t="n">
        <v>30</v>
      </c>
      <c r="J1211">
        <f>I1211/H1211</f>
        <v/>
      </c>
      <c r="K1211">
        <f>H1211*90</f>
        <v/>
      </c>
      <c r="M1211">
        <f>L1211/K1211</f>
        <v/>
      </c>
    </row>
    <row r="1212">
      <c r="A1212" s="1" t="n">
        <v>1236</v>
      </c>
      <c r="B1212" s="2" t="inlineStr">
        <is>
          <t>Tunisia</t>
        </is>
      </c>
      <c r="C1212" s="2" t="inlineStr">
        <is>
          <t>Elias Saad</t>
        </is>
      </c>
      <c r="D1212" s="2" t="inlineStr">
        <is>
          <t>Avançado</t>
        </is>
      </c>
      <c r="E1212" s="2" t="inlineStr">
        <is>
          <t>Hannover 96</t>
        </is>
      </c>
      <c r="F1212">
        <f>VLOOKUP(E1212,Clubes!B$2:D$438,2)</f>
        <v/>
      </c>
      <c r="G1212">
        <f>VLOOKUP(E1212,Clubes!B$2:D$438,3)</f>
        <v/>
      </c>
      <c r="H1212" s="2" t="n">
        <v>34</v>
      </c>
      <c r="J1212">
        <f>I1212/H1212</f>
        <v/>
      </c>
      <c r="K1212">
        <f>H1212*90</f>
        <v/>
      </c>
      <c r="M1212">
        <f>L1212/K1212</f>
        <v/>
      </c>
    </row>
    <row r="1213">
      <c r="A1213" s="1" t="n">
        <v>1237</v>
      </c>
      <c r="B1213" s="2" t="inlineStr">
        <is>
          <t>Tunisia</t>
        </is>
      </c>
      <c r="C1213" s="2" t="inlineStr">
        <is>
          <t>Ismaël Gharbi</t>
        </is>
      </c>
      <c r="D1213" s="2" t="inlineStr">
        <is>
          <t>Avançado</t>
        </is>
      </c>
      <c r="E1213" s="2" t="inlineStr">
        <is>
          <t>FC Augsburg</t>
        </is>
      </c>
      <c r="F1213">
        <f>VLOOKUP(E1213,Clubes!B$2:D$438,2)</f>
        <v/>
      </c>
      <c r="G1213">
        <f>VLOOKUP(E1213,Clubes!B$2:D$438,3)</f>
        <v/>
      </c>
      <c r="H1213" s="2" t="n">
        <v>34</v>
      </c>
      <c r="J1213">
        <f>I1213/H1213</f>
        <v/>
      </c>
      <c r="K1213">
        <f>H1213*90</f>
        <v/>
      </c>
      <c r="M1213">
        <f>L1213/K1213</f>
        <v/>
      </c>
    </row>
    <row r="1214">
      <c r="A1214" s="1" t="n">
        <v>1238</v>
      </c>
      <c r="B1214" s="2" t="inlineStr">
        <is>
          <t>Tunisia</t>
        </is>
      </c>
      <c r="C1214" s="2" t="inlineStr">
        <is>
          <t>Mortadha Ben Ouanes</t>
        </is>
      </c>
      <c r="D1214" s="2" t="inlineStr">
        <is>
          <t>Avançado</t>
        </is>
      </c>
      <c r="E1214" s="2" t="inlineStr">
        <is>
          <t>Kasimpasa</t>
        </is>
      </c>
      <c r="F1214">
        <f>VLOOKUP(E1214,Clubes!B$2:D$438,2)</f>
        <v/>
      </c>
      <c r="G1214">
        <f>VLOOKUP(E1214,Clubes!B$2:D$438,3)</f>
        <v/>
      </c>
      <c r="H1214" s="2" t="n">
        <v>34</v>
      </c>
      <c r="J1214">
        <f>I1214/H1214</f>
        <v/>
      </c>
      <c r="K1214">
        <f>H1214*90</f>
        <v/>
      </c>
      <c r="M1214">
        <f>L1214/K1214</f>
        <v/>
      </c>
    </row>
    <row r="1215">
      <c r="A1215" s="1" t="n">
        <v>1239</v>
      </c>
      <c r="B1215" s="2" t="inlineStr">
        <is>
          <t>Tunisia</t>
        </is>
      </c>
      <c r="C1215" s="2" t="inlineStr">
        <is>
          <t>Khalil Ayari</t>
        </is>
      </c>
      <c r="D1215" s="2" t="inlineStr">
        <is>
          <t>Avançado</t>
        </is>
      </c>
      <c r="E1215" s="2" t="inlineStr">
        <is>
          <t>PSG</t>
        </is>
      </c>
      <c r="F1215">
        <f>VLOOKUP(E1215,Clubes!B$2:D$438,2)</f>
        <v/>
      </c>
      <c r="G1215">
        <f>VLOOKUP(E1215,Clubes!B$2:D$438,3)</f>
        <v/>
      </c>
      <c r="H1215" s="2" t="n">
        <v>46</v>
      </c>
      <c r="J1215">
        <f>I1215/H1215</f>
        <v/>
      </c>
      <c r="K1215">
        <f>H1215*90</f>
        <v/>
      </c>
      <c r="M1215">
        <f>L1215/K1215</f>
        <v/>
      </c>
    </row>
    <row r="1216">
      <c r="A1216" s="1" t="n">
        <v>1240</v>
      </c>
      <c r="B1216" s="2" t="inlineStr">
        <is>
          <t>Tunisia</t>
        </is>
      </c>
      <c r="C1216" s="2" t="inlineStr">
        <is>
          <t>Sebastian Tounekti</t>
        </is>
      </c>
      <c r="D1216" s="2" t="inlineStr">
        <is>
          <t>Avançado</t>
        </is>
      </c>
      <c r="E1216" s="2" t="inlineStr">
        <is>
          <t>Celtic</t>
        </is>
      </c>
      <c r="F1216">
        <f>VLOOKUP(E1216,Clubes!B$2:D$438,2)</f>
        <v/>
      </c>
      <c r="G1216">
        <f>VLOOKUP(E1216,Clubes!B$2:D$438,3)</f>
        <v/>
      </c>
      <c r="H1216" s="2" t="n">
        <v>38</v>
      </c>
      <c r="J1216">
        <f>I1216/H1216</f>
        <v/>
      </c>
      <c r="K1216">
        <f>H1216*90</f>
        <v/>
      </c>
      <c r="M1216">
        <f>L1216/K1216</f>
        <v/>
      </c>
    </row>
    <row r="1217">
      <c r="A1217" s="1" t="n">
        <v>1241</v>
      </c>
      <c r="B1217" s="2" t="inlineStr">
        <is>
          <t>Turkey</t>
        </is>
      </c>
      <c r="C1217" s="2" t="inlineStr">
        <is>
          <t>Mert Gunok</t>
        </is>
      </c>
      <c r="D1217" s="2" t="inlineStr">
        <is>
          <t>Guarda Redes</t>
        </is>
      </c>
      <c r="E1217" s="2" t="inlineStr">
        <is>
          <t>Fenerbahçe</t>
        </is>
      </c>
      <c r="F1217">
        <f>VLOOKUP(E1217,Clubes!B$2:D$438,2)</f>
        <v/>
      </c>
      <c r="G1217">
        <f>VLOOKUP(E1217,Clubes!B$2:D$438,3)</f>
        <v/>
      </c>
      <c r="H1217" s="2" t="n">
        <v>40</v>
      </c>
      <c r="J1217">
        <f>I1217/H1217</f>
        <v/>
      </c>
      <c r="K1217">
        <f>H1217*90</f>
        <v/>
      </c>
      <c r="M1217">
        <f>L1217/K1217</f>
        <v/>
      </c>
    </row>
    <row r="1218">
      <c r="A1218" s="1" t="n">
        <v>1242</v>
      </c>
      <c r="B1218" s="2" t="inlineStr">
        <is>
          <t>Turkey</t>
        </is>
      </c>
      <c r="C1218" s="2" t="inlineStr">
        <is>
          <t>Altay Bayindir</t>
        </is>
      </c>
      <c r="D1218" s="2" t="inlineStr">
        <is>
          <t>Guarda Redes</t>
        </is>
      </c>
      <c r="E1218" s="2" t="inlineStr">
        <is>
          <t>Manchester United</t>
        </is>
      </c>
      <c r="F1218">
        <f>VLOOKUP(E1218,Clubes!B$2:D$438,2)</f>
        <v/>
      </c>
      <c r="G1218">
        <f>VLOOKUP(E1218,Clubes!B$2:D$438,3)</f>
        <v/>
      </c>
      <c r="H1218" s="2" t="n">
        <v>38</v>
      </c>
      <c r="J1218">
        <f>I1218/H1218</f>
        <v/>
      </c>
      <c r="K1218">
        <f>H1218*90</f>
        <v/>
      </c>
      <c r="M1218">
        <f>L1218/K1218</f>
        <v/>
      </c>
    </row>
    <row r="1219">
      <c r="A1219" s="1" t="n">
        <v>1243</v>
      </c>
      <c r="B1219" s="2" t="inlineStr">
        <is>
          <t>Turkey</t>
        </is>
      </c>
      <c r="C1219" s="2" t="inlineStr">
        <is>
          <t>Uğurcan Çakır</t>
        </is>
      </c>
      <c r="D1219" s="2" t="inlineStr">
        <is>
          <t>Guarda Redes</t>
        </is>
      </c>
      <c r="E1219" s="2" t="inlineStr">
        <is>
          <t>Galatasaray</t>
        </is>
      </c>
      <c r="F1219">
        <f>VLOOKUP(E1219,Clubes!B$2:D$438,2)</f>
        <v/>
      </c>
      <c r="G1219">
        <f>VLOOKUP(E1219,Clubes!B$2:D$438,3)</f>
        <v/>
      </c>
      <c r="H1219" s="2" t="n">
        <v>38</v>
      </c>
      <c r="J1219">
        <f>I1219/H1219</f>
        <v/>
      </c>
      <c r="K1219">
        <f>H1219*90</f>
        <v/>
      </c>
      <c r="M1219">
        <f>L1219/K1219</f>
        <v/>
      </c>
    </row>
    <row r="1220">
      <c r="A1220" s="1" t="n">
        <v>1244</v>
      </c>
      <c r="B1220" s="2" t="inlineStr">
        <is>
          <t>Turkey</t>
        </is>
      </c>
      <c r="C1220" s="2" t="inlineStr">
        <is>
          <t>Zeki Çelik</t>
        </is>
      </c>
      <c r="D1220" s="2" t="inlineStr">
        <is>
          <t>Defesa</t>
        </is>
      </c>
      <c r="E1220" s="2" t="inlineStr">
        <is>
          <t>Roma</t>
        </is>
      </c>
      <c r="F1220">
        <f>VLOOKUP(E1220,Clubes!B$2:D$438,2)</f>
        <v/>
      </c>
      <c r="G1220">
        <f>VLOOKUP(E1220,Clubes!B$2:D$438,3)</f>
        <v/>
      </c>
      <c r="H1220" s="2" t="n">
        <v>38</v>
      </c>
      <c r="J1220">
        <f>I1220/H1220</f>
        <v/>
      </c>
      <c r="K1220">
        <f>H1220*90</f>
        <v/>
      </c>
      <c r="M1220">
        <f>L1220/K1220</f>
        <v/>
      </c>
    </row>
    <row r="1221">
      <c r="A1221" s="1" t="n">
        <v>1245</v>
      </c>
      <c r="B1221" s="2" t="inlineStr">
        <is>
          <t>Turkey</t>
        </is>
      </c>
      <c r="C1221" s="2" t="inlineStr">
        <is>
          <t>Mert Muldur</t>
        </is>
      </c>
      <c r="D1221" s="2" t="inlineStr">
        <is>
          <t>Defesa</t>
        </is>
      </c>
      <c r="E1221" s="2" t="inlineStr">
        <is>
          <t>Fenerbahçe</t>
        </is>
      </c>
      <c r="F1221">
        <f>VLOOKUP(E1221,Clubes!B$2:D$438,2)</f>
        <v/>
      </c>
      <c r="G1221">
        <f>VLOOKUP(E1221,Clubes!B$2:D$438,3)</f>
        <v/>
      </c>
      <c r="H1221" s="2" t="n">
        <v>40</v>
      </c>
      <c r="J1221">
        <f>I1221/H1221</f>
        <v/>
      </c>
      <c r="K1221">
        <f>H1221*90</f>
        <v/>
      </c>
      <c r="M1221">
        <f>L1221/K1221</f>
        <v/>
      </c>
    </row>
    <row r="1222">
      <c r="A1222" s="1" t="n">
        <v>1246</v>
      </c>
      <c r="B1222" s="2" t="inlineStr">
        <is>
          <t>Turkey</t>
        </is>
      </c>
      <c r="C1222" s="2" t="inlineStr">
        <is>
          <t>Kaan Ayhan</t>
        </is>
      </c>
      <c r="D1222" s="2" t="inlineStr">
        <is>
          <t>Defesa</t>
        </is>
      </c>
      <c r="E1222" s="2" t="inlineStr">
        <is>
          <t>Galatasaray</t>
        </is>
      </c>
      <c r="F1222">
        <f>VLOOKUP(E1222,Clubes!B$2:D$438,2)</f>
        <v/>
      </c>
      <c r="G1222">
        <f>VLOOKUP(E1222,Clubes!B$2:D$438,3)</f>
        <v/>
      </c>
      <c r="H1222" s="2" t="n">
        <v>38</v>
      </c>
      <c r="J1222">
        <f>I1222/H1222</f>
        <v/>
      </c>
      <c r="K1222">
        <f>H1222*90</f>
        <v/>
      </c>
      <c r="M1222">
        <f>L1222/K1222</f>
        <v/>
      </c>
    </row>
    <row r="1223">
      <c r="A1223" s="1" t="n">
        <v>1247</v>
      </c>
      <c r="B1223" s="2" t="inlineStr">
        <is>
          <t>Turkey</t>
        </is>
      </c>
      <c r="C1223" s="2" t="inlineStr">
        <is>
          <t>Merih Demiral</t>
        </is>
      </c>
      <c r="D1223" s="2" t="inlineStr">
        <is>
          <t>Defesa</t>
        </is>
      </c>
      <c r="E1223" s="2" t="inlineStr">
        <is>
          <t>Al-Ahli Jeddah</t>
        </is>
      </c>
      <c r="F1223">
        <f>VLOOKUP(E1223,Clubes!B$2:D$438,2)</f>
        <v/>
      </c>
      <c r="G1223">
        <f>VLOOKUP(E1223,Clubes!B$2:D$438,3)</f>
        <v/>
      </c>
      <c r="H1223" s="2" t="n">
        <v>34</v>
      </c>
      <c r="J1223">
        <f>I1223/H1223</f>
        <v/>
      </c>
      <c r="K1223">
        <f>H1223*90</f>
        <v/>
      </c>
      <c r="M1223">
        <f>L1223/K1223</f>
        <v/>
      </c>
    </row>
    <row r="1224">
      <c r="A1224" s="1" t="n">
        <v>1248</v>
      </c>
      <c r="B1224" s="2" t="inlineStr">
        <is>
          <t>Turkey</t>
        </is>
      </c>
      <c r="C1224" s="2" t="inlineStr">
        <is>
          <t>Çaglar Söyüncü</t>
        </is>
      </c>
      <c r="D1224" s="2" t="inlineStr">
        <is>
          <t>Defesa</t>
        </is>
      </c>
      <c r="E1224" s="2" t="inlineStr">
        <is>
          <t>Fenerbahçe</t>
        </is>
      </c>
      <c r="F1224">
        <f>VLOOKUP(E1224,Clubes!B$2:D$438,2)</f>
        <v/>
      </c>
      <c r="G1224">
        <f>VLOOKUP(E1224,Clubes!B$2:D$438,3)</f>
        <v/>
      </c>
      <c r="H1224" s="2" t="n">
        <v>40</v>
      </c>
      <c r="J1224">
        <f>I1224/H1224</f>
        <v/>
      </c>
      <c r="K1224">
        <f>H1224*90</f>
        <v/>
      </c>
      <c r="M1224">
        <f>L1224/K1224</f>
        <v/>
      </c>
    </row>
    <row r="1225">
      <c r="A1225" s="1" t="n">
        <v>1249</v>
      </c>
      <c r="B1225" s="2" t="inlineStr">
        <is>
          <t>Turkey</t>
        </is>
      </c>
      <c r="C1225" s="2" t="inlineStr">
        <is>
          <t>Abdülkerim Bardakcı</t>
        </is>
      </c>
      <c r="D1225" s="2" t="inlineStr">
        <is>
          <t>Defesa</t>
        </is>
      </c>
      <c r="E1225" s="2" t="inlineStr">
        <is>
          <t>Galatasaray</t>
        </is>
      </c>
      <c r="F1225">
        <f>VLOOKUP(E1225,Clubes!B$2:D$438,2)</f>
        <v/>
      </c>
      <c r="G1225">
        <f>VLOOKUP(E1225,Clubes!B$2:D$438,3)</f>
        <v/>
      </c>
      <c r="H1225" s="2" t="n">
        <v>38</v>
      </c>
      <c r="J1225">
        <f>I1225/H1225</f>
        <v/>
      </c>
      <c r="K1225">
        <f>H1225*90</f>
        <v/>
      </c>
      <c r="M1225">
        <f>L1225/K1225</f>
        <v/>
      </c>
    </row>
    <row r="1226">
      <c r="A1226" s="1" t="n">
        <v>1250</v>
      </c>
      <c r="B1226" s="2" t="inlineStr">
        <is>
          <t>Turkey</t>
        </is>
      </c>
      <c r="C1226" s="2" t="inlineStr">
        <is>
          <t>Ozan Kabak</t>
        </is>
      </c>
      <c r="D1226" s="2" t="inlineStr">
        <is>
          <t>Defesa</t>
        </is>
      </c>
      <c r="E1226" s="2" t="inlineStr">
        <is>
          <t>TSG Hoffenheim</t>
        </is>
      </c>
      <c r="F1226">
        <f>VLOOKUP(E1226,Clubes!B$2:D$438,2)</f>
        <v/>
      </c>
      <c r="G1226">
        <f>VLOOKUP(E1226,Clubes!B$2:D$438,3)</f>
        <v/>
      </c>
      <c r="H1226" s="2" t="n">
        <v>30</v>
      </c>
      <c r="J1226">
        <f>I1226/H1226</f>
        <v/>
      </c>
      <c r="K1226">
        <f>H1226*90</f>
        <v/>
      </c>
      <c r="M1226">
        <f>L1226/K1226</f>
        <v/>
      </c>
    </row>
    <row r="1227">
      <c r="A1227" s="1" t="n">
        <v>1251</v>
      </c>
      <c r="B1227" s="2" t="inlineStr">
        <is>
          <t>Turkey</t>
        </is>
      </c>
      <c r="C1227" s="2" t="inlineStr">
        <is>
          <t>Samet Akaydin</t>
        </is>
      </c>
      <c r="D1227" s="2" t="inlineStr">
        <is>
          <t>Defesa</t>
        </is>
      </c>
      <c r="E1227" s="2" t="inlineStr">
        <is>
          <t>Caykur Rizespor</t>
        </is>
      </c>
      <c r="F1227">
        <f>VLOOKUP(E1227,Clubes!B$2:D$438,2)</f>
        <v/>
      </c>
      <c r="G1227">
        <f>VLOOKUP(E1227,Clubes!B$2:D$438,3)</f>
        <v/>
      </c>
      <c r="H1227" s="2" t="n">
        <v>34</v>
      </c>
      <c r="J1227">
        <f>I1227/H1227</f>
        <v/>
      </c>
      <c r="K1227">
        <f>H1227*90</f>
        <v/>
      </c>
      <c r="M1227">
        <f>L1227/K1227</f>
        <v/>
      </c>
    </row>
    <row r="1228">
      <c r="A1228" s="1" t="n">
        <v>1252</v>
      </c>
      <c r="B1228" s="2" t="inlineStr">
        <is>
          <t>Turkey</t>
        </is>
      </c>
      <c r="C1228" s="2" t="inlineStr">
        <is>
          <t>Evren Elmali</t>
        </is>
      </c>
      <c r="D1228" s="2" t="inlineStr">
        <is>
          <t>Defesa</t>
        </is>
      </c>
      <c r="E1228" s="2" t="inlineStr">
        <is>
          <t>Galatasaray</t>
        </is>
      </c>
      <c r="F1228">
        <f>VLOOKUP(E1228,Clubes!B$2:D$438,2)</f>
        <v/>
      </c>
      <c r="G1228">
        <f>VLOOKUP(E1228,Clubes!B$2:D$438,3)</f>
        <v/>
      </c>
      <c r="H1228" s="2" t="n">
        <v>38</v>
      </c>
      <c r="J1228">
        <f>I1228/H1228</f>
        <v/>
      </c>
      <c r="K1228">
        <f>H1228*90</f>
        <v/>
      </c>
      <c r="M1228">
        <f>L1228/K1228</f>
        <v/>
      </c>
    </row>
    <row r="1229">
      <c r="A1229" s="1" t="n">
        <v>1253</v>
      </c>
      <c r="B1229" s="2" t="inlineStr">
        <is>
          <t>Turkey</t>
        </is>
      </c>
      <c r="C1229" s="2" t="inlineStr">
        <is>
          <t>Ferdi Kadioglu</t>
        </is>
      </c>
      <c r="D1229" s="2" t="inlineStr">
        <is>
          <t>Defesa</t>
        </is>
      </c>
      <c r="E1229" s="2" t="inlineStr">
        <is>
          <t>Brighton &amp; Hove Albion</t>
        </is>
      </c>
      <c r="F1229">
        <f>VLOOKUP(E1229,Clubes!B$2:D$438,2)</f>
        <v/>
      </c>
      <c r="G1229">
        <f>VLOOKUP(E1229,Clubes!B$2:D$438,3)</f>
        <v/>
      </c>
      <c r="H1229" s="2" t="n">
        <v>38</v>
      </c>
      <c r="J1229">
        <f>I1229/H1229</f>
        <v/>
      </c>
      <c r="K1229">
        <f>H1229*90</f>
        <v/>
      </c>
      <c r="M1229">
        <f>L1229/K1229</f>
        <v/>
      </c>
    </row>
    <row r="1230">
      <c r="A1230" s="1" t="n">
        <v>1254</v>
      </c>
      <c r="B1230" s="2" t="inlineStr">
        <is>
          <t>Turkey</t>
        </is>
      </c>
      <c r="C1230" s="2" t="inlineStr">
        <is>
          <t>Salih Ozcan</t>
        </is>
      </c>
      <c r="D1230" s="2" t="inlineStr">
        <is>
          <t>Médio</t>
        </is>
      </c>
      <c r="E1230" s="2" t="inlineStr">
        <is>
          <t>Borussia Dortmund</t>
        </is>
      </c>
      <c r="F1230">
        <f>VLOOKUP(E1230,Clubes!B$2:D$438,2)</f>
        <v/>
      </c>
      <c r="G1230">
        <f>VLOOKUP(E1230,Clubes!B$2:D$438,3)</f>
        <v/>
      </c>
      <c r="H1230" s="2" t="n">
        <v>34</v>
      </c>
      <c r="J1230">
        <f>I1230/H1230</f>
        <v/>
      </c>
      <c r="K1230">
        <f>H1230*90</f>
        <v/>
      </c>
      <c r="M1230">
        <f>L1230/K1230</f>
        <v/>
      </c>
    </row>
    <row r="1231">
      <c r="A1231" s="1" t="n">
        <v>1255</v>
      </c>
      <c r="B1231" s="2" t="inlineStr">
        <is>
          <t>Turkey</t>
        </is>
      </c>
      <c r="C1231" s="2" t="inlineStr">
        <is>
          <t>Orkun Kökcu</t>
        </is>
      </c>
      <c r="D1231" s="2" t="inlineStr">
        <is>
          <t>Médio</t>
        </is>
      </c>
      <c r="E1231" s="2" t="inlineStr">
        <is>
          <t>Besiktas</t>
        </is>
      </c>
      <c r="F1231">
        <f>VLOOKUP(E1231,Clubes!B$2:D$438,2)</f>
        <v/>
      </c>
      <c r="G1231">
        <f>VLOOKUP(E1231,Clubes!B$2:D$438,3)</f>
        <v/>
      </c>
      <c r="H1231" s="2" t="n">
        <v>34</v>
      </c>
      <c r="J1231">
        <f>I1231/H1231</f>
        <v/>
      </c>
      <c r="K1231">
        <f>H1231*90</f>
        <v/>
      </c>
      <c r="M1231">
        <f>L1231/K1231</f>
        <v/>
      </c>
    </row>
    <row r="1232">
      <c r="A1232" s="1" t="n">
        <v>1256</v>
      </c>
      <c r="B1232" s="2" t="inlineStr">
        <is>
          <t>Turkey</t>
        </is>
      </c>
      <c r="C1232" s="2" t="inlineStr">
        <is>
          <t>Hakan Çalhanoglu</t>
        </is>
      </c>
      <c r="D1232" s="2" t="inlineStr">
        <is>
          <t>Médio</t>
        </is>
      </c>
      <c r="E1232" s="2" t="inlineStr">
        <is>
          <t>Internazionale</t>
        </is>
      </c>
      <c r="F1232">
        <f>VLOOKUP(E1232,Clubes!B$2:D$438,2)</f>
        <v/>
      </c>
      <c r="G1232">
        <f>VLOOKUP(E1232,Clubes!B$2:D$438,3)</f>
        <v/>
      </c>
      <c r="H1232" s="2" t="n">
        <v>38</v>
      </c>
      <c r="J1232">
        <f>I1232/H1232</f>
        <v/>
      </c>
      <c r="K1232">
        <f>H1232*90</f>
        <v/>
      </c>
      <c r="M1232">
        <f>L1232/K1232</f>
        <v/>
      </c>
    </row>
    <row r="1233">
      <c r="A1233" s="1" t="n">
        <v>1257</v>
      </c>
      <c r="B1233" s="2" t="inlineStr">
        <is>
          <t>Turkey</t>
        </is>
      </c>
      <c r="C1233" s="2" t="inlineStr">
        <is>
          <t>Ismail Yuksek</t>
        </is>
      </c>
      <c r="D1233" s="2" t="inlineStr">
        <is>
          <t>Médio</t>
        </is>
      </c>
      <c r="E1233" s="2" t="inlineStr">
        <is>
          <t>Fenerbahçe</t>
        </is>
      </c>
      <c r="F1233">
        <f>VLOOKUP(E1233,Clubes!B$2:D$438,2)</f>
        <v/>
      </c>
      <c r="G1233">
        <f>VLOOKUP(E1233,Clubes!B$2:D$438,3)</f>
        <v/>
      </c>
      <c r="H1233" s="2" t="n">
        <v>40</v>
      </c>
      <c r="J1233">
        <f>I1233/H1233</f>
        <v/>
      </c>
      <c r="K1233">
        <f>H1233*90</f>
        <v/>
      </c>
      <c r="M1233">
        <f>L1233/K1233</f>
        <v/>
      </c>
    </row>
    <row r="1234">
      <c r="A1234" s="1" t="n">
        <v>1258</v>
      </c>
      <c r="B1234" s="2" t="inlineStr">
        <is>
          <t>Turkey</t>
        </is>
      </c>
      <c r="C1234" s="2" t="inlineStr">
        <is>
          <t>Arda Güler</t>
        </is>
      </c>
      <c r="D1234" s="2" t="inlineStr">
        <is>
          <t>Médio</t>
        </is>
      </c>
      <c r="E1234" s="2" t="inlineStr">
        <is>
          <t>Real Madrid</t>
        </is>
      </c>
      <c r="F1234">
        <f>VLOOKUP(E1234,Clubes!B$2:D$438,2)</f>
        <v/>
      </c>
      <c r="G1234">
        <f>VLOOKUP(E1234,Clubes!B$2:D$438,3)</f>
        <v/>
      </c>
      <c r="H1234" s="2" t="n">
        <v>38</v>
      </c>
      <c r="J1234">
        <f>I1234/H1234</f>
        <v/>
      </c>
      <c r="K1234">
        <f>H1234*90</f>
        <v/>
      </c>
      <c r="M1234">
        <f>L1234/K1234</f>
        <v/>
      </c>
    </row>
    <row r="1235">
      <c r="A1235" s="1" t="n">
        <v>1259</v>
      </c>
      <c r="B1235" s="2" t="inlineStr">
        <is>
          <t>Turkey</t>
        </is>
      </c>
      <c r="C1235" s="2" t="inlineStr">
        <is>
          <t>Irfan Kahveci</t>
        </is>
      </c>
      <c r="D1235" s="2" t="inlineStr">
        <is>
          <t>Avançado</t>
        </is>
      </c>
      <c r="E1235" s="2" t="inlineStr">
        <is>
          <t>Kasimpasa</t>
        </is>
      </c>
      <c r="F1235">
        <f>VLOOKUP(E1235,Clubes!B$2:D$438,2)</f>
        <v/>
      </c>
      <c r="G1235">
        <f>VLOOKUP(E1235,Clubes!B$2:D$438,3)</f>
        <v/>
      </c>
      <c r="H1235" s="2" t="n">
        <v>34</v>
      </c>
      <c r="J1235">
        <f>I1235/H1235</f>
        <v/>
      </c>
      <c r="K1235">
        <f>H1235*90</f>
        <v/>
      </c>
      <c r="M1235">
        <f>L1235/K1235</f>
        <v/>
      </c>
    </row>
    <row r="1236">
      <c r="A1236" s="1" t="n">
        <v>1260</v>
      </c>
      <c r="B1236" s="2" t="inlineStr">
        <is>
          <t>Turkey</t>
        </is>
      </c>
      <c r="C1236" s="2" t="inlineStr">
        <is>
          <t>Yunus Akgün</t>
        </is>
      </c>
      <c r="D1236" s="2" t="inlineStr">
        <is>
          <t>Avançado</t>
        </is>
      </c>
      <c r="E1236" s="2" t="inlineStr">
        <is>
          <t>Galatasaray</t>
        </is>
      </c>
      <c r="F1236">
        <f>VLOOKUP(E1236,Clubes!B$2:D$438,2)</f>
        <v/>
      </c>
      <c r="G1236">
        <f>VLOOKUP(E1236,Clubes!B$2:D$438,3)</f>
        <v/>
      </c>
      <c r="H1236" s="2" t="n">
        <v>38</v>
      </c>
      <c r="J1236">
        <f>I1236/H1236</f>
        <v/>
      </c>
      <c r="K1236">
        <f>H1236*90</f>
        <v/>
      </c>
      <c r="M1236">
        <f>L1236/K1236</f>
        <v/>
      </c>
    </row>
    <row r="1237">
      <c r="A1237" s="1" t="n">
        <v>1261</v>
      </c>
      <c r="B1237" s="2" t="inlineStr">
        <is>
          <t>Turkey</t>
        </is>
      </c>
      <c r="C1237" s="2" t="inlineStr">
        <is>
          <t>Can Uzun</t>
        </is>
      </c>
      <c r="D1237" s="2" t="inlineStr">
        <is>
          <t>Avançado</t>
        </is>
      </c>
      <c r="E1237" s="2" t="inlineStr">
        <is>
          <t>Eintracht Frankfurt</t>
        </is>
      </c>
      <c r="F1237">
        <f>VLOOKUP(E1237,Clubes!B$2:D$438,2)</f>
        <v/>
      </c>
      <c r="G1237">
        <f>VLOOKUP(E1237,Clubes!B$2:D$438,3)</f>
        <v/>
      </c>
      <c r="H1237" s="2" t="n">
        <v>34</v>
      </c>
      <c r="J1237">
        <f>I1237/H1237</f>
        <v/>
      </c>
      <c r="K1237">
        <f>H1237*90</f>
        <v/>
      </c>
      <c r="M1237">
        <f>L1237/K1237</f>
        <v/>
      </c>
    </row>
    <row r="1238">
      <c r="A1238" s="1" t="n">
        <v>1262</v>
      </c>
      <c r="B1238" s="2" t="inlineStr">
        <is>
          <t>Turkey</t>
        </is>
      </c>
      <c r="C1238" s="2" t="inlineStr">
        <is>
          <t>Deniz Gül</t>
        </is>
      </c>
      <c r="D1238" s="2" t="inlineStr">
        <is>
          <t>Avançado</t>
        </is>
      </c>
      <c r="E1238" s="2" t="inlineStr">
        <is>
          <t>FC Porto</t>
        </is>
      </c>
      <c r="F1238">
        <f>VLOOKUP(E1238,Clubes!B$2:D$438,2)</f>
        <v/>
      </c>
      <c r="G1238">
        <f>VLOOKUP(E1238,Clubes!B$2:D$438,3)</f>
        <v/>
      </c>
      <c r="H1238" s="2" t="n">
        <v>34</v>
      </c>
      <c r="J1238">
        <f>I1238/H1238</f>
        <v/>
      </c>
      <c r="K1238">
        <f>H1238*90</f>
        <v/>
      </c>
      <c r="M1238">
        <f>L1238/K1238</f>
        <v/>
      </c>
    </row>
    <row r="1239">
      <c r="A1239" s="1" t="n">
        <v>1263</v>
      </c>
      <c r="B1239" s="2" t="inlineStr">
        <is>
          <t>Turkey</t>
        </is>
      </c>
      <c r="C1239" s="2" t="inlineStr">
        <is>
          <t>Kerem Aktürkoğlu</t>
        </is>
      </c>
      <c r="D1239" s="2" t="inlineStr">
        <is>
          <t>Avançado</t>
        </is>
      </c>
      <c r="E1239" s="2" t="inlineStr">
        <is>
          <t>Fenerbahçe</t>
        </is>
      </c>
      <c r="F1239">
        <f>VLOOKUP(E1239,Clubes!B$2:D$438,2)</f>
        <v/>
      </c>
      <c r="G1239">
        <f>VLOOKUP(E1239,Clubes!B$2:D$438,3)</f>
        <v/>
      </c>
      <c r="H1239" s="2" t="n">
        <v>40</v>
      </c>
      <c r="J1239">
        <f>I1239/H1239</f>
        <v/>
      </c>
      <c r="K1239">
        <f>H1239*90</f>
        <v/>
      </c>
      <c r="M1239">
        <f>L1239/K1239</f>
        <v/>
      </c>
    </row>
    <row r="1240">
      <c r="A1240" s="1" t="n">
        <v>1264</v>
      </c>
      <c r="B1240" s="2" t="inlineStr">
        <is>
          <t>Turkey</t>
        </is>
      </c>
      <c r="C1240" s="2" t="inlineStr">
        <is>
          <t>Kenan Yildiz</t>
        </is>
      </c>
      <c r="D1240" s="2" t="inlineStr">
        <is>
          <t>Avançado</t>
        </is>
      </c>
      <c r="E1240" s="2" t="inlineStr">
        <is>
          <t>Juventus</t>
        </is>
      </c>
      <c r="F1240">
        <f>VLOOKUP(E1240,Clubes!B$2:D$438,2)</f>
        <v/>
      </c>
      <c r="G1240">
        <f>VLOOKUP(E1240,Clubes!B$2:D$438,3)</f>
        <v/>
      </c>
      <c r="H1240" s="2" t="n">
        <v>38</v>
      </c>
      <c r="J1240">
        <f>I1240/H1240</f>
        <v/>
      </c>
      <c r="K1240">
        <f>H1240*90</f>
        <v/>
      </c>
      <c r="M1240">
        <f>L1240/K1240</f>
        <v/>
      </c>
    </row>
    <row r="1241">
      <c r="A1241" s="1" t="n">
        <v>1265</v>
      </c>
      <c r="B1241" s="2" t="inlineStr">
        <is>
          <t>Turkey</t>
        </is>
      </c>
      <c r="C1241" s="2" t="inlineStr">
        <is>
          <t>Baris Yılmaz</t>
        </is>
      </c>
      <c r="D1241" s="2" t="inlineStr">
        <is>
          <t>Avançado</t>
        </is>
      </c>
      <c r="E1241" s="2" t="inlineStr">
        <is>
          <t>Galatasaray</t>
        </is>
      </c>
      <c r="F1241">
        <f>VLOOKUP(E1241,Clubes!B$2:D$438,2)</f>
        <v/>
      </c>
      <c r="G1241">
        <f>VLOOKUP(E1241,Clubes!B$2:D$438,3)</f>
        <v/>
      </c>
      <c r="H1241" s="2" t="n">
        <v>38</v>
      </c>
      <c r="J1241">
        <f>I1241/H1241</f>
        <v/>
      </c>
      <c r="K1241">
        <f>H1241*90</f>
        <v/>
      </c>
      <c r="M1241">
        <f>L1241/K1241</f>
        <v/>
      </c>
    </row>
    <row r="1242">
      <c r="A1242" s="1" t="n">
        <v>1266</v>
      </c>
      <c r="B1242" s="2" t="inlineStr">
        <is>
          <t>Turkey</t>
        </is>
      </c>
      <c r="C1242" s="2" t="inlineStr">
        <is>
          <t>Oguz Aydin</t>
        </is>
      </c>
      <c r="D1242" s="2" t="inlineStr">
        <is>
          <t>Avançado</t>
        </is>
      </c>
      <c r="E1242" s="2" t="inlineStr">
        <is>
          <t>Fenerbahçe</t>
        </is>
      </c>
      <c r="F1242">
        <f>VLOOKUP(E1242,Clubes!B$2:D$438,2)</f>
        <v/>
      </c>
      <c r="G1242">
        <f>VLOOKUP(E1242,Clubes!B$2:D$438,3)</f>
        <v/>
      </c>
      <c r="H1242" s="2" t="n">
        <v>40</v>
      </c>
      <c r="J1242">
        <f>I1242/H1242</f>
        <v/>
      </c>
      <c r="K1242">
        <f>H1242*90</f>
        <v/>
      </c>
      <c r="M1242">
        <f>L1242/K1242</f>
        <v/>
      </c>
    </row>
    <row r="1243">
      <c r="A1243" s="1" t="n">
        <v>1267</v>
      </c>
      <c r="B1243" s="2" t="inlineStr">
        <is>
          <t>Uruguay</t>
        </is>
      </c>
      <c r="C1243" s="2" t="inlineStr">
        <is>
          <t>Sergio Rochet</t>
        </is>
      </c>
      <c r="D1243" s="2" t="inlineStr">
        <is>
          <t>Guarda Redes</t>
        </is>
      </c>
      <c r="E1243" s="2" t="inlineStr">
        <is>
          <t>Internacional</t>
        </is>
      </c>
      <c r="F1243">
        <f>VLOOKUP(E1243,Clubes!B$2:D$438,2)</f>
        <v/>
      </c>
      <c r="G1243">
        <f>VLOOKUP(E1243,Clubes!B$2:D$438,3)</f>
        <v/>
      </c>
      <c r="H1243" s="2" t="n">
        <v>38</v>
      </c>
      <c r="J1243">
        <f>I1243/H1243</f>
        <v/>
      </c>
      <c r="K1243">
        <f>H1243*90</f>
        <v/>
      </c>
      <c r="M1243">
        <f>L1243/K1243</f>
        <v/>
      </c>
    </row>
    <row r="1244">
      <c r="A1244" s="1" t="n">
        <v>1268</v>
      </c>
      <c r="B1244" s="2" t="inlineStr">
        <is>
          <t>Uruguay</t>
        </is>
      </c>
      <c r="C1244" s="2" t="inlineStr">
        <is>
          <t>Santiago Mele</t>
        </is>
      </c>
      <c r="D1244" s="2" t="inlineStr">
        <is>
          <t>Guarda Redes</t>
        </is>
      </c>
      <c r="E1244" s="2" t="inlineStr">
        <is>
          <t>Monterrey</t>
        </is>
      </c>
      <c r="F1244">
        <f>VLOOKUP(E1244,Clubes!B$2:D$438,2)</f>
        <v/>
      </c>
      <c r="G1244">
        <f>VLOOKUP(E1244,Clubes!B$2:D$438,3)</f>
        <v/>
      </c>
      <c r="H1244" s="2" t="n">
        <v>34</v>
      </c>
      <c r="J1244">
        <f>I1244/H1244</f>
        <v/>
      </c>
      <c r="K1244">
        <f>H1244*90</f>
        <v/>
      </c>
      <c r="M1244">
        <f>L1244/K1244</f>
        <v/>
      </c>
    </row>
    <row r="1245">
      <c r="A1245" s="1" t="n">
        <v>1269</v>
      </c>
      <c r="B1245" s="2" t="inlineStr">
        <is>
          <t>Uruguay</t>
        </is>
      </c>
      <c r="C1245" s="2" t="inlineStr">
        <is>
          <t>Fernando Muslera</t>
        </is>
      </c>
      <c r="D1245" s="2" t="inlineStr">
        <is>
          <t>Guarda Redes</t>
        </is>
      </c>
      <c r="E1245" s="2" t="inlineStr">
        <is>
          <t>Estudiantes</t>
        </is>
      </c>
      <c r="F1245">
        <f>VLOOKUP(E1245,Clubes!B$2:D$438,2)</f>
        <v/>
      </c>
      <c r="G1245">
        <f>VLOOKUP(E1245,Clubes!B$2:D$438,3)</f>
        <v/>
      </c>
      <c r="H1245" s="2" t="n">
        <v>32</v>
      </c>
      <c r="J1245">
        <f>I1245/H1245</f>
        <v/>
      </c>
      <c r="K1245">
        <f>H1245*90</f>
        <v/>
      </c>
      <c r="M1245">
        <f>L1245/K1245</f>
        <v/>
      </c>
    </row>
    <row r="1246">
      <c r="A1246" s="1" t="n">
        <v>1270</v>
      </c>
      <c r="B1246" s="2" t="inlineStr">
        <is>
          <t>Uruguay</t>
        </is>
      </c>
      <c r="C1246" s="2" t="inlineStr">
        <is>
          <t>José Giménez</t>
        </is>
      </c>
      <c r="D1246" s="2" t="inlineStr">
        <is>
          <t>Defesa</t>
        </is>
      </c>
      <c r="E1246" s="2" t="inlineStr">
        <is>
          <t>Atlético de Madrid</t>
        </is>
      </c>
      <c r="F1246">
        <f>VLOOKUP(E1246,Clubes!B$2:D$438,2)</f>
        <v/>
      </c>
      <c r="G1246">
        <f>VLOOKUP(E1246,Clubes!B$2:D$438,3)</f>
        <v/>
      </c>
      <c r="H1246" s="2" t="n">
        <v>34</v>
      </c>
      <c r="J1246">
        <f>I1246/H1246</f>
        <v/>
      </c>
      <c r="K1246">
        <f>H1246*90</f>
        <v/>
      </c>
      <c r="M1246">
        <f>L1246/K1246</f>
        <v/>
      </c>
    </row>
    <row r="1247">
      <c r="A1247" s="1" t="n">
        <v>1271</v>
      </c>
      <c r="B1247" s="2" t="inlineStr">
        <is>
          <t>Uruguay</t>
        </is>
      </c>
      <c r="C1247" s="2" t="inlineStr">
        <is>
          <t>Sebastián Cáceres</t>
        </is>
      </c>
      <c r="D1247" s="2" t="inlineStr">
        <is>
          <t>Defesa</t>
        </is>
      </c>
      <c r="E1247" s="2" t="inlineStr">
        <is>
          <t>Club América</t>
        </is>
      </c>
      <c r="F1247">
        <f>VLOOKUP(E1247,Clubes!B$2:D$438,2)</f>
        <v/>
      </c>
      <c r="G1247">
        <f>VLOOKUP(E1247,Clubes!B$2:D$438,3)</f>
        <v/>
      </c>
      <c r="H1247" s="2" t="n">
        <v>34</v>
      </c>
      <c r="J1247">
        <f>I1247/H1247</f>
        <v/>
      </c>
      <c r="K1247">
        <f>H1247*90</f>
        <v/>
      </c>
      <c r="M1247">
        <f>L1247/K1247</f>
        <v/>
      </c>
    </row>
    <row r="1248">
      <c r="A1248" s="1" t="n">
        <v>1272</v>
      </c>
      <c r="B1248" s="2" t="inlineStr">
        <is>
          <t>Uruguay</t>
        </is>
      </c>
      <c r="C1248" s="2" t="inlineStr">
        <is>
          <t>Ronald Araújo</t>
        </is>
      </c>
      <c r="D1248" s="2" t="inlineStr">
        <is>
          <t>Defesa</t>
        </is>
      </c>
      <c r="E1248" s="2" t="inlineStr">
        <is>
          <t>Barcelona</t>
        </is>
      </c>
      <c r="F1248">
        <f>VLOOKUP(E1248,Clubes!B$2:D$438,2)</f>
        <v/>
      </c>
      <c r="G1248">
        <f>VLOOKUP(E1248,Clubes!B$2:D$438,3)</f>
        <v/>
      </c>
      <c r="H1248" s="2" t="n">
        <v>38</v>
      </c>
      <c r="J1248">
        <f>I1248/H1248</f>
        <v/>
      </c>
      <c r="K1248">
        <f>H1248*90</f>
        <v/>
      </c>
      <c r="M1248">
        <f>L1248/K1248</f>
        <v/>
      </c>
    </row>
    <row r="1249">
      <c r="A1249" s="1" t="n">
        <v>1273</v>
      </c>
      <c r="B1249" s="2" t="inlineStr">
        <is>
          <t>Uruguay</t>
        </is>
      </c>
      <c r="C1249" s="2" t="inlineStr">
        <is>
          <t>Guillermo Varela</t>
        </is>
      </c>
      <c r="D1249" s="2" t="inlineStr">
        <is>
          <t>Defesa</t>
        </is>
      </c>
      <c r="E1249" s="2" t="inlineStr">
        <is>
          <t>Flamengo</t>
        </is>
      </c>
      <c r="F1249">
        <f>VLOOKUP(E1249,Clubes!B$2:D$438,2)</f>
        <v/>
      </c>
      <c r="G1249">
        <f>VLOOKUP(E1249,Clubes!B$2:D$438,3)</f>
        <v/>
      </c>
      <c r="H1249" s="2" t="n">
        <v>38</v>
      </c>
      <c r="J1249">
        <f>I1249/H1249</f>
        <v/>
      </c>
      <c r="K1249">
        <f>H1249*90</f>
        <v/>
      </c>
      <c r="M1249">
        <f>L1249/K1249</f>
        <v/>
      </c>
    </row>
    <row r="1250">
      <c r="A1250" s="1" t="n">
        <v>1274</v>
      </c>
      <c r="B1250" s="2" t="inlineStr">
        <is>
          <t>Uruguay</t>
        </is>
      </c>
      <c r="C1250" s="2" t="inlineStr">
        <is>
          <t>Mathías Olivera</t>
        </is>
      </c>
      <c r="D1250" s="2" t="inlineStr">
        <is>
          <t>Defesa</t>
        </is>
      </c>
      <c r="E1250" s="2" t="inlineStr">
        <is>
          <t>Napoli</t>
        </is>
      </c>
      <c r="F1250">
        <f>VLOOKUP(E1250,Clubes!B$2:D$438,2)</f>
        <v/>
      </c>
      <c r="G1250">
        <f>VLOOKUP(E1250,Clubes!B$2:D$438,3)</f>
        <v/>
      </c>
      <c r="H1250" s="2" t="n">
        <v>38</v>
      </c>
      <c r="J1250">
        <f>I1250/H1250</f>
        <v/>
      </c>
      <c r="K1250">
        <f>H1250*90</f>
        <v/>
      </c>
      <c r="M1250">
        <f>L1250/K1250</f>
        <v/>
      </c>
    </row>
    <row r="1251">
      <c r="A1251" s="1" t="n">
        <v>1275</v>
      </c>
      <c r="B1251" s="2" t="inlineStr">
        <is>
          <t>Uruguay</t>
        </is>
      </c>
      <c r="C1251" s="2" t="inlineStr">
        <is>
          <t>Matías Viña</t>
        </is>
      </c>
      <c r="D1251" s="2" t="inlineStr">
        <is>
          <t>Defesa</t>
        </is>
      </c>
      <c r="E1251" s="2" t="inlineStr">
        <is>
          <t>River Plate</t>
        </is>
      </c>
      <c r="F1251">
        <f>VLOOKUP(E1251,Clubes!B$2:D$438,2)</f>
        <v/>
      </c>
      <c r="G1251">
        <f>VLOOKUP(E1251,Clubes!B$2:D$438,3)</f>
        <v/>
      </c>
      <c r="H1251" s="2" t="n">
        <v>32</v>
      </c>
      <c r="J1251">
        <f>I1251/H1251</f>
        <v/>
      </c>
      <c r="K1251">
        <f>H1251*90</f>
        <v/>
      </c>
      <c r="M1251">
        <f>L1251/K1251</f>
        <v/>
      </c>
    </row>
    <row r="1252">
      <c r="A1252" s="1" t="n">
        <v>1276</v>
      </c>
      <c r="B1252" s="2" t="inlineStr">
        <is>
          <t>Uruguay</t>
        </is>
      </c>
      <c r="C1252" s="2" t="inlineStr">
        <is>
          <t>Maxi Araújo</t>
        </is>
      </c>
      <c r="D1252" s="2" t="inlineStr">
        <is>
          <t>Defesa</t>
        </is>
      </c>
      <c r="E1252" s="2" t="inlineStr">
        <is>
          <t>Sporting</t>
        </is>
      </c>
      <c r="F1252">
        <f>VLOOKUP(E1252,Clubes!B$2:D$438,2)</f>
        <v/>
      </c>
      <c r="G1252">
        <f>VLOOKUP(E1252,Clubes!B$2:D$438,3)</f>
        <v/>
      </c>
      <c r="H1252" s="2" t="n">
        <v>34</v>
      </c>
      <c r="J1252">
        <f>I1252/H1252</f>
        <v/>
      </c>
      <c r="K1252">
        <f>H1252*90</f>
        <v/>
      </c>
      <c r="M1252">
        <f>L1252/K1252</f>
        <v/>
      </c>
    </row>
    <row r="1253">
      <c r="A1253" s="1" t="n">
        <v>1277</v>
      </c>
      <c r="B1253" s="2" t="inlineStr">
        <is>
          <t>Uruguay</t>
        </is>
      </c>
      <c r="C1253" s="2" t="inlineStr">
        <is>
          <t>Joaquín Piquerez</t>
        </is>
      </c>
      <c r="D1253" s="2" t="inlineStr">
        <is>
          <t>Defesa</t>
        </is>
      </c>
      <c r="E1253" s="2" t="inlineStr">
        <is>
          <t>Palmeiras</t>
        </is>
      </c>
      <c r="F1253">
        <f>VLOOKUP(E1253,Clubes!B$2:D$438,2)</f>
        <v/>
      </c>
      <c r="G1253">
        <f>VLOOKUP(E1253,Clubes!B$2:D$438,3)</f>
        <v/>
      </c>
      <c r="H1253" s="2" t="n">
        <v>38</v>
      </c>
      <c r="J1253">
        <f>I1253/H1253</f>
        <v/>
      </c>
      <c r="K1253">
        <f>H1253*90</f>
        <v/>
      </c>
      <c r="M1253">
        <f>L1253/K1253</f>
        <v/>
      </c>
    </row>
    <row r="1254">
      <c r="A1254" s="1" t="n">
        <v>1278</v>
      </c>
      <c r="B1254" s="2" t="inlineStr">
        <is>
          <t>Uruguay</t>
        </is>
      </c>
      <c r="C1254" s="2" t="inlineStr">
        <is>
          <t>Santiago Bueno</t>
        </is>
      </c>
      <c r="D1254" s="2" t="inlineStr">
        <is>
          <t>Defesa</t>
        </is>
      </c>
      <c r="E1254" s="2" t="inlineStr">
        <is>
          <t>Wolverhampton</t>
        </is>
      </c>
      <c r="F1254">
        <f>VLOOKUP(E1254,Clubes!B$2:D$438,2)</f>
        <v/>
      </c>
      <c r="G1254">
        <f>VLOOKUP(E1254,Clubes!B$2:D$438,3)</f>
        <v/>
      </c>
      <c r="H1254" s="2" t="n">
        <v>38</v>
      </c>
      <c r="J1254">
        <f>I1254/H1254</f>
        <v/>
      </c>
      <c r="K1254">
        <f>H1254*90</f>
        <v/>
      </c>
      <c r="M1254">
        <f>L1254/K1254</f>
        <v/>
      </c>
    </row>
    <row r="1255">
      <c r="A1255" s="1" t="n">
        <v>1279</v>
      </c>
      <c r="B1255" s="2" t="inlineStr">
        <is>
          <t>Uruguay</t>
        </is>
      </c>
      <c r="C1255" s="2" t="inlineStr">
        <is>
          <t>Manuel Ugarte</t>
        </is>
      </c>
      <c r="D1255" s="2" t="inlineStr">
        <is>
          <t>Médio</t>
        </is>
      </c>
      <c r="E1255" s="2" t="inlineStr">
        <is>
          <t>Manchester United</t>
        </is>
      </c>
      <c r="F1255">
        <f>VLOOKUP(E1255,Clubes!B$2:D$438,2)</f>
        <v/>
      </c>
      <c r="G1255">
        <f>VLOOKUP(E1255,Clubes!B$2:D$438,3)</f>
        <v/>
      </c>
      <c r="H1255" s="2" t="n">
        <v>38</v>
      </c>
      <c r="J1255">
        <f>I1255/H1255</f>
        <v/>
      </c>
      <c r="K1255">
        <f>H1255*90</f>
        <v/>
      </c>
      <c r="M1255">
        <f>L1255/K1255</f>
        <v/>
      </c>
    </row>
    <row r="1256">
      <c r="A1256" s="1" t="n">
        <v>1280</v>
      </c>
      <c r="B1256" s="2" t="inlineStr">
        <is>
          <t>Uruguay</t>
        </is>
      </c>
      <c r="C1256" s="2" t="inlineStr">
        <is>
          <t>Rodrigo Bentancur</t>
        </is>
      </c>
      <c r="D1256" s="2" t="inlineStr">
        <is>
          <t>Médio</t>
        </is>
      </c>
      <c r="E1256" s="2" t="inlineStr">
        <is>
          <t>Tottenham</t>
        </is>
      </c>
      <c r="F1256">
        <f>VLOOKUP(E1256,Clubes!B$2:D$438,2)</f>
        <v/>
      </c>
      <c r="G1256">
        <f>VLOOKUP(E1256,Clubes!B$2:D$438,3)</f>
        <v/>
      </c>
      <c r="H1256" s="2" t="n">
        <v>38</v>
      </c>
      <c r="J1256">
        <f>I1256/H1256</f>
        <v/>
      </c>
      <c r="K1256">
        <f>H1256*90</f>
        <v/>
      </c>
      <c r="M1256">
        <f>L1256/K1256</f>
        <v/>
      </c>
    </row>
    <row r="1257">
      <c r="A1257" s="1" t="n">
        <v>1281</v>
      </c>
      <c r="B1257" s="2" t="inlineStr">
        <is>
          <t>Uruguay</t>
        </is>
      </c>
      <c r="C1257" s="2" t="inlineStr">
        <is>
          <t>Nicolás De la Cruz</t>
        </is>
      </c>
      <c r="D1257" s="2" t="inlineStr">
        <is>
          <t>Médio</t>
        </is>
      </c>
      <c r="E1257" s="2" t="inlineStr">
        <is>
          <t>Flamengo</t>
        </is>
      </c>
      <c r="F1257">
        <f>VLOOKUP(E1257,Clubes!B$2:D$438,2)</f>
        <v/>
      </c>
      <c r="G1257">
        <f>VLOOKUP(E1257,Clubes!B$2:D$438,3)</f>
        <v/>
      </c>
      <c r="H1257" s="2" t="n">
        <v>38</v>
      </c>
      <c r="J1257">
        <f>I1257/H1257</f>
        <v/>
      </c>
      <c r="K1257">
        <f>H1257*90</f>
        <v/>
      </c>
      <c r="M1257">
        <f>L1257/K1257</f>
        <v/>
      </c>
    </row>
    <row r="1258">
      <c r="A1258" s="1" t="n">
        <v>1282</v>
      </c>
      <c r="B1258" s="2" t="inlineStr">
        <is>
          <t>Uruguay</t>
        </is>
      </c>
      <c r="C1258" s="2" t="inlineStr">
        <is>
          <t>Fede Valverde</t>
        </is>
      </c>
      <c r="D1258" s="2" t="inlineStr">
        <is>
          <t>Médio</t>
        </is>
      </c>
      <c r="E1258" s="2" t="inlineStr">
        <is>
          <t>Real Madrid</t>
        </is>
      </c>
      <c r="F1258">
        <f>VLOOKUP(E1258,Clubes!B$2:D$438,2)</f>
        <v/>
      </c>
      <c r="G1258">
        <f>VLOOKUP(E1258,Clubes!B$2:D$438,3)</f>
        <v/>
      </c>
      <c r="H1258" s="2" t="n">
        <v>38</v>
      </c>
      <c r="J1258">
        <f>I1258/H1258</f>
        <v/>
      </c>
      <c r="K1258">
        <f>H1258*90</f>
        <v/>
      </c>
      <c r="M1258">
        <f>L1258/K1258</f>
        <v/>
      </c>
    </row>
    <row r="1259">
      <c r="A1259" s="1" t="n">
        <v>1283</v>
      </c>
      <c r="B1259" s="2" t="inlineStr">
        <is>
          <t>Uruguay</t>
        </is>
      </c>
      <c r="C1259" s="2" t="inlineStr">
        <is>
          <t>Giorgian de Arrascaeta</t>
        </is>
      </c>
      <c r="D1259" s="2" t="inlineStr">
        <is>
          <t>Médio</t>
        </is>
      </c>
      <c r="E1259" s="2" t="inlineStr">
        <is>
          <t>Flamengo</t>
        </is>
      </c>
      <c r="F1259">
        <f>VLOOKUP(E1259,Clubes!B$2:D$438,2)</f>
        <v/>
      </c>
      <c r="G1259">
        <f>VLOOKUP(E1259,Clubes!B$2:D$438,3)</f>
        <v/>
      </c>
      <c r="H1259" s="2" t="n">
        <v>38</v>
      </c>
      <c r="J1259">
        <f>I1259/H1259</f>
        <v/>
      </c>
      <c r="K1259">
        <f>H1259*90</f>
        <v/>
      </c>
      <c r="M1259">
        <f>L1259/K1259</f>
        <v/>
      </c>
    </row>
    <row r="1260">
      <c r="A1260" s="1" t="n">
        <v>1284</v>
      </c>
      <c r="B1260" s="2" t="inlineStr">
        <is>
          <t>Uruguay</t>
        </is>
      </c>
      <c r="C1260" s="2" t="inlineStr">
        <is>
          <t>Emiliano Martínez</t>
        </is>
      </c>
      <c r="D1260" s="2" t="inlineStr">
        <is>
          <t>Médio</t>
        </is>
      </c>
      <c r="E1260" s="2" t="inlineStr">
        <is>
          <t>Palmeiras</t>
        </is>
      </c>
      <c r="F1260">
        <f>VLOOKUP(E1260,Clubes!B$2:D$438,2)</f>
        <v/>
      </c>
      <c r="G1260">
        <f>VLOOKUP(E1260,Clubes!B$2:D$438,3)</f>
        <v/>
      </c>
      <c r="H1260" s="2" t="n">
        <v>38</v>
      </c>
      <c r="J1260">
        <f>I1260/H1260</f>
        <v/>
      </c>
      <c r="K1260">
        <f>H1260*90</f>
        <v/>
      </c>
      <c r="M1260">
        <f>L1260/K1260</f>
        <v/>
      </c>
    </row>
    <row r="1261">
      <c r="A1261" s="1" t="n">
        <v>1285</v>
      </c>
      <c r="B1261" s="2" t="inlineStr">
        <is>
          <t>Uruguay</t>
        </is>
      </c>
      <c r="C1261" s="2" t="inlineStr">
        <is>
          <t>Juan Sanabria</t>
        </is>
      </c>
      <c r="D1261" s="2" t="inlineStr">
        <is>
          <t>Médio</t>
        </is>
      </c>
      <c r="E1261" s="2" t="inlineStr">
        <is>
          <t>Real Salt Lake</t>
        </is>
      </c>
      <c r="F1261">
        <f>VLOOKUP(E1261,Clubes!B$2:D$438,2)</f>
        <v/>
      </c>
      <c r="G1261">
        <f>VLOOKUP(E1261,Clubes!B$2:D$438,3)</f>
        <v/>
      </c>
      <c r="H1261" s="2" t="n">
        <v>34</v>
      </c>
      <c r="J1261">
        <f>I1261/H1261</f>
        <v/>
      </c>
      <c r="K1261">
        <f>H1261*90</f>
        <v/>
      </c>
      <c r="M1261">
        <f>L1261/K1261</f>
        <v/>
      </c>
    </row>
    <row r="1262">
      <c r="A1262" s="1" t="n">
        <v>1286</v>
      </c>
      <c r="B1262" s="2" t="inlineStr">
        <is>
          <t>Uruguay</t>
        </is>
      </c>
      <c r="C1262" s="2" t="inlineStr">
        <is>
          <t>Rodrigo Zalazar</t>
        </is>
      </c>
      <c r="D1262" s="2" t="inlineStr">
        <is>
          <t>Médio</t>
        </is>
      </c>
      <c r="E1262" s="2" t="inlineStr">
        <is>
          <t>SC Braga</t>
        </is>
      </c>
      <c r="F1262">
        <f>VLOOKUP(E1262,Clubes!B$2:D$438,2)</f>
        <v/>
      </c>
      <c r="G1262">
        <f>VLOOKUP(E1262,Clubes!B$2:D$438,3)</f>
        <v/>
      </c>
      <c r="H1262" s="2" t="n">
        <v>34</v>
      </c>
      <c r="J1262">
        <f>I1262/H1262</f>
        <v/>
      </c>
      <c r="K1262">
        <f>H1262*90</f>
        <v/>
      </c>
      <c r="M1262">
        <f>L1262/K1262</f>
        <v/>
      </c>
    </row>
    <row r="1263">
      <c r="A1263" s="1" t="n">
        <v>1287</v>
      </c>
      <c r="B1263" s="2" t="inlineStr">
        <is>
          <t>Uruguay</t>
        </is>
      </c>
      <c r="C1263" s="2" t="inlineStr">
        <is>
          <t>Darwin Núñez</t>
        </is>
      </c>
      <c r="D1263" s="2" t="inlineStr">
        <is>
          <t>Avançado</t>
        </is>
      </c>
      <c r="E1263" s="2" t="inlineStr">
        <is>
          <t>Al-Hilal</t>
        </is>
      </c>
      <c r="F1263">
        <f>VLOOKUP(E1263,Clubes!B$2:D$438,2)</f>
        <v/>
      </c>
      <c r="G1263">
        <f>VLOOKUP(E1263,Clubes!B$2:D$438,3)</f>
        <v/>
      </c>
      <c r="H1263" s="2" t="n">
        <v>34</v>
      </c>
      <c r="J1263">
        <f>I1263/H1263</f>
        <v/>
      </c>
      <c r="K1263">
        <f>H1263*90</f>
        <v/>
      </c>
      <c r="M1263">
        <f>L1263/K1263</f>
        <v/>
      </c>
    </row>
    <row r="1264">
      <c r="A1264" s="1" t="n">
        <v>1288</v>
      </c>
      <c r="B1264" s="2" t="inlineStr">
        <is>
          <t>Uruguay</t>
        </is>
      </c>
      <c r="C1264" s="2" t="inlineStr">
        <is>
          <t>Facundo Pellistri</t>
        </is>
      </c>
      <c r="D1264" s="2" t="inlineStr">
        <is>
          <t>Avançado</t>
        </is>
      </c>
      <c r="E1264" s="2" t="inlineStr">
        <is>
          <t>Panathinaikos</t>
        </is>
      </c>
      <c r="F1264">
        <f>VLOOKUP(E1264,Clubes!B$2:D$438,2)</f>
        <v/>
      </c>
      <c r="G1264">
        <f>VLOOKUP(E1264,Clubes!B$2:D$438,3)</f>
        <v/>
      </c>
      <c r="H1264" s="2" t="n">
        <v>36</v>
      </c>
      <c r="J1264">
        <f>I1264/H1264</f>
        <v/>
      </c>
      <c r="K1264">
        <f>H1264*90</f>
        <v/>
      </c>
      <c r="M1264">
        <f>L1264/K1264</f>
        <v/>
      </c>
    </row>
    <row r="1265">
      <c r="A1265" s="1" t="n">
        <v>1289</v>
      </c>
      <c r="B1265" s="2" t="inlineStr">
        <is>
          <t>Uruguay</t>
        </is>
      </c>
      <c r="C1265" s="2" t="inlineStr">
        <is>
          <t>Agustín Canobbio</t>
        </is>
      </c>
      <c r="D1265" s="2" t="inlineStr">
        <is>
          <t>Avançado</t>
        </is>
      </c>
      <c r="E1265" s="2" t="inlineStr">
        <is>
          <t>Fluminense</t>
        </is>
      </c>
      <c r="F1265">
        <f>VLOOKUP(E1265,Clubes!B$2:D$438,2)</f>
        <v/>
      </c>
      <c r="G1265">
        <f>VLOOKUP(E1265,Clubes!B$2:D$438,3)</f>
        <v/>
      </c>
      <c r="H1265" s="2" t="n">
        <v>38</v>
      </c>
      <c r="J1265">
        <f>I1265/H1265</f>
        <v/>
      </c>
      <c r="K1265">
        <f>H1265*90</f>
        <v/>
      </c>
      <c r="M1265">
        <f>L1265/K1265</f>
        <v/>
      </c>
    </row>
    <row r="1266">
      <c r="A1266" s="1" t="n">
        <v>1290</v>
      </c>
      <c r="B1266" s="2" t="inlineStr">
        <is>
          <t>Uruguay</t>
        </is>
      </c>
      <c r="C1266" s="2" t="inlineStr">
        <is>
          <t>Brian Rodríguez</t>
        </is>
      </c>
      <c r="D1266" s="2" t="inlineStr">
        <is>
          <t>Avançado</t>
        </is>
      </c>
      <c r="E1266" s="2" t="inlineStr">
        <is>
          <t>Club América</t>
        </is>
      </c>
      <c r="F1266">
        <f>VLOOKUP(E1266,Clubes!B$2:D$438,2)</f>
        <v/>
      </c>
      <c r="G1266">
        <f>VLOOKUP(E1266,Clubes!B$2:D$438,3)</f>
        <v/>
      </c>
      <c r="H1266" s="2" t="n">
        <v>34</v>
      </c>
      <c r="J1266">
        <f>I1266/H1266</f>
        <v/>
      </c>
      <c r="K1266">
        <f>H1266*90</f>
        <v/>
      </c>
      <c r="M1266">
        <f>L1266/K1266</f>
        <v/>
      </c>
    </row>
    <row r="1267">
      <c r="A1267" s="1" t="n">
        <v>1291</v>
      </c>
      <c r="B1267" s="2" t="inlineStr">
        <is>
          <t>Uruguay</t>
        </is>
      </c>
      <c r="C1267" s="2" t="inlineStr">
        <is>
          <t>Rodrigo Aguirre</t>
        </is>
      </c>
      <c r="D1267" s="2" t="inlineStr">
        <is>
          <t>Avançado</t>
        </is>
      </c>
      <c r="E1267" s="2" t="inlineStr">
        <is>
          <t>Tigres</t>
        </is>
      </c>
      <c r="F1267">
        <f>VLOOKUP(E1267,Clubes!B$2:D$438,2)</f>
        <v/>
      </c>
      <c r="G1267">
        <f>VLOOKUP(E1267,Clubes!B$2:D$438,3)</f>
        <v/>
      </c>
      <c r="H1267" s="2" t="n">
        <v>38</v>
      </c>
      <c r="J1267">
        <f>I1267/H1267</f>
        <v/>
      </c>
      <c r="K1267">
        <f>H1267*90</f>
        <v/>
      </c>
      <c r="M1267">
        <f>L1267/K1267</f>
        <v/>
      </c>
    </row>
    <row r="1268">
      <c r="A1268" s="1" t="n">
        <v>1292</v>
      </c>
      <c r="B1268" s="2" t="inlineStr">
        <is>
          <t>Uruguay</t>
        </is>
      </c>
      <c r="C1268" s="2" t="inlineStr">
        <is>
          <t>Federico Viñas</t>
        </is>
      </c>
      <c r="D1268" s="2" t="inlineStr">
        <is>
          <t>Avançado</t>
        </is>
      </c>
      <c r="E1268" s="2" t="inlineStr">
        <is>
          <t>Real Oviedo</t>
        </is>
      </c>
      <c r="F1268">
        <f>VLOOKUP(E1268,Clubes!B$2:D$438,2)</f>
        <v/>
      </c>
      <c r="G1268">
        <f>VLOOKUP(E1268,Clubes!B$2:D$438,3)</f>
        <v/>
      </c>
      <c r="H1268" s="2" t="n">
        <v>38</v>
      </c>
      <c r="J1268">
        <f>I1268/H1268</f>
        <v/>
      </c>
      <c r="K1268">
        <f>H1268*90</f>
        <v/>
      </c>
      <c r="M1268">
        <f>L1268/K1268</f>
        <v/>
      </c>
    </row>
    <row r="1269">
      <c r="A1269" s="1" t="n">
        <v>1293</v>
      </c>
      <c r="B1269" s="2" t="inlineStr">
        <is>
          <t>Uzbekistan</t>
        </is>
      </c>
      <c r="C1269" s="2" t="inlineStr">
        <is>
          <t>Utkir Yusupov</t>
        </is>
      </c>
      <c r="D1269" s="2" t="inlineStr">
        <is>
          <t>Guarda Redes</t>
        </is>
      </c>
      <c r="E1269" s="2" t="inlineStr">
        <is>
          <t>Navbahor Namangan</t>
        </is>
      </c>
      <c r="F1269">
        <f>VLOOKUP(E1269,Clubes!B$2:D$438,2)</f>
        <v/>
      </c>
      <c r="G1269">
        <f>VLOOKUP(E1269,Clubes!B$2:D$438,3)</f>
        <v/>
      </c>
      <c r="H1269" s="2" t="n">
        <v>26</v>
      </c>
      <c r="J1269">
        <f>I1269/H1269</f>
        <v/>
      </c>
      <c r="K1269">
        <f>H1269*90</f>
        <v/>
      </c>
      <c r="M1269">
        <f>L1269/K1269</f>
        <v/>
      </c>
    </row>
    <row r="1270">
      <c r="A1270" s="1" t="n">
        <v>1294</v>
      </c>
      <c r="B1270" s="2" t="inlineStr">
        <is>
          <t>Uzbekistan</t>
        </is>
      </c>
      <c r="C1270" s="2" t="inlineStr">
        <is>
          <t>Abduvohid Nematov</t>
        </is>
      </c>
      <c r="D1270" s="2" t="inlineStr">
        <is>
          <t>Guarda Redes</t>
        </is>
      </c>
      <c r="E1270" s="2" t="inlineStr">
        <is>
          <t>Nasaf Qarshi</t>
        </is>
      </c>
      <c r="F1270">
        <f>VLOOKUP(E1270,Clubes!B$2:D$438,2)</f>
        <v/>
      </c>
      <c r="G1270">
        <f>VLOOKUP(E1270,Clubes!B$2:D$438,3)</f>
        <v/>
      </c>
      <c r="H1270" s="2" t="n">
        <v>26</v>
      </c>
      <c r="J1270">
        <f>I1270/H1270</f>
        <v/>
      </c>
      <c r="K1270">
        <f>H1270*90</f>
        <v/>
      </c>
      <c r="M1270">
        <f>L1270/K1270</f>
        <v/>
      </c>
    </row>
    <row r="1271">
      <c r="A1271" s="1" t="n">
        <v>1295</v>
      </c>
      <c r="B1271" s="2" t="inlineStr">
        <is>
          <t>Uzbekistan</t>
        </is>
      </c>
      <c r="C1271" s="2" t="inlineStr">
        <is>
          <t>Botir Ergashev</t>
        </is>
      </c>
      <c r="D1271" s="2" t="inlineStr">
        <is>
          <t>Guarda Redes</t>
        </is>
      </c>
      <c r="E1271" s="2" t="inlineStr">
        <is>
          <t>Neftchi</t>
        </is>
      </c>
      <c r="F1271">
        <f>VLOOKUP(E1271,Clubes!B$2:D$438,2)</f>
        <v/>
      </c>
      <c r="G1271">
        <f>VLOOKUP(E1271,Clubes!B$2:D$438,3)</f>
        <v/>
      </c>
      <c r="H1271" s="2" t="n">
        <v>26</v>
      </c>
      <c r="J1271">
        <f>I1271/H1271</f>
        <v/>
      </c>
      <c r="K1271">
        <f>H1271*90</f>
        <v/>
      </c>
      <c r="M1271">
        <f>L1271/K1271</f>
        <v/>
      </c>
    </row>
    <row r="1272">
      <c r="A1272" s="1" t="n">
        <v>1296</v>
      </c>
      <c r="B1272" s="2" t="inlineStr">
        <is>
          <t>Uzbekistan</t>
        </is>
      </c>
      <c r="C1272" s="2" t="inlineStr">
        <is>
          <t>Khozhiakbar Alizhonov</t>
        </is>
      </c>
      <c r="D1272" s="2" t="inlineStr">
        <is>
          <t>Defesa</t>
        </is>
      </c>
      <c r="E1272" s="2" t="inlineStr">
        <is>
          <t>Pakhtakor</t>
        </is>
      </c>
      <c r="F1272">
        <f>VLOOKUP(E1272,Clubes!B$2:D$438,2)</f>
        <v/>
      </c>
      <c r="G1272">
        <f>VLOOKUP(E1272,Clubes!B$2:D$438,3)</f>
        <v/>
      </c>
      <c r="H1272" s="2" t="n">
        <v>26</v>
      </c>
      <c r="J1272">
        <f>I1272/H1272</f>
        <v/>
      </c>
      <c r="K1272">
        <f>H1272*90</f>
        <v/>
      </c>
      <c r="M1272">
        <f>L1272/K1272</f>
        <v/>
      </c>
    </row>
    <row r="1273">
      <c r="A1273" s="1" t="n">
        <v>1297</v>
      </c>
      <c r="B1273" s="2" t="inlineStr">
        <is>
          <t>Uzbekistan</t>
        </is>
      </c>
      <c r="C1273" s="2" t="inlineStr">
        <is>
          <t>Behruz Karimov</t>
        </is>
      </c>
      <c r="D1273" s="2" t="inlineStr">
        <is>
          <t>Defesa</t>
        </is>
      </c>
      <c r="E1273" s="2" t="inlineStr">
        <is>
          <t>Surkhon</t>
        </is>
      </c>
      <c r="F1273">
        <f>VLOOKUP(E1273,Clubes!B$2:D$438,2)</f>
        <v/>
      </c>
      <c r="G1273">
        <f>VLOOKUP(E1273,Clubes!B$2:D$438,3)</f>
        <v/>
      </c>
      <c r="H1273" s="2" t="n">
        <v>26</v>
      </c>
      <c r="J1273">
        <f>I1273/H1273</f>
        <v/>
      </c>
      <c r="K1273">
        <f>H1273*90</f>
        <v/>
      </c>
      <c r="M1273">
        <f>L1273/K1273</f>
        <v/>
      </c>
    </row>
    <row r="1274">
      <c r="A1274" s="1" t="n">
        <v>1298</v>
      </c>
      <c r="B1274" s="2" t="inlineStr">
        <is>
          <t>Uzbekistan</t>
        </is>
      </c>
      <c r="C1274" s="2" t="inlineStr">
        <is>
          <t>Avazbek Ulmasaliev</t>
        </is>
      </c>
      <c r="D1274" s="2" t="inlineStr">
        <is>
          <t>Defesa</t>
        </is>
      </c>
      <c r="E1274" s="2" t="inlineStr">
        <is>
          <t>Olmaliq FK</t>
        </is>
      </c>
      <c r="F1274">
        <f>VLOOKUP(E1274,Clubes!B$2:D$438,2)</f>
        <v/>
      </c>
      <c r="G1274">
        <f>VLOOKUP(E1274,Clubes!B$2:D$438,3)</f>
        <v/>
      </c>
      <c r="H1274" s="2" t="n">
        <v>26</v>
      </c>
      <c r="J1274">
        <f>I1274/H1274</f>
        <v/>
      </c>
      <c r="K1274">
        <f>H1274*90</f>
        <v/>
      </c>
      <c r="M1274">
        <f>L1274/K1274</f>
        <v/>
      </c>
    </row>
    <row r="1275">
      <c r="A1275" s="1" t="n">
        <v>1299</v>
      </c>
      <c r="B1275" s="2" t="inlineStr">
        <is>
          <t>Uzbekistan</t>
        </is>
      </c>
      <c r="C1275" s="2" t="inlineStr">
        <is>
          <t>Abdukodir Khusanov</t>
        </is>
      </c>
      <c r="D1275" s="2" t="inlineStr">
        <is>
          <t>Defesa</t>
        </is>
      </c>
      <c r="E1275" s="2" t="inlineStr">
        <is>
          <t>Manchester City</t>
        </is>
      </c>
      <c r="F1275">
        <f>VLOOKUP(E1275,Clubes!B$2:D$438,2)</f>
        <v/>
      </c>
      <c r="G1275">
        <f>VLOOKUP(E1275,Clubes!B$2:D$438,3)</f>
        <v/>
      </c>
      <c r="H1275" s="2" t="n">
        <v>38</v>
      </c>
      <c r="J1275">
        <f>I1275/H1275</f>
        <v/>
      </c>
      <c r="K1275">
        <f>H1275*90</f>
        <v/>
      </c>
      <c r="M1275">
        <f>L1275/K1275</f>
        <v/>
      </c>
    </row>
    <row r="1276">
      <c r="A1276" s="1" t="n">
        <v>1300</v>
      </c>
      <c r="B1276" s="2" t="inlineStr">
        <is>
          <t>Uzbekistan</t>
        </is>
      </c>
      <c r="C1276" s="2" t="inlineStr">
        <is>
          <t>Rustamjon Ashurmatov</t>
        </is>
      </c>
      <c r="D1276" s="2" t="inlineStr">
        <is>
          <t>Defesa</t>
        </is>
      </c>
      <c r="E1276" s="2" t="inlineStr">
        <is>
          <t>Esteghlal Tehran</t>
        </is>
      </c>
      <c r="F1276">
        <f>VLOOKUP(E1276,Clubes!B$2:D$438,2)</f>
        <v/>
      </c>
      <c r="G1276">
        <f>VLOOKUP(E1276,Clubes!B$2:D$438,3)</f>
        <v/>
      </c>
      <c r="H1276" s="2" t="n">
        <v>30</v>
      </c>
      <c r="J1276">
        <f>I1276/H1276</f>
        <v/>
      </c>
      <c r="K1276">
        <f>H1276*90</f>
        <v/>
      </c>
      <c r="M1276">
        <f>L1276/K1276</f>
        <v/>
      </c>
    </row>
    <row r="1277">
      <c r="A1277" s="1" t="n">
        <v>1301</v>
      </c>
      <c r="B1277" s="2" t="inlineStr">
        <is>
          <t>Uzbekistan</t>
        </is>
      </c>
      <c r="C1277" s="2" t="inlineStr">
        <is>
          <t>Umar Eshmurodov</t>
        </is>
      </c>
      <c r="D1277" s="2" t="inlineStr">
        <is>
          <t>Defesa</t>
        </is>
      </c>
      <c r="E1277" s="2" t="inlineStr">
        <is>
          <t>Nasaf Qarshi</t>
        </is>
      </c>
      <c r="F1277">
        <f>VLOOKUP(E1277,Clubes!B$2:D$438,2)</f>
        <v/>
      </c>
      <c r="G1277">
        <f>VLOOKUP(E1277,Clubes!B$2:D$438,3)</f>
        <v/>
      </c>
      <c r="H1277" s="2" t="n">
        <v>26</v>
      </c>
      <c r="J1277">
        <f>I1277/H1277</f>
        <v/>
      </c>
      <c r="K1277">
        <f>H1277*90</f>
        <v/>
      </c>
      <c r="M1277">
        <f>L1277/K1277</f>
        <v/>
      </c>
    </row>
    <row r="1278">
      <c r="A1278" s="1" t="n">
        <v>1302</v>
      </c>
      <c r="B1278" s="2" t="inlineStr">
        <is>
          <t>Uzbekistan</t>
        </is>
      </c>
      <c r="C1278" s="2" t="inlineStr">
        <is>
          <t>Jakhongir Urozov</t>
        </is>
      </c>
      <c r="D1278" s="2" t="inlineStr">
        <is>
          <t>Defesa</t>
        </is>
      </c>
      <c r="E1278" s="2" t="inlineStr">
        <is>
          <t>Dynamo Samarqand</t>
        </is>
      </c>
      <c r="F1278">
        <f>VLOOKUP(E1278,Clubes!B$2:D$438,2)</f>
        <v/>
      </c>
      <c r="G1278">
        <f>VLOOKUP(E1278,Clubes!B$2:D$438,3)</f>
        <v/>
      </c>
      <c r="H1278" s="2" t="n">
        <v>26</v>
      </c>
      <c r="J1278">
        <f>I1278/H1278</f>
        <v/>
      </c>
      <c r="K1278">
        <f>H1278*90</f>
        <v/>
      </c>
      <c r="M1278">
        <f>L1278/K1278</f>
        <v/>
      </c>
    </row>
    <row r="1279">
      <c r="A1279" s="1" t="n">
        <v>1303</v>
      </c>
      <c r="B1279" s="2" t="inlineStr">
        <is>
          <t>Uzbekistan</t>
        </is>
      </c>
      <c r="C1279" s="2" t="inlineStr">
        <is>
          <t>Farruh Sayfiev</t>
        </is>
      </c>
      <c r="D1279" s="2" t="inlineStr">
        <is>
          <t>Defesa</t>
        </is>
      </c>
      <c r="E1279" s="2" t="inlineStr">
        <is>
          <t>Neftchi</t>
        </is>
      </c>
      <c r="F1279">
        <f>VLOOKUP(E1279,Clubes!B$2:D$438,2)</f>
        <v/>
      </c>
      <c r="G1279">
        <f>VLOOKUP(E1279,Clubes!B$2:D$438,3)</f>
        <v/>
      </c>
      <c r="H1279" s="2" t="n">
        <v>26</v>
      </c>
      <c r="J1279">
        <f>I1279/H1279</f>
        <v/>
      </c>
      <c r="K1279">
        <f>H1279*90</f>
        <v/>
      </c>
      <c r="M1279">
        <f>L1279/K1279</f>
        <v/>
      </c>
    </row>
    <row r="1280">
      <c r="A1280" s="1" t="n">
        <v>1304</v>
      </c>
      <c r="B1280" s="2" t="inlineStr">
        <is>
          <t>Uzbekistan</t>
        </is>
      </c>
      <c r="C1280" s="2" t="inlineStr">
        <is>
          <t>Sherzod Nasrullaev</t>
        </is>
      </c>
      <c r="D1280" s="2" t="inlineStr">
        <is>
          <t>Defesa</t>
        </is>
      </c>
      <c r="E1280" s="2" t="inlineStr">
        <is>
          <t>Pakhtakor</t>
        </is>
      </c>
      <c r="F1280">
        <f>VLOOKUP(E1280,Clubes!B$2:D$438,2)</f>
        <v/>
      </c>
      <c r="G1280">
        <f>VLOOKUP(E1280,Clubes!B$2:D$438,3)</f>
        <v/>
      </c>
      <c r="H1280" s="2" t="n">
        <v>26</v>
      </c>
      <c r="J1280">
        <f>I1280/H1280</f>
        <v/>
      </c>
      <c r="K1280">
        <f>H1280*90</f>
        <v/>
      </c>
      <c r="M1280">
        <f>L1280/K1280</f>
        <v/>
      </c>
    </row>
    <row r="1281">
      <c r="A1281" s="1" t="n">
        <v>1305</v>
      </c>
      <c r="B1281" s="2" t="inlineStr">
        <is>
          <t>Uzbekistan</t>
        </is>
      </c>
      <c r="C1281" s="2" t="inlineStr">
        <is>
          <t>Abdulla Abdullaev</t>
        </is>
      </c>
      <c r="D1281" s="2" t="inlineStr">
        <is>
          <t>Médio</t>
        </is>
      </c>
      <c r="E1281" s="2" t="inlineStr">
        <is>
          <t>Dibba Al Fujairah</t>
        </is>
      </c>
      <c r="F1281">
        <f>VLOOKUP(E1281,Clubes!B$2:D$438,2)</f>
        <v/>
      </c>
      <c r="G1281">
        <f>VLOOKUP(E1281,Clubes!B$2:D$438,3)</f>
        <v/>
      </c>
      <c r="H1281" s="2" t="n">
        <v>26</v>
      </c>
      <c r="J1281">
        <f>I1281/H1281</f>
        <v/>
      </c>
      <c r="K1281">
        <f>H1281*90</f>
        <v/>
      </c>
      <c r="M1281">
        <f>L1281/K1281</f>
        <v/>
      </c>
    </row>
    <row r="1282">
      <c r="A1282" s="1" t="n">
        <v>1306</v>
      </c>
      <c r="B1282" s="2" t="inlineStr">
        <is>
          <t>Uzbekistan</t>
        </is>
      </c>
      <c r="C1282" s="2" t="inlineStr">
        <is>
          <t>Dostonbek Khamdamov</t>
        </is>
      </c>
      <c r="D1282" s="2" t="inlineStr">
        <is>
          <t>Médio</t>
        </is>
      </c>
      <c r="E1282" s="2" t="inlineStr">
        <is>
          <t>Pakhtakor</t>
        </is>
      </c>
      <c r="F1282">
        <f>VLOOKUP(E1282,Clubes!B$2:D$438,2)</f>
        <v/>
      </c>
      <c r="G1282">
        <f>VLOOKUP(E1282,Clubes!B$2:D$438,3)</f>
        <v/>
      </c>
      <c r="H1282" s="2" t="n">
        <v>26</v>
      </c>
      <c r="J1282">
        <f>I1282/H1282</f>
        <v/>
      </c>
      <c r="K1282">
        <f>H1282*90</f>
        <v/>
      </c>
      <c r="M1282">
        <f>L1282/K1282</f>
        <v/>
      </c>
    </row>
    <row r="1283">
      <c r="A1283" s="1" t="n">
        <v>1307</v>
      </c>
      <c r="B1283" s="2" t="inlineStr">
        <is>
          <t>Uzbekistan</t>
        </is>
      </c>
      <c r="C1283" s="2" t="inlineStr">
        <is>
          <t>Akmal Mozgovoy</t>
        </is>
      </c>
      <c r="D1283" s="2" t="inlineStr">
        <is>
          <t>Médio</t>
        </is>
      </c>
      <c r="E1283" s="2" t="inlineStr">
        <is>
          <t>Pakhtakor</t>
        </is>
      </c>
      <c r="F1283">
        <f>VLOOKUP(E1283,Clubes!B$2:D$438,2)</f>
        <v/>
      </c>
      <c r="G1283">
        <f>VLOOKUP(E1283,Clubes!B$2:D$438,3)</f>
        <v/>
      </c>
      <c r="H1283" s="2" t="n">
        <v>26</v>
      </c>
      <c r="J1283">
        <f>I1283/H1283</f>
        <v/>
      </c>
      <c r="K1283">
        <f>H1283*90</f>
        <v/>
      </c>
      <c r="M1283">
        <f>L1283/K1283</f>
        <v/>
      </c>
    </row>
    <row r="1284">
      <c r="A1284" s="1" t="n">
        <v>1308</v>
      </c>
      <c r="B1284" s="2" t="inlineStr">
        <is>
          <t>Uzbekistan</t>
        </is>
      </c>
      <c r="C1284" s="2" t="inlineStr">
        <is>
          <t>Otabek Shukurov</t>
        </is>
      </c>
      <c r="D1284" s="2" t="inlineStr">
        <is>
          <t>Médio</t>
        </is>
      </c>
      <c r="E1284" s="2" t="inlineStr">
        <is>
          <t>Baniyas</t>
        </is>
      </c>
      <c r="F1284">
        <f>VLOOKUP(E1284,Clubes!B$2:D$438,2)</f>
        <v/>
      </c>
      <c r="G1284">
        <f>VLOOKUP(E1284,Clubes!B$2:D$438,3)</f>
        <v/>
      </c>
      <c r="H1284" s="2" t="n">
        <v>26</v>
      </c>
      <c r="J1284">
        <f>I1284/H1284</f>
        <v/>
      </c>
      <c r="K1284">
        <f>H1284*90</f>
        <v/>
      </c>
      <c r="M1284">
        <f>L1284/K1284</f>
        <v/>
      </c>
    </row>
    <row r="1285">
      <c r="A1285" s="1" t="n">
        <v>1309</v>
      </c>
      <c r="B1285" s="2" t="inlineStr">
        <is>
          <t>Uzbekistan</t>
        </is>
      </c>
      <c r="C1285" s="2" t="inlineStr">
        <is>
          <t>Odil Khamrobekov</t>
        </is>
      </c>
      <c r="D1285" s="2" t="inlineStr">
        <is>
          <t>Médio</t>
        </is>
      </c>
      <c r="E1285" s="2" t="inlineStr">
        <is>
          <t>Tractor Club</t>
        </is>
      </c>
      <c r="F1285">
        <f>VLOOKUP(E1285,Clubes!B$2:D$438,2)</f>
        <v/>
      </c>
      <c r="G1285">
        <f>VLOOKUP(E1285,Clubes!B$2:D$438,3)</f>
        <v/>
      </c>
      <c r="H1285" s="2" t="n">
        <v>30</v>
      </c>
      <c r="J1285">
        <f>I1285/H1285</f>
        <v/>
      </c>
      <c r="K1285">
        <f>H1285*90</f>
        <v/>
      </c>
      <c r="M1285">
        <f>L1285/K1285</f>
        <v/>
      </c>
    </row>
    <row r="1286">
      <c r="A1286" s="1" t="n">
        <v>1310</v>
      </c>
      <c r="B1286" s="2" t="inlineStr">
        <is>
          <t>Uzbekistan</t>
        </is>
      </c>
      <c r="C1286" s="2" t="inlineStr">
        <is>
          <t>Aziz Ganiev</t>
        </is>
      </c>
      <c r="D1286" s="2" t="inlineStr">
        <is>
          <t>Médio</t>
        </is>
      </c>
      <c r="E1286" s="2" t="inlineStr">
        <is>
          <t>Al Bataeh</t>
        </is>
      </c>
      <c r="F1286">
        <f>VLOOKUP(E1286,Clubes!B$2:D$438,2)</f>
        <v/>
      </c>
      <c r="G1286">
        <f>VLOOKUP(E1286,Clubes!B$2:D$438,3)</f>
        <v/>
      </c>
      <c r="H1286" s="2" t="n">
        <v>26</v>
      </c>
      <c r="J1286">
        <f>I1286/H1286</f>
        <v/>
      </c>
      <c r="K1286">
        <f>H1286*90</f>
        <v/>
      </c>
      <c r="M1286">
        <f>L1286/K1286</f>
        <v/>
      </c>
    </row>
    <row r="1287">
      <c r="A1287" s="1" t="n">
        <v>1311</v>
      </c>
      <c r="B1287" s="2" t="inlineStr">
        <is>
          <t>Uzbekistan</t>
        </is>
      </c>
      <c r="C1287" s="2" t="inlineStr">
        <is>
          <t>Sherzod Esanov</t>
        </is>
      </c>
      <c r="D1287" s="2" t="inlineStr">
        <is>
          <t>Médio</t>
        </is>
      </c>
      <c r="E1287" s="2" t="inlineStr">
        <is>
          <t>FK Buxoro</t>
        </is>
      </c>
      <c r="F1287">
        <f>VLOOKUP(E1287,Clubes!B$2:D$438,2)</f>
        <v/>
      </c>
      <c r="G1287">
        <f>VLOOKUP(E1287,Clubes!B$2:D$438,3)</f>
        <v/>
      </c>
      <c r="H1287" s="2" t="n">
        <v>26</v>
      </c>
      <c r="J1287">
        <f>I1287/H1287</f>
        <v/>
      </c>
      <c r="K1287">
        <f>H1287*90</f>
        <v/>
      </c>
      <c r="M1287">
        <f>L1287/K1287</f>
        <v/>
      </c>
    </row>
    <row r="1288">
      <c r="A1288" s="1" t="n">
        <v>1312</v>
      </c>
      <c r="B1288" s="2" t="inlineStr">
        <is>
          <t>Uzbekistan</t>
        </is>
      </c>
      <c r="C1288" s="2" t="inlineStr">
        <is>
          <t>Jamshid Iskandarov</t>
        </is>
      </c>
      <c r="D1288" s="2" t="inlineStr">
        <is>
          <t>Médio</t>
        </is>
      </c>
      <c r="E1288" s="2" t="inlineStr">
        <is>
          <t>Neftchi</t>
        </is>
      </c>
      <c r="F1288">
        <f>VLOOKUP(E1288,Clubes!B$2:D$438,2)</f>
        <v/>
      </c>
      <c r="G1288">
        <f>VLOOKUP(E1288,Clubes!B$2:D$438,3)</f>
        <v/>
      </c>
      <c r="H1288" s="2" t="n">
        <v>26</v>
      </c>
      <c r="J1288">
        <f>I1288/H1288</f>
        <v/>
      </c>
      <c r="K1288">
        <f>H1288*90</f>
        <v/>
      </c>
      <c r="M1288">
        <f>L1288/K1288</f>
        <v/>
      </c>
    </row>
    <row r="1289">
      <c r="A1289" s="1" t="n">
        <v>1313</v>
      </c>
      <c r="B1289" s="2" t="inlineStr">
        <is>
          <t>Uzbekistan</t>
        </is>
      </c>
      <c r="C1289" s="2" t="inlineStr">
        <is>
          <t>Oston Urunov</t>
        </is>
      </c>
      <c r="D1289" s="2" t="inlineStr">
        <is>
          <t>Médio</t>
        </is>
      </c>
      <c r="E1289" s="2" t="inlineStr">
        <is>
          <t>Persepolis FC</t>
        </is>
      </c>
      <c r="F1289">
        <f>VLOOKUP(E1289,Clubes!B$2:D$438,2)</f>
        <v/>
      </c>
      <c r="G1289">
        <f>VLOOKUP(E1289,Clubes!B$2:D$438,3)</f>
        <v/>
      </c>
      <c r="H1289" s="2" t="n">
        <v>30</v>
      </c>
      <c r="J1289">
        <f>I1289/H1289</f>
        <v/>
      </c>
      <c r="K1289">
        <f>H1289*90</f>
        <v/>
      </c>
      <c r="M1289">
        <f>L1289/K1289</f>
        <v/>
      </c>
    </row>
    <row r="1290">
      <c r="A1290" s="1" t="n">
        <v>1314</v>
      </c>
      <c r="B1290" s="2" t="inlineStr">
        <is>
          <t>Uzbekistan</t>
        </is>
      </c>
      <c r="C1290" s="2" t="inlineStr">
        <is>
          <t>Azizbek Amonov</t>
        </is>
      </c>
      <c r="D1290" s="2" t="inlineStr">
        <is>
          <t>Avançado</t>
        </is>
      </c>
      <c r="E1290" s="2" t="inlineStr">
        <is>
          <t>Dynamo Samarqand</t>
        </is>
      </c>
      <c r="F1290">
        <f>VLOOKUP(E1290,Clubes!B$2:D$438,2)</f>
        <v/>
      </c>
      <c r="G1290">
        <f>VLOOKUP(E1290,Clubes!B$2:D$438,3)</f>
        <v/>
      </c>
      <c r="H1290" s="2" t="n">
        <v>26</v>
      </c>
      <c r="J1290">
        <f>I1290/H1290</f>
        <v/>
      </c>
      <c r="K1290">
        <f>H1290*90</f>
        <v/>
      </c>
      <c r="M1290">
        <f>L1290/K1290</f>
        <v/>
      </c>
    </row>
    <row r="1291">
      <c r="A1291" s="1" t="n">
        <v>1315</v>
      </c>
      <c r="B1291" s="2" t="inlineStr">
        <is>
          <t>Uzbekistan</t>
        </is>
      </c>
      <c r="C1291" s="2" t="inlineStr">
        <is>
          <t>Abbos Fayzullaev</t>
        </is>
      </c>
      <c r="D1291" s="2" t="inlineStr">
        <is>
          <t>Avançado</t>
        </is>
      </c>
      <c r="E1291" s="2" t="inlineStr">
        <is>
          <t>Basaksehir</t>
        </is>
      </c>
      <c r="F1291">
        <f>VLOOKUP(E1291,Clubes!B$2:D$438,2)</f>
        <v/>
      </c>
      <c r="G1291">
        <f>VLOOKUP(E1291,Clubes!B$2:D$438,3)</f>
        <v/>
      </c>
      <c r="H1291" s="2" t="n">
        <v>34</v>
      </c>
      <c r="J1291">
        <f>I1291/H1291</f>
        <v/>
      </c>
      <c r="K1291">
        <f>H1291*90</f>
        <v/>
      </c>
      <c r="M1291">
        <f>L1291/K1291</f>
        <v/>
      </c>
    </row>
    <row r="1292">
      <c r="A1292" s="1" t="n">
        <v>1316</v>
      </c>
      <c r="B1292" s="2" t="inlineStr">
        <is>
          <t>Uzbekistan</t>
        </is>
      </c>
      <c r="C1292" s="2" t="inlineStr">
        <is>
          <t>Eldor Shomurodov</t>
        </is>
      </c>
      <c r="D1292" s="2" t="inlineStr">
        <is>
          <t>Avançado</t>
        </is>
      </c>
      <c r="E1292" s="2" t="inlineStr">
        <is>
          <t>Basaksehir</t>
        </is>
      </c>
      <c r="F1292">
        <f>VLOOKUP(E1292,Clubes!B$2:D$438,2)</f>
        <v/>
      </c>
      <c r="G1292">
        <f>VLOOKUP(E1292,Clubes!B$2:D$438,3)</f>
        <v/>
      </c>
      <c r="H1292" s="2" t="n">
        <v>34</v>
      </c>
      <c r="J1292">
        <f>I1292/H1292</f>
        <v/>
      </c>
      <c r="K1292">
        <f>H1292*90</f>
        <v/>
      </c>
      <c r="M1292">
        <f>L1292/K1292</f>
        <v/>
      </c>
    </row>
    <row r="1293">
      <c r="A1293" s="1" t="n">
        <v>1317</v>
      </c>
      <c r="B1293" s="2" t="inlineStr">
        <is>
          <t>Uzbekistan</t>
        </is>
      </c>
      <c r="C1293" s="2" t="inlineStr">
        <is>
          <t>Igor Sergeev</t>
        </is>
      </c>
      <c r="D1293" s="2" t="inlineStr">
        <is>
          <t>Avançado</t>
        </is>
      </c>
      <c r="E1293" s="2" t="inlineStr">
        <is>
          <t>Persepolis FC</t>
        </is>
      </c>
      <c r="F1293">
        <f>VLOOKUP(E1293,Clubes!B$2:D$438,2)</f>
        <v/>
      </c>
      <c r="G1293">
        <f>VLOOKUP(E1293,Clubes!B$2:D$438,3)</f>
        <v/>
      </c>
      <c r="H1293" s="2" t="n">
        <v>30</v>
      </c>
      <c r="J1293">
        <f>I1293/H1293</f>
        <v/>
      </c>
      <c r="K1293">
        <f>H1293*90</f>
        <v/>
      </c>
      <c r="M1293">
        <f>L1293/K1293</f>
        <v/>
      </c>
    </row>
    <row r="1294">
      <c r="A1294" s="1" t="n">
        <v>1318</v>
      </c>
      <c r="B1294" s="2" t="inlineStr">
        <is>
          <t>Uzbekistan</t>
        </is>
      </c>
      <c r="C1294" s="2" t="inlineStr">
        <is>
          <t>Jaloliddin Masharipov</t>
        </is>
      </c>
      <c r="D1294" s="2" t="inlineStr">
        <is>
          <t>Avançado</t>
        </is>
      </c>
      <c r="E1294" s="2" t="inlineStr">
        <is>
          <t>Esteghlal Tehran</t>
        </is>
      </c>
      <c r="F1294">
        <f>VLOOKUP(E1294,Clubes!B$2:D$438,2)</f>
        <v/>
      </c>
      <c r="G1294">
        <f>VLOOKUP(E1294,Clubes!B$2:D$438,3)</f>
        <v/>
      </c>
      <c r="H1294" s="2" t="n">
        <v>30</v>
      </c>
      <c r="J1294">
        <f>I1294/H1294</f>
        <v/>
      </c>
      <c r="K1294">
        <f>H1294*90</f>
        <v/>
      </c>
      <c r="M1294">
        <f>L1294/K1294</f>
        <v/>
      </c>
    </row>
  </sheetData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8"/>
  <sheetViews>
    <sheetView workbookViewId="0">
      <pane ySplit="1" topLeftCell="A407" activePane="bottomLeft" state="frozen"/>
      <selection pane="bottomLeft" activeCell="G435" sqref="G435"/>
    </sheetView>
  </sheetViews>
  <sheetFormatPr baseColWidth="10" defaultColWidth="8.83203125" defaultRowHeight="15"/>
  <cols>
    <col width="7.6640625" bestFit="1" customWidth="1" style="25" min="1" max="1"/>
    <col width="7" customWidth="1" style="25" min="2" max="2"/>
    <col width="6" customWidth="1" style="25" min="3" max="3"/>
    <col width="11" customWidth="1" style="25" min="4" max="4"/>
    <col width="17.83203125" bestFit="1" customWidth="1" style="25" min="7" max="7"/>
    <col width="11.83203125" bestFit="1" customWidth="1" style="25" min="8" max="8"/>
    <col width="32.5" bestFit="1" customWidth="1" style="25" min="9" max="9"/>
    <col width="20.1640625" bestFit="1" customWidth="1" style="25" min="10" max="10"/>
    <col width="14.1640625" bestFit="1" customWidth="1" style="25" min="11" max="11"/>
    <col width="10.83203125" bestFit="1" customWidth="1" style="25" min="12" max="12"/>
  </cols>
  <sheetData>
    <row r="1">
      <c r="A1" t="inlineStr">
        <is>
          <t>id_clube</t>
        </is>
      </c>
      <c r="B1" t="inlineStr">
        <is>
          <t>clube</t>
        </is>
      </c>
      <c r="C1" t="inlineStr">
        <is>
          <t>liga</t>
        </is>
      </c>
      <c r="D1" t="inlineStr">
        <is>
          <t>pais_liga</t>
        </is>
      </c>
      <c r="E1" s="2" t="inlineStr">
        <is>
          <t>ocorrencias</t>
        </is>
      </c>
      <c r="F1" s="2" t="inlineStr">
        <is>
          <t>confianca</t>
        </is>
      </c>
      <c r="G1" t="inlineStr">
        <is>
          <t>posisacao_equipa</t>
        </is>
      </c>
      <c r="H1" t="inlineStr">
        <is>
          <t>epoca_alvo</t>
        </is>
      </c>
    </row>
    <row r="2">
      <c r="A2" s="1" t="n">
        <v>1</v>
      </c>
      <c r="B2" s="2" t="inlineStr">
        <is>
          <t>1. FC Union Berlin</t>
        </is>
      </c>
      <c r="C2" s="2" t="inlineStr">
        <is>
          <t>Bundesliga</t>
        </is>
      </c>
      <c r="D2" s="2" t="inlineStr">
        <is>
          <t>Germany</t>
        </is>
      </c>
      <c r="E2" s="2" t="n">
        <v>1</v>
      </c>
      <c r="F2" s="2" t="inlineStr">
        <is>
          <t>Alta</t>
        </is>
      </c>
      <c r="G2" s="2" t="n">
        <v>11</v>
      </c>
      <c r="H2" s="2" t="inlineStr">
        <is>
          <t>2025/26</t>
        </is>
      </c>
      <c r="I2" s="2" t="inlineStr">
        <is>
          <t>confirmado_por_zerozero_screenshot</t>
        </is>
      </c>
      <c r="J2" s="2" t="inlineStr">
        <is>
          <t>ZeroZero screenshot enviado pelo utilizador - Bundesliga 2025/26</t>
        </is>
      </c>
      <c r="K2" s="2" t="inlineStr">
        <is>
          <t>Validado com a classificação visível no screenshot enviado. Clube normalizado: 1. FC Union Berlin -&gt; 1 fc union berlin.</t>
        </is>
      </c>
    </row>
    <row r="3">
      <c r="A3" s="1" t="n">
        <v>2</v>
      </c>
      <c r="B3" s="2" t="inlineStr">
        <is>
          <t>AEK</t>
        </is>
      </c>
      <c r="C3" s="2" t="inlineStr">
        <is>
          <t>Super League Greece</t>
        </is>
      </c>
      <c r="D3" s="2" t="inlineStr">
        <is>
          <t>Greece</t>
        </is>
      </c>
      <c r="E3" s="2" t="n">
        <v>1</v>
      </c>
      <c r="F3" s="2" t="inlineStr">
        <is>
          <t>Alta</t>
        </is>
      </c>
      <c r="G3" s="2" t="n">
        <v>1</v>
      </c>
      <c r="H3" s="2" t="inlineStr">
        <is>
          <t>2025/26</t>
        </is>
      </c>
      <c r="I3" s="2" t="inlineStr">
        <is>
          <t>confirmado_por_zerozero_screenshot_v5</t>
        </is>
      </c>
      <c r="J3" s="2" t="inlineStr">
        <is>
          <t>ZeroZero screenshot enviado pelo utilizador - Super League Greece 2025/26</t>
        </is>
      </c>
      <c r="K3" s="2" t="inlineStr">
        <is>
          <t>Validado com screenshot ZeroZero enviado nesta passagem. Clube normalizado: AEK -&gt; aek.</t>
        </is>
      </c>
    </row>
    <row r="4">
      <c r="A4" s="1" t="n">
        <v>3</v>
      </c>
      <c r="B4" s="2" t="inlineStr">
        <is>
          <t>AEK Larnaca</t>
        </is>
      </c>
      <c r="C4" s="2" t="inlineStr">
        <is>
          <t>Cypriot First Division</t>
        </is>
      </c>
      <c r="D4" s="2" t="inlineStr">
        <is>
          <t>Cyprus</t>
        </is>
      </c>
      <c r="E4" s="2" t="n">
        <v>1</v>
      </c>
      <c r="F4" s="2" t="inlineStr">
        <is>
          <t>Alta</t>
        </is>
      </c>
      <c r="G4" s="2" t="n">
        <v>2</v>
      </c>
      <c r="H4" s="2" t="inlineStr">
        <is>
          <t>2025/26</t>
        </is>
      </c>
      <c r="I4" s="2" t="inlineStr">
        <is>
          <t>confirmado_por_zerozero_screenshot_v5</t>
        </is>
      </c>
      <c r="J4" s="2" t="inlineStr">
        <is>
          <t>ZeroZero screenshot enviado pelo utilizador - Cypriot First Division 2025/26</t>
        </is>
      </c>
      <c r="K4" s="2" t="inlineStr">
        <is>
          <t>Validado com screenshot ZeroZero enviado nesta passagem. Clube normalizado: AEK Larnaca -&gt; aek larnaca.</t>
        </is>
      </c>
    </row>
    <row r="5">
      <c r="A5" s="1" t="n">
        <v>4</v>
      </c>
      <c r="B5" s="2" t="inlineStr">
        <is>
          <t>AEL Limassol</t>
        </is>
      </c>
      <c r="C5" s="2" t="inlineStr">
        <is>
          <t>Cypriot First Division</t>
        </is>
      </c>
      <c r="D5" s="2" t="inlineStr">
        <is>
          <t>Cyprus</t>
        </is>
      </c>
      <c r="E5" s="2" t="n">
        <v>2</v>
      </c>
      <c r="F5" s="2" t="inlineStr">
        <is>
          <t>Alta</t>
        </is>
      </c>
      <c r="G5" s="2" t="n">
        <v>8</v>
      </c>
      <c r="H5" s="2" t="inlineStr">
        <is>
          <t>2025/26</t>
        </is>
      </c>
      <c r="I5" s="2" t="inlineStr">
        <is>
          <t>confirmado_por_zerozero_screenshot_v5</t>
        </is>
      </c>
      <c r="J5" s="2" t="inlineStr">
        <is>
          <t>ZeroZero screenshot enviado pelo utilizador - Cypriot First Division 2025/26</t>
        </is>
      </c>
      <c r="K5" s="2" t="inlineStr">
        <is>
          <t>Validado com screenshot ZeroZero enviado nesta passagem. Clube normalizado: AEL Limassol -&gt; ael limassol.</t>
        </is>
      </c>
    </row>
    <row r="6">
      <c r="A6" s="1" t="n">
        <v>5</v>
      </c>
      <c r="B6" s="2" t="inlineStr">
        <is>
          <t>AGF Aarhus</t>
        </is>
      </c>
      <c r="C6" s="2" t="inlineStr">
        <is>
          <t>Danish Superliga</t>
        </is>
      </c>
      <c r="D6" s="2" t="inlineStr">
        <is>
          <t>Denmark</t>
        </is>
      </c>
      <c r="E6" s="2" t="n">
        <v>1</v>
      </c>
      <c r="F6" s="2" t="inlineStr">
        <is>
          <t>Alta</t>
        </is>
      </c>
      <c r="G6" s="2" t="n">
        <v>1</v>
      </c>
      <c r="H6" s="2" t="inlineStr">
        <is>
          <t>2025/26</t>
        </is>
      </c>
      <c r="I6" s="2" t="inlineStr">
        <is>
          <t>confirmado_por_zerozero_screenshot</t>
        </is>
      </c>
      <c r="J6" s="2" t="inlineStr">
        <is>
          <t>ZeroZero screenshot enviado pelo utilizador - Superligaen fase regular 2025/26</t>
        </is>
      </c>
      <c r="K6" s="2" t="inlineStr">
        <is>
          <t>Validado com a classificação visível no screenshot enviado. Clube normalizado: AGF Aarhus -&gt; agf aarhus.</t>
        </is>
      </c>
    </row>
    <row r="7">
      <c r="A7" s="1" t="n">
        <v>6</v>
      </c>
      <c r="B7" s="2" t="inlineStr">
        <is>
          <t>AIK</t>
        </is>
      </c>
      <c r="C7" s="2" t="inlineStr">
        <is>
          <t>Allsvenskan</t>
        </is>
      </c>
      <c r="D7" s="2" t="inlineStr">
        <is>
          <t>Sweden</t>
        </is>
      </c>
      <c r="E7" s="2" t="n">
        <v>1</v>
      </c>
      <c r="F7" s="2" t="inlineStr">
        <is>
          <t>Alta</t>
        </is>
      </c>
      <c r="G7" s="2" t="n">
        <v>10</v>
      </c>
      <c r="H7" s="2" t="n">
        <v>2026</v>
      </c>
      <c r="I7" s="2" t="inlineStr">
        <is>
          <t>confirmado_por_zerozero_screenshot_v9</t>
        </is>
      </c>
      <c r="J7" s="2" t="inlineStr">
        <is>
          <t>ZeroZero screenshot enviado pelo utilizador - Allsvenskan 2026</t>
        </is>
      </c>
      <c r="K7" s="2" t="inlineStr">
        <is>
          <t>Validado com screenshot ZeroZero enviado nesta passagem. Clube normalizado: AIK -&gt; aik.</t>
        </is>
      </c>
    </row>
    <row r="8">
      <c r="A8" s="1" t="n">
        <v>7</v>
      </c>
      <c r="B8" s="2" t="inlineStr">
        <is>
          <t>APOEL</t>
        </is>
      </c>
      <c r="C8" s="2" t="inlineStr">
        <is>
          <t>Cypriot First Division</t>
        </is>
      </c>
      <c r="D8" s="2" t="inlineStr">
        <is>
          <t>Cyprus</t>
        </is>
      </c>
      <c r="E8" s="2" t="n">
        <v>1</v>
      </c>
      <c r="F8" s="2" t="inlineStr">
        <is>
          <t>Alta</t>
        </is>
      </c>
      <c r="G8" s="2" t="n">
        <v>5</v>
      </c>
      <c r="H8" s="2" t="inlineStr">
        <is>
          <t>2025/26</t>
        </is>
      </c>
      <c r="I8" s="2" t="inlineStr">
        <is>
          <t>confirmado_por_zerozero_screenshot_v5</t>
        </is>
      </c>
      <c r="J8" s="2" t="inlineStr">
        <is>
          <t>ZeroZero screenshot enviado pelo utilizador - Cypriot First Division 2025/26</t>
        </is>
      </c>
      <c r="K8" s="2" t="inlineStr">
        <is>
          <t>Validado com screenshot ZeroZero enviado nesta passagem. Clube normalizado: APOEL -&gt; apoel.</t>
        </is>
      </c>
    </row>
    <row r="9">
      <c r="A9" s="1" t="n">
        <v>8</v>
      </c>
      <c r="B9" s="2" t="inlineStr">
        <is>
          <t>AZ Alkmaar</t>
        </is>
      </c>
      <c r="C9" s="2" t="inlineStr">
        <is>
          <t>Eredivisie</t>
        </is>
      </c>
      <c r="D9" s="2" t="inlineStr">
        <is>
          <t>Netherlands</t>
        </is>
      </c>
      <c r="E9" s="2" t="n">
        <v>1</v>
      </c>
      <c r="F9" s="2" t="inlineStr">
        <is>
          <t>Alta</t>
        </is>
      </c>
      <c r="G9" s="2" t="n">
        <v>7</v>
      </c>
      <c r="H9" s="2" t="inlineStr">
        <is>
          <t>2025/26</t>
        </is>
      </c>
      <c r="I9" s="2" t="inlineStr">
        <is>
          <t>confirmado_por_zerozero_screenshot</t>
        </is>
      </c>
      <c r="J9" s="2" t="inlineStr">
        <is>
          <t>ZeroZero screenshot enviado pelo utilizador - Eredivisie 2025/26</t>
        </is>
      </c>
      <c r="K9" s="2" t="inlineStr">
        <is>
          <t>Validado com a classificação visível no screenshot enviado. Clube normalizado: AZ Alkmaar -&gt; az alkmaar.</t>
        </is>
      </c>
    </row>
    <row r="10">
      <c r="A10" s="1" t="n">
        <v>9</v>
      </c>
      <c r="B10" s="2" t="inlineStr">
        <is>
          <t>Abha Club</t>
        </is>
      </c>
      <c r="C10" s="2" t="inlineStr">
        <is>
          <t>Saudi First Division League</t>
        </is>
      </c>
      <c r="D10" s="2" t="inlineStr">
        <is>
          <t>Saudi Arabia</t>
        </is>
      </c>
      <c r="E10" s="2" t="n">
        <v>1</v>
      </c>
      <c r="F10" s="2" t="inlineStr">
        <is>
          <t>Média</t>
        </is>
      </c>
      <c r="G10" s="2" t="n">
        <v>1</v>
      </c>
      <c r="H10" s="2" t="inlineStr">
        <is>
          <t>2025/26</t>
        </is>
      </c>
      <c r="I10" s="2" t="inlineStr">
        <is>
          <t>confirmado_por_zerozero_screenshot_v9</t>
        </is>
      </c>
      <c r="J10" s="2" t="inlineStr">
        <is>
          <t>ZeroZero screenshot enviado pelo utilizador - Yelo League 2025/26</t>
        </is>
      </c>
      <c r="K10" s="2" t="inlineStr">
        <is>
          <t>Validado com screenshot ZeroZero enviado nesta passagem. Clube normalizado: Abha Club -&gt; abha club.</t>
        </is>
      </c>
    </row>
    <row r="11">
      <c r="A11" s="1" t="n">
        <v>10</v>
      </c>
      <c r="B11" s="2" t="inlineStr">
        <is>
          <t>Ajax</t>
        </is>
      </c>
      <c r="C11" s="2" t="inlineStr">
        <is>
          <t>Eredivisie</t>
        </is>
      </c>
      <c r="D11" s="2" t="inlineStr">
        <is>
          <t>Netherlands</t>
        </is>
      </c>
      <c r="E11" s="2" t="n">
        <v>5</v>
      </c>
      <c r="F11" s="2" t="inlineStr">
        <is>
          <t>Alta</t>
        </is>
      </c>
      <c r="G11" s="2" t="n">
        <v>5</v>
      </c>
      <c r="H11" s="2" t="inlineStr">
        <is>
          <t>2025/26</t>
        </is>
      </c>
      <c r="I11" s="2" t="inlineStr">
        <is>
          <t>confirmado_por_zerozero_screenshot</t>
        </is>
      </c>
      <c r="J11" s="2" t="inlineStr">
        <is>
          <t>ZeroZero screenshot enviado pelo utilizador - Eredivisie 2025/26</t>
        </is>
      </c>
      <c r="K11" s="2" t="inlineStr">
        <is>
          <t>Validado com a classificação visível no screenshot enviado. Clube normalizado: Ajax -&gt; ajax.</t>
        </is>
      </c>
    </row>
    <row r="12">
      <c r="A12" s="1" t="n">
        <v>11</v>
      </c>
      <c r="B12" s="2" t="inlineStr">
        <is>
          <t>Akron Togliatti</t>
        </is>
      </c>
      <c r="C12" s="2" t="inlineStr">
        <is>
          <t>Russian Premier League</t>
        </is>
      </c>
      <c r="D12" s="2" t="inlineStr">
        <is>
          <t>Russia</t>
        </is>
      </c>
      <c r="E12" s="2" t="n">
        <v>1</v>
      </c>
      <c r="F12" s="2" t="inlineStr">
        <is>
          <t>Alta</t>
        </is>
      </c>
      <c r="G12" s="2" t="n">
        <v>13</v>
      </c>
      <c r="H12" s="2" t="inlineStr">
        <is>
          <t>2025/26</t>
        </is>
      </c>
      <c r="I12" s="2" t="inlineStr">
        <is>
          <t>confirmado_por_zerozero_screenshot_v5</t>
        </is>
      </c>
      <c r="J12" s="2" t="inlineStr">
        <is>
          <t>ZeroZero screenshot enviado pelo utilizador - Russian Premier League 2025/26</t>
        </is>
      </c>
      <c r="K12" s="2" t="inlineStr">
        <is>
          <t>Validado com screenshot ZeroZero enviado nesta passagem. Clube normalizado: Akron Togliatti -&gt; akron togliatti.</t>
        </is>
      </c>
    </row>
    <row r="13">
      <c r="A13" s="1" t="n">
        <v>12</v>
      </c>
      <c r="B13" s="2" t="inlineStr">
        <is>
          <t>Al Ahli</t>
        </is>
      </c>
      <c r="C13" s="2" t="inlineStr">
        <is>
          <t>Qatar Stars League</t>
        </is>
      </c>
      <c r="D13" s="2" t="inlineStr">
        <is>
          <t>Qatar</t>
        </is>
      </c>
      <c r="E13" s="2" t="n">
        <v>1</v>
      </c>
      <c r="F13" s="2" t="inlineStr">
        <is>
          <t>Alta</t>
        </is>
      </c>
      <c r="G13" s="2" t="n">
        <v>9</v>
      </c>
      <c r="H13" s="2" t="inlineStr">
        <is>
          <t>2025/26</t>
        </is>
      </c>
      <c r="I13" s="2" t="inlineStr">
        <is>
          <t>confirmado_por_zerozero_screenshot_v5</t>
        </is>
      </c>
      <c r="J13" s="2" t="inlineStr">
        <is>
          <t>ZeroZero screenshot enviado pelo utilizador - Stars League Qatar 2025/26</t>
        </is>
      </c>
      <c r="K13" s="2" t="inlineStr">
        <is>
          <t>Validado com screenshot ZeroZero enviado nesta passagem. Clube normalizado: Al Ahli -&gt; al ahli.</t>
        </is>
      </c>
    </row>
    <row r="14">
      <c r="A14" s="1" t="n">
        <v>13</v>
      </c>
      <c r="B14" s="2" t="inlineStr">
        <is>
          <t>Al Ain</t>
        </is>
      </c>
      <c r="C14" s="2" t="inlineStr">
        <is>
          <t>UAE Pro League</t>
        </is>
      </c>
      <c r="D14" s="2" t="inlineStr">
        <is>
          <t>United Arab Emirates</t>
        </is>
      </c>
      <c r="E14" s="2" t="n">
        <v>3</v>
      </c>
      <c r="F14" s="2" t="inlineStr">
        <is>
          <t>Alta</t>
        </is>
      </c>
      <c r="G14" s="2" t="n">
        <v>1</v>
      </c>
      <c r="H14" s="2" t="inlineStr">
        <is>
          <t>2025/26</t>
        </is>
      </c>
      <c r="I14" s="2" t="inlineStr">
        <is>
          <t>confirmado_por_zerozero_screenshot_v5</t>
        </is>
      </c>
      <c r="J14" s="2" t="inlineStr">
        <is>
          <t>ZeroZero screenshot enviado pelo utilizador - Arabian Gulf League 2025/26</t>
        </is>
      </c>
      <c r="K14" s="2" t="inlineStr">
        <is>
          <t>Validado com screenshot ZeroZero enviado nesta passagem. Clube normalizado: Al Ain -&gt; al ain.</t>
        </is>
      </c>
    </row>
    <row r="15">
      <c r="A15" s="1" t="n">
        <v>14</v>
      </c>
      <c r="B15" s="2" t="inlineStr">
        <is>
          <t>Al Bataeh</t>
        </is>
      </c>
      <c r="C15" s="2" t="inlineStr">
        <is>
          <t>UAE Pro League</t>
        </is>
      </c>
      <c r="D15" s="2" t="inlineStr">
        <is>
          <t>United Arab Emirates</t>
        </is>
      </c>
      <c r="E15" s="2" t="n">
        <v>2</v>
      </c>
      <c r="F15" s="2" t="inlineStr">
        <is>
          <t>Alta</t>
        </is>
      </c>
      <c r="G15" s="2" t="n">
        <v>13</v>
      </c>
      <c r="H15" s="2" t="inlineStr">
        <is>
          <t>2025/26</t>
        </is>
      </c>
      <c r="I15" s="2" t="inlineStr">
        <is>
          <t>confirmado_por_zerozero_screenshot_v5</t>
        </is>
      </c>
      <c r="J15" s="2" t="inlineStr">
        <is>
          <t>ZeroZero screenshot enviado pelo utilizador - Arabian Gulf League 2025/26</t>
        </is>
      </c>
      <c r="K15" s="2" t="inlineStr">
        <is>
          <t>Validado com screenshot ZeroZero enviado nesta passagem. Clube normalizado: Al Bataeh -&gt; al bataeh.</t>
        </is>
      </c>
    </row>
    <row r="16">
      <c r="A16" s="1" t="n">
        <v>15</v>
      </c>
      <c r="B16" s="2" t="inlineStr">
        <is>
          <t>Al Dhafra</t>
        </is>
      </c>
      <c r="C16" s="2" t="inlineStr">
        <is>
          <t>UAE First Division League</t>
        </is>
      </c>
      <c r="D16" s="2" t="inlineStr">
        <is>
          <t>United Arab Emirates</t>
        </is>
      </c>
      <c r="E16" s="2" t="n">
        <v>1</v>
      </c>
      <c r="F16" s="2" t="inlineStr">
        <is>
          <t>Média</t>
        </is>
      </c>
      <c r="G16" s="2" t="n">
        <v>12</v>
      </c>
      <c r="H16" s="2" t="inlineStr">
        <is>
          <t>2025/26</t>
        </is>
      </c>
      <c r="I16" s="2" t="inlineStr">
        <is>
          <t>confirmado_por_screenshot_v10</t>
        </is>
      </c>
      <c r="J16" s="2" t="inlineStr">
        <is>
          <t>Screenshot enviado pelo utilizador - Arabian Gulf League 2025/26 (usado para validar Al Dhafra; nome da liga no dataset diverge)</t>
        </is>
      </c>
      <c r="K16" s="2" t="inlineStr">
        <is>
          <t>Validado com screenshot enviado nesta passagem. O dataset traz a liga como 'UAE First Division League', mas o screenshot fornecido mostra 'Arabian Gulf League 2025/26'. O clube Al Dhafra aparece na tabela na posição 12; valor preenchido com esta ressalva.</t>
        </is>
      </c>
    </row>
    <row r="17">
      <c r="A17" s="1" t="n">
        <v>16</v>
      </c>
      <c r="B17" s="2" t="inlineStr">
        <is>
          <t>Al Ittihad Kalba</t>
        </is>
      </c>
      <c r="C17" s="2" t="inlineStr">
        <is>
          <t>UAE Pro League</t>
        </is>
      </c>
      <c r="D17" s="2" t="inlineStr">
        <is>
          <t>United Arab Emirates</t>
        </is>
      </c>
      <c r="E17" s="2" t="n">
        <v>2</v>
      </c>
      <c r="F17" s="2" t="inlineStr">
        <is>
          <t>Alta</t>
        </is>
      </c>
      <c r="G17" s="2" t="n">
        <v>11</v>
      </c>
      <c r="H17" s="2" t="inlineStr">
        <is>
          <t>2025/26</t>
        </is>
      </c>
      <c r="I17" s="2" t="inlineStr">
        <is>
          <t>confirmado_por_zerozero_screenshot_v5</t>
        </is>
      </c>
      <c r="J17" s="2" t="inlineStr">
        <is>
          <t>ZeroZero screenshot enviado pelo utilizador - Arabian Gulf League 2025/26</t>
        </is>
      </c>
      <c r="K17" s="2" t="inlineStr">
        <is>
          <t>Validado com screenshot ZeroZero enviado nesta passagem. Clube normalizado: Al Ittihad Kalba -&gt; al ittihad kalba.</t>
        </is>
      </c>
    </row>
    <row r="18">
      <c r="A18" s="1" t="n">
        <v>17</v>
      </c>
      <c r="B18" s="2" t="inlineStr">
        <is>
          <t>Al Jazira</t>
        </is>
      </c>
      <c r="C18" s="2" t="inlineStr">
        <is>
          <t>UAE Pro League</t>
        </is>
      </c>
      <c r="D18" s="2" t="inlineStr">
        <is>
          <t>United Arab Emirates</t>
        </is>
      </c>
      <c r="E18" s="2" t="n">
        <v>1</v>
      </c>
      <c r="F18" s="2" t="inlineStr">
        <is>
          <t>Alta</t>
        </is>
      </c>
      <c r="G18" s="2" t="n">
        <v>4</v>
      </c>
      <c r="H18" s="2" t="inlineStr">
        <is>
          <t>2025/26</t>
        </is>
      </c>
      <c r="I18" s="2" t="inlineStr">
        <is>
          <t>confirmado_por_zerozero_screenshot_v5</t>
        </is>
      </c>
      <c r="J18" s="2" t="inlineStr">
        <is>
          <t>ZeroZero screenshot enviado pelo utilizador - Arabian Gulf League 2025/26</t>
        </is>
      </c>
      <c r="K18" s="2" t="inlineStr">
        <is>
          <t>Validado com screenshot ZeroZero enviado nesta passagem. Clube normalizado: Al Jazira -&gt; al jazira.</t>
        </is>
      </c>
    </row>
    <row r="19">
      <c r="A19" s="1" t="n">
        <v>18</v>
      </c>
      <c r="B19" s="2" t="inlineStr">
        <is>
          <t>Al Wahda</t>
        </is>
      </c>
      <c r="C19" s="2" t="inlineStr">
        <is>
          <t>UAE Pro League</t>
        </is>
      </c>
      <c r="D19" s="2" t="inlineStr">
        <is>
          <t>United Arab Emirates</t>
        </is>
      </c>
      <c r="E19" s="2" t="n">
        <v>1</v>
      </c>
      <c r="F19" s="2" t="inlineStr">
        <is>
          <t>Alta</t>
        </is>
      </c>
      <c r="G19" s="2" t="n">
        <v>5</v>
      </c>
      <c r="H19" s="2" t="inlineStr">
        <is>
          <t>2025/26</t>
        </is>
      </c>
      <c r="I19" s="2" t="inlineStr">
        <is>
          <t>confirmado_por_zerozero_screenshot_v5</t>
        </is>
      </c>
      <c r="J19" s="2" t="inlineStr">
        <is>
          <t>ZeroZero screenshot enviado pelo utilizador - Arabian Gulf League 2025/26</t>
        </is>
      </c>
      <c r="K19" s="2" t="inlineStr">
        <is>
          <t>Validado com screenshot ZeroZero enviado nesta passagem. Clube normalizado: Al Wahda -&gt; al wahda.</t>
        </is>
      </c>
    </row>
    <row r="20">
      <c r="A20" s="1" t="n">
        <v>19</v>
      </c>
      <c r="B20" s="2" t="inlineStr">
        <is>
          <t>Al-Ahli Jeddah</t>
        </is>
      </c>
      <c r="C20" s="2" t="inlineStr">
        <is>
          <t>Saudi Pro League</t>
        </is>
      </c>
      <c r="D20" s="2" t="inlineStr">
        <is>
          <t>Saudi Arabia</t>
        </is>
      </c>
      <c r="E20" s="2" t="n">
        <v>12</v>
      </c>
      <c r="F20" s="2" t="inlineStr">
        <is>
          <t>Alta</t>
        </is>
      </c>
      <c r="G20" s="2" t="n">
        <v>3</v>
      </c>
      <c r="H20" s="2" t="inlineStr">
        <is>
          <t>2025/26</t>
        </is>
      </c>
      <c r="I20" s="2" t="inlineStr">
        <is>
          <t>confirmado_por_zerozero_screenshot</t>
        </is>
      </c>
      <c r="J20" s="2" t="inlineStr">
        <is>
          <t>ZeroZero screenshot enviado pelo utilizador - Saudi Premier League 2025/26</t>
        </is>
      </c>
      <c r="K20" s="2" t="inlineStr">
        <is>
          <t>Validado com a classificação visível no screenshot enviado. Clube normalizado: Al-Ahli Jeddah -&gt; al ahli jeddah.</t>
        </is>
      </c>
    </row>
    <row r="21">
      <c r="A21" s="1" t="n">
        <v>20</v>
      </c>
      <c r="B21" s="2" t="inlineStr">
        <is>
          <t>Al-Ahly</t>
        </is>
      </c>
      <c r="C21" s="2" t="inlineStr">
        <is>
          <t>Egyptian Premier League</t>
        </is>
      </c>
      <c r="D21" s="2" t="inlineStr">
        <is>
          <t>Egypt</t>
        </is>
      </c>
      <c r="E21" s="2" t="n">
        <v>9</v>
      </c>
      <c r="F21" s="2" t="inlineStr">
        <is>
          <t>Alta</t>
        </is>
      </c>
      <c r="G21" s="2" t="n">
        <v>3</v>
      </c>
      <c r="H21" s="2" t="inlineStr">
        <is>
          <t>2025/26</t>
        </is>
      </c>
      <c r="I21" s="2" t="inlineStr">
        <is>
          <t>confirmado_por_zerozero_screenshot_v6</t>
        </is>
      </c>
      <c r="J21" s="2" t="inlineStr">
        <is>
          <t>ZeroZero screenshot enviado pelo utilizador - Egyptian Premier League 2025/26</t>
        </is>
      </c>
      <c r="K21" s="2" t="inlineStr">
        <is>
          <t>Validado com screenshot ZeroZero enviado nesta passagem. Clube normalizado: Al-Ahly -&gt; al ahly.</t>
        </is>
      </c>
    </row>
    <row r="22">
      <c r="A22" s="1" t="n">
        <v>21</v>
      </c>
      <c r="B22" s="2" t="inlineStr">
        <is>
          <t>Al-Arabi SC</t>
        </is>
      </c>
      <c r="C22" s="2" t="inlineStr">
        <is>
          <t>Qatar Stars League</t>
        </is>
      </c>
      <c r="D22" s="2" t="inlineStr">
        <is>
          <t>Qatar</t>
        </is>
      </c>
      <c r="E22" s="2" t="n">
        <v>2</v>
      </c>
      <c r="F22" s="2" t="inlineStr">
        <is>
          <t>Alta</t>
        </is>
      </c>
      <c r="G22" s="2" t="n">
        <v>6</v>
      </c>
      <c r="H22" s="2" t="inlineStr">
        <is>
          <t>2025/26</t>
        </is>
      </c>
      <c r="I22" s="2" t="inlineStr">
        <is>
          <t>confirmado_por_zerozero_screenshot_v5</t>
        </is>
      </c>
      <c r="J22" s="2" t="inlineStr">
        <is>
          <t>ZeroZero screenshot enviado pelo utilizador - Stars League Qatar 2025/26</t>
        </is>
      </c>
      <c r="K22" s="2" t="inlineStr">
        <is>
          <t>Validado com screenshot ZeroZero enviado nesta passagem. Clube normalizado: Al-Arabi SC -&gt; al arabi sc.</t>
        </is>
      </c>
    </row>
    <row r="23">
      <c r="A23" s="1" t="n">
        <v>22</v>
      </c>
      <c r="B23" s="2" t="inlineStr">
        <is>
          <t>Al-Duhail</t>
        </is>
      </c>
      <c r="C23" s="2" t="inlineStr">
        <is>
          <t>Qatar Stars League</t>
        </is>
      </c>
      <c r="D23" s="2" t="inlineStr">
        <is>
          <t>Qatar</t>
        </is>
      </c>
      <c r="E23" s="2" t="n">
        <v>7</v>
      </c>
      <c r="F23" s="2" t="inlineStr">
        <is>
          <t>Alta</t>
        </is>
      </c>
      <c r="G23" s="2" t="n">
        <v>5</v>
      </c>
      <c r="H23" s="2" t="inlineStr">
        <is>
          <t>2025/26</t>
        </is>
      </c>
      <c r="I23" s="2" t="inlineStr">
        <is>
          <t>confirmado_por_zerozero_screenshot_v5</t>
        </is>
      </c>
      <c r="J23" s="2" t="inlineStr">
        <is>
          <t>ZeroZero screenshot enviado pelo utilizador - Stars League Qatar 2025/26</t>
        </is>
      </c>
      <c r="K23" s="2" t="inlineStr">
        <is>
          <t>Validado com screenshot ZeroZero enviado nesta passagem. Clube normalizado: Al-Duhail -&gt; al duhail.</t>
        </is>
      </c>
    </row>
    <row r="24">
      <c r="A24" s="1" t="n">
        <v>23</v>
      </c>
      <c r="B24" s="2" t="inlineStr">
        <is>
          <t>Al-Ettifaq</t>
        </is>
      </c>
      <c r="C24" s="2" t="inlineStr">
        <is>
          <t>Saudi Pro League</t>
        </is>
      </c>
      <c r="D24" s="2" t="inlineStr">
        <is>
          <t>Saudi Arabia</t>
        </is>
      </c>
      <c r="E24" s="2" t="n">
        <v>2</v>
      </c>
      <c r="F24" s="2" t="inlineStr">
        <is>
          <t>Alta</t>
        </is>
      </c>
      <c r="G24" s="2" t="n">
        <v>7</v>
      </c>
      <c r="H24" s="2" t="inlineStr">
        <is>
          <t>2025/26</t>
        </is>
      </c>
      <c r="I24" s="2" t="inlineStr">
        <is>
          <t>confirmado_por_zerozero_screenshot</t>
        </is>
      </c>
      <c r="J24" s="2" t="inlineStr">
        <is>
          <t>ZeroZero screenshot enviado pelo utilizador - Saudi Premier League 2025/26</t>
        </is>
      </c>
      <c r="K24" s="2" t="inlineStr">
        <is>
          <t>Validado com a classificação visível no screenshot enviado. Clube normalizado: Al-Ettifaq -&gt; al ettifaq.</t>
        </is>
      </c>
    </row>
    <row r="25">
      <c r="A25" s="1" t="n">
        <v>24</v>
      </c>
      <c r="B25" s="2" t="inlineStr">
        <is>
          <t>Al-Fateh</t>
        </is>
      </c>
      <c r="C25" s="2" t="inlineStr">
        <is>
          <t>Saudi Pro League</t>
        </is>
      </c>
      <c r="D25" s="2" t="inlineStr">
        <is>
          <t>Saudi Arabia</t>
        </is>
      </c>
      <c r="E25" s="2" t="n">
        <v>1</v>
      </c>
      <c r="F25" s="2" t="inlineStr">
        <is>
          <t>Alta</t>
        </is>
      </c>
      <c r="G25" s="2" t="n">
        <v>12</v>
      </c>
      <c r="H25" s="2" t="inlineStr">
        <is>
          <t>2025/26</t>
        </is>
      </c>
      <c r="I25" s="2" t="inlineStr">
        <is>
          <t>confirmado_por_zerozero_screenshot</t>
        </is>
      </c>
      <c r="J25" s="2" t="inlineStr">
        <is>
          <t>ZeroZero screenshot enviado pelo utilizador - Saudi Premier League 2025/26</t>
        </is>
      </c>
      <c r="K25" s="2" t="inlineStr">
        <is>
          <t>Validado com a classificação visível no screenshot enviado. Clube normalizado: Al-Fateh -&gt; al fateh.</t>
        </is>
      </c>
    </row>
    <row r="26">
      <c r="A26" s="1" t="n">
        <v>25</v>
      </c>
      <c r="B26" s="2" t="inlineStr">
        <is>
          <t>Al-Gharafa</t>
        </is>
      </c>
      <c r="C26" s="2" t="inlineStr">
        <is>
          <t>Qatar Stars League</t>
        </is>
      </c>
      <c r="D26" s="2" t="inlineStr">
        <is>
          <t>Qatar</t>
        </is>
      </c>
      <c r="E26" s="2" t="n">
        <v>3</v>
      </c>
      <c r="F26" s="2" t="inlineStr">
        <is>
          <t>Alta</t>
        </is>
      </c>
      <c r="G26" s="2" t="n">
        <v>4</v>
      </c>
      <c r="H26" s="2" t="inlineStr">
        <is>
          <t>2025/26</t>
        </is>
      </c>
      <c r="I26" s="2" t="inlineStr">
        <is>
          <t>confirmado_por_zerozero_screenshot_v5</t>
        </is>
      </c>
      <c r="J26" s="2" t="inlineStr">
        <is>
          <t>ZeroZero screenshot enviado pelo utilizador - Stars League Qatar 2025/26</t>
        </is>
      </c>
      <c r="K26" s="2" t="inlineStr">
        <is>
          <t>Validado com screenshot ZeroZero enviado nesta passagem. Clube normalizado: Al-Gharafa -&gt; al gharafa.</t>
        </is>
      </c>
    </row>
    <row r="27">
      <c r="A27" s="1" t="n">
        <v>26</v>
      </c>
      <c r="B27" s="2" t="inlineStr">
        <is>
          <t>Al-Hilal</t>
        </is>
      </c>
      <c r="C27" s="2" t="inlineStr">
        <is>
          <t>Saudi Pro League</t>
        </is>
      </c>
      <c r="D27" s="2" t="inlineStr">
        <is>
          <t>Saudi Arabia</t>
        </is>
      </c>
      <c r="E27" s="2" t="n">
        <v>14</v>
      </c>
      <c r="F27" s="2" t="inlineStr">
        <is>
          <t>Alta</t>
        </is>
      </c>
      <c r="G27" s="2" t="n">
        <v>2</v>
      </c>
      <c r="H27" s="2" t="inlineStr">
        <is>
          <t>2025/26</t>
        </is>
      </c>
      <c r="I27" s="2" t="inlineStr">
        <is>
          <t>confirmado_por_zerozero_screenshot</t>
        </is>
      </c>
      <c r="J27" s="2" t="inlineStr">
        <is>
          <t>ZeroZero screenshot enviado pelo utilizador - Saudi Premier League 2025/26</t>
        </is>
      </c>
      <c r="K27" s="2" t="inlineStr">
        <is>
          <t>Validado com a classificação visível no screenshot enviado. Clube normalizado: Al-Hilal -&gt; al hilal.</t>
        </is>
      </c>
    </row>
    <row r="28">
      <c r="A28" s="1" t="n">
        <v>27</v>
      </c>
      <c r="B28" s="2" t="inlineStr">
        <is>
          <t>Al-Ittihad Jeddah</t>
        </is>
      </c>
      <c r="C28" s="2" t="inlineStr">
        <is>
          <t>Saudi Pro League</t>
        </is>
      </c>
      <c r="D28" s="2" t="inlineStr">
        <is>
          <t>Saudi Arabia</t>
        </is>
      </c>
      <c r="E28" s="2" t="n">
        <v>4</v>
      </c>
      <c r="F28" s="2" t="inlineStr">
        <is>
          <t>Alta</t>
        </is>
      </c>
      <c r="G28" s="2" t="n">
        <v>5</v>
      </c>
      <c r="H28" s="2" t="inlineStr">
        <is>
          <t>2025/26</t>
        </is>
      </c>
      <c r="I28" s="2" t="inlineStr">
        <is>
          <t>confirmado_por_zerozero_screenshot</t>
        </is>
      </c>
      <c r="J28" s="2" t="inlineStr">
        <is>
          <t>ZeroZero screenshot enviado pelo utilizador - Saudi Premier League 2025/26</t>
        </is>
      </c>
      <c r="K28" s="2" t="inlineStr">
        <is>
          <t>Validado com a classificação visível no screenshot enviado. Clube normalizado: Al-Ittihad Jeddah -&gt; al ittihad jeddah.</t>
        </is>
      </c>
    </row>
    <row r="29">
      <c r="A29" s="1" t="n">
        <v>28</v>
      </c>
      <c r="B29" s="2" t="inlineStr">
        <is>
          <t>Al-Karma</t>
        </is>
      </c>
      <c r="C29" s="2" t="inlineStr">
        <is>
          <t>Iraq Stars League</t>
        </is>
      </c>
      <c r="D29" s="2" t="inlineStr">
        <is>
          <t>Iraq</t>
        </is>
      </c>
      <c r="E29" s="2" t="n">
        <v>2</v>
      </c>
      <c r="F29" s="2" t="inlineStr">
        <is>
          <t>Alta</t>
        </is>
      </c>
      <c r="G29" s="2" t="n">
        <v>6</v>
      </c>
      <c r="H29" s="2" t="inlineStr">
        <is>
          <t>2025/26</t>
        </is>
      </c>
      <c r="I29" s="2" t="inlineStr">
        <is>
          <t>confirmado_por_zerozero_screenshot_v5</t>
        </is>
      </c>
      <c r="J29" s="2" t="inlineStr">
        <is>
          <t>ZeroZero screenshot enviado pelo utilizador - Iraq Premier League 2025/26</t>
        </is>
      </c>
      <c r="K29" s="2" t="inlineStr">
        <is>
          <t>Validado com screenshot ZeroZero enviado nesta passagem. Clube normalizado: Al-Karma -&gt; al karma.</t>
        </is>
      </c>
    </row>
    <row r="30">
      <c r="A30" s="1" t="n">
        <v>29</v>
      </c>
      <c r="B30" s="2" t="inlineStr">
        <is>
          <t>Al-Kholood</t>
        </is>
      </c>
      <c r="C30" s="2" t="inlineStr">
        <is>
          <t>Saudi Pro League</t>
        </is>
      </c>
      <c r="D30" s="2" t="inlineStr">
        <is>
          <t>Saudi Arabia</t>
        </is>
      </c>
      <c r="E30" s="2" t="n">
        <v>1</v>
      </c>
      <c r="F30" s="2" t="inlineStr">
        <is>
          <t>Alta</t>
        </is>
      </c>
      <c r="G30" s="2" t="n">
        <v>14</v>
      </c>
      <c r="H30" s="2" t="inlineStr">
        <is>
          <t>2025/26</t>
        </is>
      </c>
      <c r="I30" s="2" t="inlineStr">
        <is>
          <t>confirmado_por_zerozero_screenshot</t>
        </is>
      </c>
      <c r="J30" s="2" t="inlineStr">
        <is>
          <t>ZeroZero screenshot enviado pelo utilizador - Saudi Premier League 2025/26</t>
        </is>
      </c>
      <c r="K30" s="2" t="inlineStr">
        <is>
          <t>Validado com a classificação visível no screenshot enviado. Clube normalizado: Al-Kholood -&gt; al kholood.</t>
        </is>
      </c>
    </row>
    <row r="31">
      <c r="A31" s="1" t="n">
        <v>30</v>
      </c>
      <c r="B31" s="2" t="inlineStr">
        <is>
          <t>Al-Najma</t>
        </is>
      </c>
      <c r="C31" s="2" t="inlineStr">
        <is>
          <t>Saudi Pro League</t>
        </is>
      </c>
      <c r="D31" s="2" t="inlineStr">
        <is>
          <t>Saudi Arabia</t>
        </is>
      </c>
      <c r="E31" s="2" t="n">
        <v>2</v>
      </c>
      <c r="F31" s="2" t="inlineStr">
        <is>
          <t>Alta</t>
        </is>
      </c>
      <c r="G31" s="2" t="n">
        <v>18</v>
      </c>
      <c r="H31" s="2" t="inlineStr">
        <is>
          <t>2025/26</t>
        </is>
      </c>
      <c r="I31" s="2" t="inlineStr">
        <is>
          <t>confirmado_por_zerozero_screenshot</t>
        </is>
      </c>
      <c r="J31" s="2" t="inlineStr">
        <is>
          <t>ZeroZero screenshot enviado pelo utilizador - Saudi Premier League 2025/26</t>
        </is>
      </c>
      <c r="K31" s="2" t="inlineStr">
        <is>
          <t>Validado com a classificação visível no screenshot enviado. Clube normalizado: Al-Najma -&gt; al najma.</t>
        </is>
      </c>
    </row>
    <row r="32">
      <c r="A32" s="1" t="n">
        <v>31</v>
      </c>
      <c r="B32" s="2" t="inlineStr">
        <is>
          <t>Al-Nasr</t>
        </is>
      </c>
      <c r="C32" s="2" t="inlineStr">
        <is>
          <t>UAE Pro League</t>
        </is>
      </c>
      <c r="D32" s="2" t="inlineStr">
        <is>
          <t>United Arab Emirates</t>
        </is>
      </c>
      <c r="E32" s="2" t="n">
        <v>1</v>
      </c>
      <c r="F32" s="2" t="inlineStr">
        <is>
          <t>Alta</t>
        </is>
      </c>
      <c r="G32" s="2" t="n">
        <v>6</v>
      </c>
      <c r="H32" s="2" t="inlineStr">
        <is>
          <t>2025/26</t>
        </is>
      </c>
      <c r="I32" s="2" t="inlineStr">
        <is>
          <t>confirmado_por_zerozero_screenshot_v5</t>
        </is>
      </c>
      <c r="J32" s="2" t="inlineStr">
        <is>
          <t>ZeroZero screenshot enviado pelo utilizador - Arabian Gulf League 2025/26</t>
        </is>
      </c>
      <c r="K32" s="2" t="inlineStr">
        <is>
          <t>Validado com screenshot ZeroZero enviado nesta passagem. Clube normalizado: Al-Nasr -&gt; al nasr.</t>
        </is>
      </c>
    </row>
    <row r="33">
      <c r="A33" s="1" t="n">
        <v>32</v>
      </c>
      <c r="B33" s="2" t="inlineStr">
        <is>
          <t>Al-Nassr</t>
        </is>
      </c>
      <c r="C33" s="2" t="inlineStr">
        <is>
          <t>Saudi Pro League</t>
        </is>
      </c>
      <c r="D33" s="2" t="inlineStr">
        <is>
          <t>Saudi Arabia</t>
        </is>
      </c>
      <c r="E33" s="2" t="n">
        <v>9</v>
      </c>
      <c r="F33" s="2" t="inlineStr">
        <is>
          <t>Alta</t>
        </is>
      </c>
      <c r="G33" s="2" t="n">
        <v>1</v>
      </c>
      <c r="H33" s="2" t="inlineStr">
        <is>
          <t>2025/26</t>
        </is>
      </c>
      <c r="I33" s="2" t="inlineStr">
        <is>
          <t>confirmado_por_zerozero_screenshot</t>
        </is>
      </c>
      <c r="J33" s="2" t="inlineStr">
        <is>
          <t>ZeroZero screenshot enviado pelo utilizador - Saudi Premier League 2025/26</t>
        </is>
      </c>
      <c r="K33" s="2" t="inlineStr">
        <is>
          <t>Validado com a classificação visível no screenshot enviado. Clube normalizado: Al-Nassr -&gt; al nassr.</t>
        </is>
      </c>
    </row>
    <row r="34">
      <c r="A34" s="1" t="n">
        <v>33</v>
      </c>
      <c r="B34" s="2" t="inlineStr">
        <is>
          <t>Al-Qadisiyah</t>
        </is>
      </c>
      <c r="C34" s="2" t="inlineStr">
        <is>
          <t>Saudi Pro League</t>
        </is>
      </c>
      <c r="D34" s="2" t="inlineStr">
        <is>
          <t>Saudi Arabia</t>
        </is>
      </c>
      <c r="E34" s="2" t="n">
        <v>7</v>
      </c>
      <c r="F34" s="2" t="inlineStr">
        <is>
          <t>Alta</t>
        </is>
      </c>
      <c r="G34" s="2" t="n">
        <v>4</v>
      </c>
      <c r="H34" s="2" t="inlineStr">
        <is>
          <t>2025/26</t>
        </is>
      </c>
      <c r="I34" s="2" t="inlineStr">
        <is>
          <t>confirmado_por_zerozero_screenshot</t>
        </is>
      </c>
      <c r="J34" s="2" t="inlineStr">
        <is>
          <t>ZeroZero screenshot enviado pelo utilizador - Saudi Premier League 2025/26</t>
        </is>
      </c>
      <c r="K34" s="2" t="inlineStr">
        <is>
          <t>Validado com a classificação visível no screenshot enviado. Clube normalizado: Al-Qadisiyah -&gt; al qadisiyah.</t>
        </is>
      </c>
    </row>
    <row r="35">
      <c r="A35" s="1" t="n">
        <v>34</v>
      </c>
      <c r="B35" s="2" t="inlineStr">
        <is>
          <t>Al-Quwa Al-Jawiya</t>
        </is>
      </c>
      <c r="C35" s="2" t="inlineStr">
        <is>
          <t>Iraq Stars League</t>
        </is>
      </c>
      <c r="D35" s="2" t="inlineStr">
        <is>
          <t>Iraq</t>
        </is>
      </c>
      <c r="E35" s="2" t="n">
        <v>2</v>
      </c>
      <c r="F35" s="2" t="inlineStr">
        <is>
          <t>Alta</t>
        </is>
      </c>
      <c r="G35" s="2" t="n">
        <v>1</v>
      </c>
      <c r="H35" s="2" t="inlineStr">
        <is>
          <t>2025/26</t>
        </is>
      </c>
      <c r="I35" s="2" t="inlineStr">
        <is>
          <t>confirmado_por_zerozero_screenshot_v5</t>
        </is>
      </c>
      <c r="J35" s="2" t="inlineStr">
        <is>
          <t>ZeroZero screenshot enviado pelo utilizador - Iraq Premier League 2025/26</t>
        </is>
      </c>
      <c r="K35" s="2" t="inlineStr">
        <is>
          <t>Validado com screenshot ZeroZero enviado nesta passagem. Clube normalizado: Al-Quwa Al-Jawiya -&gt; al quwa al jawiya.</t>
        </is>
      </c>
    </row>
    <row r="36">
      <c r="A36" s="1" t="n">
        <v>35</v>
      </c>
      <c r="B36" s="2" t="inlineStr">
        <is>
          <t>Al-Rayyan</t>
        </is>
      </c>
      <c r="C36" s="2" t="inlineStr">
        <is>
          <t>Qatar Stars League</t>
        </is>
      </c>
      <c r="D36" s="2" t="inlineStr">
        <is>
          <t>Qatar</t>
        </is>
      </c>
      <c r="E36" s="2" t="n">
        <v>4</v>
      </c>
      <c r="F36" s="2" t="inlineStr">
        <is>
          <t>Alta</t>
        </is>
      </c>
      <c r="G36" s="2" t="n">
        <v>3</v>
      </c>
      <c r="H36" s="2" t="inlineStr">
        <is>
          <t>2025/26</t>
        </is>
      </c>
      <c r="I36" s="2" t="inlineStr">
        <is>
          <t>confirmado_por_zerozero_screenshot_v5</t>
        </is>
      </c>
      <c r="J36" s="2" t="inlineStr">
        <is>
          <t>ZeroZero screenshot enviado pelo utilizador - Stars League Qatar 2025/26</t>
        </is>
      </c>
      <c r="K36" s="2" t="inlineStr">
        <is>
          <t>Validado com screenshot ZeroZero enviado nesta passagem. Clube normalizado: Al-Rayyan -&gt; al rayyan.</t>
        </is>
      </c>
    </row>
    <row r="37">
      <c r="A37" s="1" t="n">
        <v>36</v>
      </c>
      <c r="B37" s="2" t="inlineStr">
        <is>
          <t>Al-Sadd</t>
        </is>
      </c>
      <c r="C37" s="2" t="inlineStr">
        <is>
          <t>Qatar Stars League</t>
        </is>
      </c>
      <c r="D37" s="2" t="inlineStr">
        <is>
          <t>Qatar</t>
        </is>
      </c>
      <c r="E37" s="2" t="n">
        <v>5</v>
      </c>
      <c r="F37" s="2" t="inlineStr">
        <is>
          <t>Alta</t>
        </is>
      </c>
      <c r="G37" s="2" t="n">
        <v>1</v>
      </c>
      <c r="H37" s="2" t="inlineStr">
        <is>
          <t>2025/26</t>
        </is>
      </c>
      <c r="I37" s="2" t="inlineStr">
        <is>
          <t>confirmado_por_zerozero_screenshot_v5</t>
        </is>
      </c>
      <c r="J37" s="2" t="inlineStr">
        <is>
          <t>ZeroZero screenshot enviado pelo utilizador - Stars League Qatar 2025/26</t>
        </is>
      </c>
      <c r="K37" s="2" t="inlineStr">
        <is>
          <t>Validado com screenshot ZeroZero enviado nesta passagem. Clube normalizado: Al-Sadd -&gt; al sadd.</t>
        </is>
      </c>
    </row>
    <row r="38">
      <c r="A38" s="1" t="n">
        <v>37</v>
      </c>
      <c r="B38" s="2" t="inlineStr">
        <is>
          <t>Al-Shamal</t>
        </is>
      </c>
      <c r="C38" s="2" t="inlineStr">
        <is>
          <t>Qatar Stars League</t>
        </is>
      </c>
      <c r="D38" s="2" t="inlineStr">
        <is>
          <t>Qatar</t>
        </is>
      </c>
      <c r="E38" s="2" t="n">
        <v>1</v>
      </c>
      <c r="F38" s="2" t="inlineStr">
        <is>
          <t>Alta</t>
        </is>
      </c>
      <c r="G38" s="2" t="n">
        <v>2</v>
      </c>
      <c r="H38" s="2" t="inlineStr">
        <is>
          <t>2025/26</t>
        </is>
      </c>
      <c r="I38" s="2" t="inlineStr">
        <is>
          <t>confirmado_por_zerozero_screenshot_v5</t>
        </is>
      </c>
      <c r="J38" s="2" t="inlineStr">
        <is>
          <t>ZeroZero screenshot enviado pelo utilizador - Stars League Qatar 2025/26</t>
        </is>
      </c>
      <c r="K38" s="2" t="inlineStr">
        <is>
          <t>Validado com screenshot ZeroZero enviado nesta passagem. Clube normalizado: Al-Shamal -&gt; al shamal.</t>
        </is>
      </c>
    </row>
    <row r="39">
      <c r="A39" s="1" t="n">
        <v>38</v>
      </c>
      <c r="B39" s="2" t="inlineStr">
        <is>
          <t>Al-Shorta Bagdad</t>
        </is>
      </c>
      <c r="C39" s="2" t="inlineStr">
        <is>
          <t>Iraq Stars League</t>
        </is>
      </c>
      <c r="D39" s="2" t="inlineStr">
        <is>
          <t>Iraq</t>
        </is>
      </c>
      <c r="E39" s="2" t="n">
        <v>3</v>
      </c>
      <c r="F39" s="2" t="inlineStr">
        <is>
          <t>Alta</t>
        </is>
      </c>
      <c r="G39" s="2" t="n">
        <v>3</v>
      </c>
      <c r="H39" s="2" t="inlineStr">
        <is>
          <t>2025/26</t>
        </is>
      </c>
      <c r="I39" s="2" t="inlineStr">
        <is>
          <t>confirmado_por_zerozero_screenshot_v5</t>
        </is>
      </c>
      <c r="J39" s="2" t="inlineStr">
        <is>
          <t>ZeroZero screenshot enviado pelo utilizador - Iraq Premier League 2025/26</t>
        </is>
      </c>
      <c r="K39" s="2" t="inlineStr">
        <is>
          <t>Validado com screenshot ZeroZero enviado nesta passagem. Clube normalizado: Al-Shorta Bagdad -&gt; al shorta baghdad.</t>
        </is>
      </c>
    </row>
    <row r="40">
      <c r="A40" s="1" t="n">
        <v>39</v>
      </c>
      <c r="B40" s="2" t="inlineStr">
        <is>
          <t>Al-Taawoun</t>
        </is>
      </c>
      <c r="C40" s="2" t="inlineStr">
        <is>
          <t>Saudi Pro League</t>
        </is>
      </c>
      <c r="D40" s="2" t="inlineStr">
        <is>
          <t>Saudi Arabia</t>
        </is>
      </c>
      <c r="E40" s="2" t="n">
        <v>3</v>
      </c>
      <c r="F40" s="2" t="inlineStr">
        <is>
          <t>Alta</t>
        </is>
      </c>
      <c r="G40" s="2" t="n">
        <v>6</v>
      </c>
      <c r="H40" s="2" t="inlineStr">
        <is>
          <t>2025/26</t>
        </is>
      </c>
      <c r="I40" s="2" t="inlineStr">
        <is>
          <t>confirmado_por_zerozero_screenshot</t>
        </is>
      </c>
      <c r="J40" s="2" t="inlineStr">
        <is>
          <t>ZeroZero screenshot enviado pelo utilizador - Saudi Premier League 2025/26</t>
        </is>
      </c>
      <c r="K40" s="2" t="inlineStr">
        <is>
          <t>Validado com a classificação visível no screenshot enviado. Clube normalizado: Al-Taawoun -&gt; al taawoun.</t>
        </is>
      </c>
    </row>
    <row r="41">
      <c r="A41" s="1" t="n">
        <v>40</v>
      </c>
      <c r="B41" s="2" t="inlineStr">
        <is>
          <t>Al-Talaba</t>
        </is>
      </c>
      <c r="C41" s="2" t="inlineStr">
        <is>
          <t>Iraq Stars League</t>
        </is>
      </c>
      <c r="D41" s="2" t="inlineStr">
        <is>
          <t>Iraq</t>
        </is>
      </c>
      <c r="E41" s="2" t="n">
        <v>3</v>
      </c>
      <c r="F41" s="2" t="inlineStr">
        <is>
          <t>Alta</t>
        </is>
      </c>
      <c r="G41" s="2" t="n">
        <v>5</v>
      </c>
      <c r="H41" s="2" t="inlineStr">
        <is>
          <t>2025/26</t>
        </is>
      </c>
      <c r="I41" s="2" t="inlineStr">
        <is>
          <t>confirmado_por_zerozero_screenshot_v5</t>
        </is>
      </c>
      <c r="J41" s="2" t="inlineStr">
        <is>
          <t>ZeroZero screenshot enviado pelo utilizador - Iraq Premier League 2025/26</t>
        </is>
      </c>
      <c r="K41" s="2" t="inlineStr">
        <is>
          <t>Validado com screenshot ZeroZero enviado nesta passagem. Clube normalizado: Al-Talaba -&gt; al talaba.</t>
        </is>
      </c>
    </row>
    <row r="42">
      <c r="A42" s="1" t="n">
        <v>41</v>
      </c>
      <c r="B42" s="2" t="inlineStr">
        <is>
          <t>Al-Ula FC</t>
        </is>
      </c>
      <c r="C42" s="2" t="inlineStr">
        <is>
          <t>Saudi First Division League</t>
        </is>
      </c>
      <c r="D42" s="2" t="inlineStr">
        <is>
          <t>Saudi Arabia</t>
        </is>
      </c>
      <c r="E42" s="2" t="n">
        <v>2</v>
      </c>
      <c r="F42" s="2" t="inlineStr">
        <is>
          <t>Média</t>
        </is>
      </c>
      <c r="G42" s="2" t="n">
        <v>3</v>
      </c>
      <c r="H42" s="2" t="inlineStr">
        <is>
          <t>2025/26</t>
        </is>
      </c>
      <c r="I42" s="2" t="inlineStr">
        <is>
          <t>confirmado_por_zerozero_screenshot_v9</t>
        </is>
      </c>
      <c r="J42" s="2" t="inlineStr">
        <is>
          <t>ZeroZero screenshot enviado pelo utilizador - Yelo League 2025/26</t>
        </is>
      </c>
      <c r="K42" s="2" t="inlineStr">
        <is>
          <t>Validado com screenshot ZeroZero enviado nesta passagem. Clube normalizado: Al-Ula FC -&gt; al ula fc.</t>
        </is>
      </c>
    </row>
    <row r="43">
      <c r="A43" s="1" t="n">
        <v>42</v>
      </c>
      <c r="B43" s="2" t="inlineStr">
        <is>
          <t>Al-Wakrah</t>
        </is>
      </c>
      <c r="C43" s="2" t="inlineStr">
        <is>
          <t>Qatar Stars League</t>
        </is>
      </c>
      <c r="D43" s="2" t="inlineStr">
        <is>
          <t>Qatar</t>
        </is>
      </c>
      <c r="E43" s="2" t="n">
        <v>4</v>
      </c>
      <c r="F43" s="2" t="inlineStr">
        <is>
          <t>Alta</t>
        </is>
      </c>
      <c r="G43" s="2" t="n">
        <v>7</v>
      </c>
      <c r="H43" s="2" t="inlineStr">
        <is>
          <t>2025/26</t>
        </is>
      </c>
      <c r="I43" s="2" t="inlineStr">
        <is>
          <t>confirmado_por_zerozero_screenshot_v5</t>
        </is>
      </c>
      <c r="J43" s="2" t="inlineStr">
        <is>
          <t>ZeroZero screenshot enviado pelo utilizador - Stars League Qatar 2025/26</t>
        </is>
      </c>
      <c r="K43" s="2" t="inlineStr">
        <is>
          <t>Validado com screenshot ZeroZero enviado nesta passagem. Clube normalizado: Al-Wakrah -&gt; al wakrah.</t>
        </is>
      </c>
    </row>
    <row r="44">
      <c r="A44" s="1" t="n">
        <v>43</v>
      </c>
      <c r="B44" s="2" t="inlineStr">
        <is>
          <t>Al-Zawra´a</t>
        </is>
      </c>
      <c r="C44" s="2" t="inlineStr">
        <is>
          <t>Iraq Stars League</t>
        </is>
      </c>
      <c r="D44" s="2" t="inlineStr">
        <is>
          <t>Iraq</t>
        </is>
      </c>
      <c r="E44" s="2" t="n">
        <v>5</v>
      </c>
      <c r="F44" s="2" t="inlineStr">
        <is>
          <t>Alta</t>
        </is>
      </c>
      <c r="G44" s="2" t="n">
        <v>4</v>
      </c>
      <c r="H44" s="2" t="inlineStr">
        <is>
          <t>2025/26</t>
        </is>
      </c>
      <c r="I44" s="2" t="inlineStr">
        <is>
          <t>confirmado_por_zerozero_screenshot_v5</t>
        </is>
      </c>
      <c r="J44" s="2" t="inlineStr">
        <is>
          <t>ZeroZero screenshot enviado pelo utilizador - Iraq Premier League 2025/26</t>
        </is>
      </c>
      <c r="K44" s="2" t="inlineStr">
        <is>
          <t>Validado com screenshot ZeroZero enviado nesta passagem. Clube normalizado: Al-Zawra´a -&gt; al zawra a.</t>
        </is>
      </c>
    </row>
    <row r="45">
      <c r="A45" s="1" t="n">
        <v>44</v>
      </c>
      <c r="B45" s="2" t="inlineStr">
        <is>
          <t>Alanyaspor</t>
        </is>
      </c>
      <c r="C45" s="2" t="inlineStr">
        <is>
          <t>Süper Lig</t>
        </is>
      </c>
      <c r="D45" s="2" t="inlineStr">
        <is>
          <t>Turkey</t>
        </is>
      </c>
      <c r="E45" s="2" t="n">
        <v>1</v>
      </c>
      <c r="F45" s="2" t="inlineStr">
        <is>
          <t>Alta</t>
        </is>
      </c>
      <c r="G45" s="2" t="n">
        <v>11</v>
      </c>
      <c r="H45" s="2" t="inlineStr">
        <is>
          <t>2025/26</t>
        </is>
      </c>
      <c r="I45" s="2" t="inlineStr">
        <is>
          <t>confirmado_por_zerozero_screenshot</t>
        </is>
      </c>
      <c r="J45" s="2" t="inlineStr">
        <is>
          <t>ZeroZero screenshot enviado pelo utilizador - Süper Lig 2025/26</t>
        </is>
      </c>
      <c r="K45" s="2" t="inlineStr">
        <is>
          <t>Validado com a classificação visível no screenshot enviado. Clube normalizado: Alanyaspor -&gt; alanyaspor.</t>
        </is>
      </c>
    </row>
    <row r="46">
      <c r="A46" s="1" t="n">
        <v>45</v>
      </c>
      <c r="B46" s="2" t="inlineStr">
        <is>
          <t>Albirex Niigata</t>
        </is>
      </c>
      <c r="C46" s="2" t="inlineStr">
        <is>
          <t>J1 League</t>
        </is>
      </c>
      <c r="D46" s="2" t="inlineStr">
        <is>
          <t>Japan</t>
        </is>
      </c>
      <c r="E46" s="2" t="n">
        <v>1</v>
      </c>
      <c r="F46" s="2" t="inlineStr">
        <is>
          <t>Alta</t>
        </is>
      </c>
      <c r="G46" s="2" t="n">
        <v>20</v>
      </c>
      <c r="H46" s="2" t="n">
        <v>2026</v>
      </c>
      <c r="I46" s="2" t="inlineStr">
        <is>
          <t>confirmado_por_zerozero_screenshot_v6</t>
        </is>
      </c>
      <c r="J46" s="2" t="inlineStr">
        <is>
          <t>ZeroZero screenshot enviado pelo utilizador - J1 League 2026</t>
        </is>
      </c>
      <c r="K46" s="2" t="inlineStr">
        <is>
          <t>Validado com screenshot ZeroZero enviado nesta passagem. Clube normalizado: Albirex Niigata -&gt; albirex niigata.</t>
        </is>
      </c>
    </row>
    <row r="47">
      <c r="A47" s="1" t="n">
        <v>46</v>
      </c>
      <c r="B47" s="2" t="inlineStr">
        <is>
          <t>Almere City FC</t>
        </is>
      </c>
      <c r="C47" s="2" t="inlineStr">
        <is>
          <t>Eerste Divisie</t>
        </is>
      </c>
      <c r="D47" s="2" t="inlineStr">
        <is>
          <t>Netherlands</t>
        </is>
      </c>
      <c r="E47" s="2" t="n">
        <v>1</v>
      </c>
      <c r="F47" s="2" t="inlineStr">
        <is>
          <t>Alta</t>
        </is>
      </c>
      <c r="G47" s="2" t="n">
        <v>5</v>
      </c>
      <c r="H47" s="2" t="inlineStr">
        <is>
          <t>2025/26</t>
        </is>
      </c>
      <c r="I47" s="2" t="inlineStr">
        <is>
          <t>confirmado_por_zerozero_screenshot_v9</t>
        </is>
      </c>
      <c r="J47" s="2" t="inlineStr">
        <is>
          <t>ZeroZero screenshot enviado pelo utilizador - Eerste Divisie 2025/26</t>
        </is>
      </c>
      <c r="K47" s="2" t="inlineStr">
        <is>
          <t>Validado com screenshot ZeroZero enviado nesta passagem. Clube normalizado: Almere City FC -&gt; almere city fc.</t>
        </is>
      </c>
    </row>
    <row r="48">
      <c r="A48" s="1" t="n">
        <v>47</v>
      </c>
      <c r="B48" s="2" t="inlineStr">
        <is>
          <t>Anderlecht</t>
        </is>
      </c>
      <c r="C48" s="2" t="inlineStr">
        <is>
          <t>Belgian Pro League</t>
        </is>
      </c>
      <c r="D48" s="2" t="inlineStr">
        <is>
          <t>Belgium</t>
        </is>
      </c>
      <c r="E48" s="2" t="n">
        <v>2</v>
      </c>
      <c r="F48" s="2" t="inlineStr">
        <is>
          <t>Alta</t>
        </is>
      </c>
      <c r="G48" s="2" t="n">
        <v>6</v>
      </c>
      <c r="H48" s="2" t="inlineStr">
        <is>
          <t>2025/26</t>
        </is>
      </c>
      <c r="I48" s="2" t="inlineStr">
        <is>
          <t>confirmado_por_zerozero_screenshot</t>
        </is>
      </c>
      <c r="J48" s="2" t="inlineStr">
        <is>
          <t>ZeroZero screenshot enviado pelo utilizador - Jupiler Pro League fase regular 2025/26</t>
        </is>
      </c>
      <c r="K48" s="2" t="inlineStr">
        <is>
          <t>Validado com a classificação visível no screenshot enviado. Clube normalizado: Anderlecht -&gt; anderlecht.</t>
        </is>
      </c>
    </row>
    <row r="49">
      <c r="A49" s="1" t="n">
        <v>48</v>
      </c>
      <c r="B49" s="2" t="inlineStr">
        <is>
          <t>Angers</t>
        </is>
      </c>
      <c r="C49" s="2" t="inlineStr">
        <is>
          <t>Ligue 1</t>
        </is>
      </c>
      <c r="D49" s="2" t="inlineStr">
        <is>
          <t>France</t>
        </is>
      </c>
      <c r="E49" s="2" t="n">
        <v>1</v>
      </c>
      <c r="F49" s="2" t="inlineStr">
        <is>
          <t>Alta</t>
        </is>
      </c>
      <c r="G49" s="2" t="n">
        <v>13</v>
      </c>
      <c r="H49" s="2" t="inlineStr">
        <is>
          <t>2025/26</t>
        </is>
      </c>
      <c r="I49" s="2" t="inlineStr">
        <is>
          <t>confirmado_por_zerozero_screenshot</t>
        </is>
      </c>
      <c r="J49" s="2" t="inlineStr">
        <is>
          <t>ZeroZero screenshot enviado pelo utilizador - Ligue 1 2025/26</t>
        </is>
      </c>
      <c r="K49" s="2" t="inlineStr">
        <is>
          <t>Validado com a classificação visível no screenshot enviado. Clube normalizado: Angers -&gt; angers.</t>
        </is>
      </c>
    </row>
    <row r="50">
      <c r="A50" s="1" t="n">
        <v>49</v>
      </c>
      <c r="B50" s="2" t="inlineStr">
        <is>
          <t>Apollon Limassol</t>
        </is>
      </c>
      <c r="C50" s="2" t="inlineStr">
        <is>
          <t>Cypriot First Division</t>
        </is>
      </c>
      <c r="D50" s="2" t="inlineStr">
        <is>
          <t>Cyprus</t>
        </is>
      </c>
      <c r="E50" s="2" t="n">
        <v>1</v>
      </c>
      <c r="F50" s="2" t="inlineStr">
        <is>
          <t>Alta</t>
        </is>
      </c>
      <c r="G50" s="2" t="n">
        <v>3</v>
      </c>
      <c r="H50" s="2" t="inlineStr">
        <is>
          <t>2025/26</t>
        </is>
      </c>
      <c r="I50" s="2" t="inlineStr">
        <is>
          <t>confirmado_por_zerozero_screenshot_v5</t>
        </is>
      </c>
      <c r="J50" s="2" t="inlineStr">
        <is>
          <t>ZeroZero screenshot enviado pelo utilizador - Cypriot First Division 2025/26</t>
        </is>
      </c>
      <c r="K50" s="2" t="inlineStr">
        <is>
          <t>Validado com screenshot ZeroZero enviado nesta passagem. Clube normalizado: Apollon Limassol -&gt; apollon limassol.</t>
        </is>
      </c>
    </row>
    <row r="51">
      <c r="A51" s="1" t="n">
        <v>50</v>
      </c>
      <c r="B51" s="2" t="inlineStr">
        <is>
          <t>Aris Limassol</t>
        </is>
      </c>
      <c r="C51" s="2" t="inlineStr">
        <is>
          <t>Cypriot First Division</t>
        </is>
      </c>
      <c r="D51" s="2" t="inlineStr">
        <is>
          <t>Cyprus</t>
        </is>
      </c>
      <c r="E51" s="2" t="n">
        <v>1</v>
      </c>
      <c r="F51" s="2" t="inlineStr">
        <is>
          <t>Alta</t>
        </is>
      </c>
      <c r="G51" s="2" t="n">
        <v>6</v>
      </c>
      <c r="H51" s="2" t="inlineStr">
        <is>
          <t>2025/26</t>
        </is>
      </c>
      <c r="I51" s="2" t="inlineStr">
        <is>
          <t>confirmado_por_zerozero_screenshot_v5</t>
        </is>
      </c>
      <c r="J51" s="2" t="inlineStr">
        <is>
          <t>ZeroZero screenshot enviado pelo utilizador - Cypriot First Division 2025/26</t>
        </is>
      </c>
      <c r="K51" s="2" t="inlineStr">
        <is>
          <t>Validado com screenshot ZeroZero enviado nesta passagem. Clube normalizado: Aris Limassol -&gt; aris limassol.</t>
        </is>
      </c>
    </row>
    <row r="52">
      <c r="A52" s="1" t="n">
        <v>51</v>
      </c>
      <c r="B52" s="2" t="inlineStr">
        <is>
          <t>Arsenal</t>
        </is>
      </c>
      <c r="C52" s="2" t="inlineStr">
        <is>
          <t>Premier League</t>
        </is>
      </c>
      <c r="D52" s="2" t="inlineStr">
        <is>
          <t>England</t>
        </is>
      </c>
      <c r="E52" s="2" t="n">
        <v>17</v>
      </c>
      <c r="F52" s="2" t="inlineStr">
        <is>
          <t>Alta</t>
        </is>
      </c>
      <c r="G52" s="2" t="n">
        <v>1</v>
      </c>
      <c r="H52" s="2" t="inlineStr">
        <is>
          <t>2025/26</t>
        </is>
      </c>
      <c r="I52" s="2" t="inlineStr">
        <is>
          <t>confirmado_por_zerozero_screenshot</t>
        </is>
      </c>
      <c r="J52" s="2" t="inlineStr">
        <is>
          <t>ZeroZero screenshot enviado pelo utilizador - Premier League 2025/26</t>
        </is>
      </c>
      <c r="K52" s="2" t="inlineStr">
        <is>
          <t>Validado com a classificação visível no screenshot enviado. Clube normalizado: Arsenal -&gt; arsenal.</t>
        </is>
      </c>
    </row>
    <row r="53">
      <c r="A53" s="1" t="n">
        <v>52</v>
      </c>
      <c r="B53" s="2" t="inlineStr">
        <is>
          <t>Astana</t>
        </is>
      </c>
      <c r="C53" s="2" t="inlineStr">
        <is>
          <t>Kazakhstan Premier League</t>
        </is>
      </c>
      <c r="D53" s="2" t="inlineStr">
        <is>
          <t>Kazakhstan</t>
        </is>
      </c>
      <c r="E53" s="2" t="n">
        <v>1</v>
      </c>
      <c r="F53" s="2" t="inlineStr">
        <is>
          <t>Alta</t>
        </is>
      </c>
      <c r="G53" s="2" t="n">
        <v>5</v>
      </c>
      <c r="H53" s="2" t="n">
        <v>2026</v>
      </c>
      <c r="I53" s="2" t="inlineStr">
        <is>
          <t>confirmado_por_screenshot_v10</t>
        </is>
      </c>
      <c r="J53" s="2" t="inlineStr">
        <is>
          <t>Screenshot ZeroZero enviado pelo utilizador - Premier Liga 2026</t>
        </is>
      </c>
      <c r="K53" s="2" t="inlineStr">
        <is>
          <t>Validado com screenshot enviado nesta passagem.</t>
        </is>
      </c>
    </row>
    <row r="54">
      <c r="A54" s="1" t="n">
        <v>53</v>
      </c>
      <c r="B54" s="2" t="inlineStr">
        <is>
          <t>Aston Villa</t>
        </is>
      </c>
      <c r="C54" s="2" t="inlineStr">
        <is>
          <t>Premier League</t>
        </is>
      </c>
      <c r="D54" s="2" t="inlineStr">
        <is>
          <t>England</t>
        </is>
      </c>
      <c r="E54" s="2" t="n">
        <v>9</v>
      </c>
      <c r="F54" s="2" t="inlineStr">
        <is>
          <t>Alta</t>
        </is>
      </c>
      <c r="G54" s="2" t="n">
        <v>4</v>
      </c>
      <c r="H54" s="2" t="inlineStr">
        <is>
          <t>2025/26</t>
        </is>
      </c>
      <c r="I54" s="2" t="inlineStr">
        <is>
          <t>confirmado_por_zerozero_screenshot</t>
        </is>
      </c>
      <c r="J54" s="2" t="inlineStr">
        <is>
          <t>ZeroZero screenshot enviado pelo utilizador - Premier League 2025/26</t>
        </is>
      </c>
      <c r="K54" s="2" t="inlineStr">
        <is>
          <t>Validado com a classificação visível no screenshot enviado. Clube normalizado: Aston Villa -&gt; aston villa.</t>
        </is>
      </c>
    </row>
    <row r="55">
      <c r="A55" s="1" t="n">
        <v>54</v>
      </c>
      <c r="B55" s="2" t="inlineStr">
        <is>
          <t>Atalanta</t>
        </is>
      </c>
      <c r="C55" s="2" t="inlineStr">
        <is>
          <t>Serie A</t>
        </is>
      </c>
      <c r="D55" s="2" t="inlineStr">
        <is>
          <t>Italy</t>
        </is>
      </c>
      <c r="E55" s="2" t="n">
        <v>9</v>
      </c>
      <c r="F55" s="2" t="inlineStr">
        <is>
          <t>Alta</t>
        </is>
      </c>
      <c r="G55" s="2" t="n">
        <v>7</v>
      </c>
      <c r="H55" s="2" t="inlineStr">
        <is>
          <t>2025/26</t>
        </is>
      </c>
      <c r="I55" s="2" t="inlineStr">
        <is>
          <t>confirmado_por_zerozero_screenshot</t>
        </is>
      </c>
      <c r="J55" s="2" t="inlineStr">
        <is>
          <t>ZeroZero screenshot enviado pelo utilizador - Serie A 2025/26</t>
        </is>
      </c>
      <c r="K55" s="2" t="inlineStr">
        <is>
          <t>Validado com a classificação visível no screenshot enviado. Clube normalizado: Atalanta -&gt; atalanta.</t>
        </is>
      </c>
    </row>
    <row r="56">
      <c r="A56" s="1" t="n">
        <v>55</v>
      </c>
      <c r="B56" s="2" t="inlineStr">
        <is>
          <t>Athletic Bilbao</t>
        </is>
      </c>
      <c r="C56" s="2" t="inlineStr">
        <is>
          <t>LaLiga</t>
        </is>
      </c>
      <c r="D56" s="2" t="inlineStr">
        <is>
          <t>Spain</t>
        </is>
      </c>
      <c r="E56" s="2" t="n">
        <v>4</v>
      </c>
      <c r="F56" s="2" t="inlineStr">
        <is>
          <t>Alta</t>
        </is>
      </c>
      <c r="G56" s="2" t="n">
        <v>12</v>
      </c>
      <c r="H56" s="2" t="inlineStr">
        <is>
          <t>2025/26</t>
        </is>
      </c>
      <c r="I56" s="2" t="inlineStr">
        <is>
          <t>confirmado_por_zerozero_screenshot</t>
        </is>
      </c>
      <c r="J56" s="2" t="inlineStr">
        <is>
          <t>ZeroZero screenshot enviado pelo utilizador - LaLiga 2025/26</t>
        </is>
      </c>
      <c r="K56" s="2" t="inlineStr">
        <is>
          <t>Validado com a classificação visível no screenshot enviado. Clube normalizado: Athletic Bilbao -&gt; athletic bilbao.</t>
        </is>
      </c>
    </row>
    <row r="57" ht="16" customHeight="1" s="25">
      <c r="A57" s="1" t="n">
        <v>56</v>
      </c>
      <c r="B57" s="2" t="inlineStr">
        <is>
          <t>Athletico Paranaense</t>
        </is>
      </c>
      <c r="C57" s="2" t="inlineStr">
        <is>
          <t>Campeonato Brasileiro Série B</t>
        </is>
      </c>
      <c r="D57" s="2" t="inlineStr">
        <is>
          <t>Brazil</t>
        </is>
      </c>
      <c r="E57" s="2" t="n">
        <v>1</v>
      </c>
      <c r="F57" s="2" t="inlineStr">
        <is>
          <t>Alta</t>
        </is>
      </c>
      <c r="G57" s="3" t="n">
        <v>4</v>
      </c>
      <c r="H57" s="2" t="n">
        <v>2026</v>
      </c>
      <c r="I57" s="2" t="inlineStr">
        <is>
          <t>por_validar_sem_screenshot_da_liga</t>
        </is>
      </c>
      <c r="J57" s="3" t="n"/>
      <c r="K57" s="2" t="inlineStr">
        <is>
          <t>Não preenchido: falta screenshot/tabela da liga Campeonato Brasileiro Série B na época 2026, ou clube não aparece na tabela enviada.</t>
        </is>
      </c>
    </row>
    <row r="58">
      <c r="A58" s="1" t="n">
        <v>57</v>
      </c>
      <c r="B58" s="2" t="inlineStr">
        <is>
          <t>Atlanta United</t>
        </is>
      </c>
      <c r="C58" s="2" t="inlineStr">
        <is>
          <t>Major League Soccer</t>
        </is>
      </c>
      <c r="D58" s="2" t="inlineStr">
        <is>
          <t>United States/Canada</t>
        </is>
      </c>
      <c r="E58" s="2" t="n">
        <v>2</v>
      </c>
      <c r="F58" s="2" t="inlineStr">
        <is>
          <t>Alta</t>
        </is>
      </c>
      <c r="G58" s="2" t="n">
        <v>14</v>
      </c>
      <c r="H58" s="2" t="n">
        <v>2026</v>
      </c>
      <c r="I58" s="2" t="inlineStr">
        <is>
          <t>confirmado_por_zerozero_screenshot</t>
        </is>
      </c>
      <c r="J58" s="2" t="inlineStr">
        <is>
          <t>ZeroZero screenshot enviado pelo utilizador - MLS 2026, posição na conferência</t>
        </is>
      </c>
      <c r="K58" s="2" t="inlineStr">
        <is>
          <t>Validado com a classificação visível no screenshot enviado. Clube normalizado: Atlanta United -&gt; atlanta united.</t>
        </is>
      </c>
    </row>
    <row r="59">
      <c r="A59" s="1" t="n">
        <v>58</v>
      </c>
      <c r="B59" s="2" t="inlineStr">
        <is>
          <t>Atlas</t>
        </is>
      </c>
      <c r="C59" s="2" t="inlineStr">
        <is>
          <t>Liga MX</t>
        </is>
      </c>
      <c r="D59" s="2" t="inlineStr">
        <is>
          <t>Mexico</t>
        </is>
      </c>
      <c r="E59" s="2" t="n">
        <v>1</v>
      </c>
      <c r="F59" s="2" t="inlineStr">
        <is>
          <t>Alta</t>
        </is>
      </c>
      <c r="G59" s="2" t="n">
        <v>6</v>
      </c>
      <c r="H59" s="2" t="n">
        <v>2026</v>
      </c>
      <c r="I59" s="2" t="inlineStr">
        <is>
          <t>confirmado_por_zerozero_screenshot_v6</t>
        </is>
      </c>
      <c r="J59" s="2" t="inlineStr">
        <is>
          <t>ZeroZero screenshot enviado pelo utilizador - Liga MX Clausura 2026 aplicado a Liga MX</t>
        </is>
      </c>
      <c r="K59" s="2" t="inlineStr">
        <is>
          <t>Validado com screenshot ZeroZero enviado nesta passagem. Clube normalizado: Atlas -&gt; atlas.</t>
        </is>
      </c>
    </row>
    <row r="60">
      <c r="A60" s="1" t="n">
        <v>59</v>
      </c>
      <c r="B60" s="2" t="inlineStr">
        <is>
          <t>Atlético Mineiro</t>
        </is>
      </c>
      <c r="C60" s="2" t="inlineStr">
        <is>
          <t>Campeonato Brasileiro Série A</t>
        </is>
      </c>
      <c r="D60" s="2" t="inlineStr">
        <is>
          <t>Brazil</t>
        </is>
      </c>
      <c r="E60" s="2" t="n">
        <v>4</v>
      </c>
      <c r="F60" s="2" t="inlineStr">
        <is>
          <t>Alta</t>
        </is>
      </c>
      <c r="G60" s="2" t="n">
        <v>9</v>
      </c>
      <c r="H60" s="2" t="n">
        <v>2026</v>
      </c>
      <c r="I60" s="2" t="inlineStr">
        <is>
          <t>confirmado_por_zerozero_screenshot</t>
        </is>
      </c>
      <c r="J60" s="2" t="inlineStr">
        <is>
          <t>ZeroZero screenshot enviado pelo utilizador - Brasileirão Série A 2026</t>
        </is>
      </c>
      <c r="K60" s="2" t="inlineStr">
        <is>
          <t>Validado com a classificação visível no screenshot enviado. Clube normalizado: Atlético Mineiro -&gt; atletico mineiro.</t>
        </is>
      </c>
    </row>
    <row r="61">
      <c r="A61" s="1" t="n">
        <v>60</v>
      </c>
      <c r="B61" s="2" t="inlineStr">
        <is>
          <t>Atlético Nacional</t>
        </is>
      </c>
      <c r="C61" s="2" t="inlineStr">
        <is>
          <t>Categoría Primera A</t>
        </is>
      </c>
      <c r="D61" s="2" t="inlineStr">
        <is>
          <t>Colombia</t>
        </is>
      </c>
      <c r="E61" s="2" t="n">
        <v>1</v>
      </c>
      <c r="F61" s="2" t="inlineStr">
        <is>
          <t>Alta</t>
        </is>
      </c>
      <c r="G61" s="2" t="n">
        <v>1</v>
      </c>
      <c r="H61" s="2" t="n">
        <v>2026</v>
      </c>
      <c r="I61" s="2" t="inlineStr">
        <is>
          <t>confirmado_por_screenshot_v10</t>
        </is>
      </c>
      <c r="J61" s="2" t="inlineStr">
        <is>
          <t>Screenshot Flashscore enviado pelo utilizador - Primera A Apertura 2026</t>
        </is>
      </c>
      <c r="K61" s="2" t="inlineStr">
        <is>
          <t>Validado com screenshot enviado nesta passagem.</t>
        </is>
      </c>
    </row>
    <row r="62">
      <c r="A62" s="1" t="n">
        <v>61</v>
      </c>
      <c r="B62" s="2" t="inlineStr">
        <is>
          <t>Atlético de Madrid</t>
        </is>
      </c>
      <c r="C62" s="2" t="inlineStr">
        <is>
          <t>LaLiga</t>
        </is>
      </c>
      <c r="D62" s="2" t="inlineStr">
        <is>
          <t>Spain</t>
        </is>
      </c>
      <c r="E62" s="2" t="n">
        <v>12</v>
      </c>
      <c r="F62" s="2" t="inlineStr">
        <is>
          <t>Alta</t>
        </is>
      </c>
      <c r="G62" s="2" t="n">
        <v>4</v>
      </c>
      <c r="H62" s="2" t="inlineStr">
        <is>
          <t>2025/26</t>
        </is>
      </c>
      <c r="I62" s="2" t="inlineStr">
        <is>
          <t>confirmado_por_zerozero_screenshot</t>
        </is>
      </c>
      <c r="J62" s="2" t="inlineStr">
        <is>
          <t>ZeroZero screenshot enviado pelo utilizador - LaLiga 2025/26</t>
        </is>
      </c>
      <c r="K62" s="2" t="inlineStr">
        <is>
          <t>Validado com a classificação visível no screenshot enviado. Clube normalizado: Atlético de Madrid -&gt; atletico madrid.</t>
        </is>
      </c>
    </row>
    <row r="63">
      <c r="A63" s="1" t="n">
        <v>62</v>
      </c>
      <c r="B63" s="2" t="inlineStr">
        <is>
          <t>Atromitos</t>
        </is>
      </c>
      <c r="C63" s="2" t="inlineStr">
        <is>
          <t>Super League Greece</t>
        </is>
      </c>
      <c r="D63" s="2" t="inlineStr">
        <is>
          <t>Greece</t>
        </is>
      </c>
      <c r="E63" s="2" t="n">
        <v>1</v>
      </c>
      <c r="F63" s="2" t="inlineStr">
        <is>
          <t>Alta</t>
        </is>
      </c>
      <c r="G63" s="2" t="n">
        <v>9</v>
      </c>
      <c r="H63" s="2" t="inlineStr">
        <is>
          <t>2025/26</t>
        </is>
      </c>
      <c r="I63" s="2" t="inlineStr">
        <is>
          <t>confirmado_por_zerozero_screenshot_v5</t>
        </is>
      </c>
      <c r="J63" s="2" t="inlineStr">
        <is>
          <t>ZeroZero screenshot enviado pelo utilizador - Super League Greece 2025/26</t>
        </is>
      </c>
      <c r="K63" s="2" t="inlineStr">
        <is>
          <t>Validado com screenshot ZeroZero enviado nesta passagem. Clube normalizado: Atromitos -&gt; atromitos.</t>
        </is>
      </c>
    </row>
    <row r="64">
      <c r="A64" s="1" t="n">
        <v>63</v>
      </c>
      <c r="B64" s="2" t="inlineStr">
        <is>
          <t>Auckland FC</t>
        </is>
      </c>
      <c r="C64" s="2" t="inlineStr">
        <is>
          <t>A-League Men</t>
        </is>
      </c>
      <c r="D64" s="2" t="inlineStr">
        <is>
          <t>Australia/New Zealand</t>
        </is>
      </c>
      <c r="E64" s="2" t="n">
        <v>5</v>
      </c>
      <c r="F64" s="2" t="inlineStr">
        <is>
          <t>Alta</t>
        </is>
      </c>
      <c r="G64" s="2" t="n">
        <v>3</v>
      </c>
      <c r="H64" s="2" t="inlineStr">
        <is>
          <t>2025/26</t>
        </is>
      </c>
      <c r="I64" s="2" t="inlineStr">
        <is>
          <t>confirmado_por_zerozero_screenshot_v6</t>
        </is>
      </c>
      <c r="J64" s="2" t="inlineStr">
        <is>
          <t>ZeroZero screenshot enviado pelo utilizador - A-League Men 2025/26</t>
        </is>
      </c>
      <c r="K64" s="2" t="inlineStr">
        <is>
          <t>Validado com screenshot ZeroZero enviado nesta passagem. Clube normalizado: Auckland FC -&gt; auckland fc.</t>
        </is>
      </c>
    </row>
    <row r="65">
      <c r="A65" s="1" t="n">
        <v>64</v>
      </c>
      <c r="B65" s="2" t="inlineStr">
        <is>
          <t>Austria Wien</t>
        </is>
      </c>
      <c r="C65" s="2" t="inlineStr">
        <is>
          <t>Austrian Bundesliga</t>
        </is>
      </c>
      <c r="D65" s="2" t="inlineStr">
        <is>
          <t>Austria</t>
        </is>
      </c>
      <c r="E65" s="2" t="n">
        <v>1</v>
      </c>
      <c r="F65" s="2" t="inlineStr">
        <is>
          <t>Alta</t>
        </is>
      </c>
      <c r="G65" s="2" t="n">
        <v>4</v>
      </c>
      <c r="H65" s="2" t="inlineStr">
        <is>
          <t>2025/26</t>
        </is>
      </c>
      <c r="I65" s="2" t="inlineStr">
        <is>
          <t>confirmado_por_zerozero_screenshot_v7</t>
        </is>
      </c>
      <c r="J65" s="2" t="inlineStr">
        <is>
          <t>ZeroZero screenshots enviados pelo utilizador - Austrian Bundesliga 2025/26 Meistergruppe + regular</t>
        </is>
      </c>
      <c r="K65" s="2" t="inlineStr">
        <is>
          <t>Validado com screenshot ZeroZero enviado nesta passagem. Clube normalizado: Austria Wien -&gt; austria wien.</t>
        </is>
      </c>
    </row>
    <row r="66">
      <c r="A66" s="1" t="n">
        <v>65</v>
      </c>
      <c r="B66" s="2" t="inlineStr">
        <is>
          <t>Auxerre</t>
        </is>
      </c>
      <c r="C66" s="2" t="inlineStr">
        <is>
          <t>Ligue 1</t>
        </is>
      </c>
      <c r="D66" s="2" t="inlineStr">
        <is>
          <t>France</t>
        </is>
      </c>
      <c r="E66" s="2" t="n">
        <v>4</v>
      </c>
      <c r="F66" s="2" t="inlineStr">
        <is>
          <t>Alta</t>
        </is>
      </c>
      <c r="G66" s="2" t="n">
        <v>15</v>
      </c>
      <c r="H66" s="2" t="inlineStr">
        <is>
          <t>2025/26</t>
        </is>
      </c>
      <c r="I66" s="2" t="inlineStr">
        <is>
          <t>confirmado_por_zerozero_screenshot</t>
        </is>
      </c>
      <c r="J66" s="2" t="inlineStr">
        <is>
          <t>ZeroZero screenshot enviado pelo utilizador - Ligue 1 2025/26</t>
        </is>
      </c>
      <c r="K66" s="2" t="inlineStr">
        <is>
          <t>Validado com a classificação visível no screenshot enviado. Clube normalizado: Auxerre -&gt; auxerre.</t>
        </is>
      </c>
    </row>
    <row r="67">
      <c r="A67" s="1" t="n">
        <v>66</v>
      </c>
      <c r="B67" s="2" t="inlineStr">
        <is>
          <t>Baniyas</t>
        </is>
      </c>
      <c r="C67" s="2" t="inlineStr">
        <is>
          <t>UAE Pro League</t>
        </is>
      </c>
      <c r="D67" s="2" t="inlineStr">
        <is>
          <t>United Arab Emirates</t>
        </is>
      </c>
      <c r="E67" s="2" t="n">
        <v>1</v>
      </c>
      <c r="F67" s="2" t="inlineStr">
        <is>
          <t>Alta</t>
        </is>
      </c>
      <c r="G67" s="2" t="n">
        <v>10</v>
      </c>
      <c r="H67" s="2" t="inlineStr">
        <is>
          <t>2025/26</t>
        </is>
      </c>
      <c r="I67" s="2" t="inlineStr">
        <is>
          <t>confirmado_por_zerozero_screenshot_v5</t>
        </is>
      </c>
      <c r="J67" s="2" t="inlineStr">
        <is>
          <t>ZeroZero screenshot enviado pelo utilizador - Arabian Gulf League 2025/26</t>
        </is>
      </c>
      <c r="K67" s="2" t="inlineStr">
        <is>
          <t>Validado com screenshot ZeroZero enviado nesta passagem. Clube normalizado: Baniyas -&gt; baniyas.</t>
        </is>
      </c>
    </row>
    <row r="68">
      <c r="A68" s="1" t="n">
        <v>67</v>
      </c>
      <c r="B68" s="2" t="inlineStr">
        <is>
          <t>Barcelona</t>
        </is>
      </c>
      <c r="C68" s="2" t="inlineStr">
        <is>
          <t>LaLiga</t>
        </is>
      </c>
      <c r="D68" s="2" t="inlineStr">
        <is>
          <t>Spain</t>
        </is>
      </c>
      <c r="E68" s="2" t="n">
        <v>16</v>
      </c>
      <c r="F68" s="2" t="inlineStr">
        <is>
          <t>Alta</t>
        </is>
      </c>
      <c r="G68" s="2" t="n">
        <v>1</v>
      </c>
      <c r="H68" s="2" t="inlineStr">
        <is>
          <t>2025/26</t>
        </is>
      </c>
      <c r="I68" s="2" t="inlineStr">
        <is>
          <t>confirmado_por_zerozero_screenshot</t>
        </is>
      </c>
      <c r="J68" s="2" t="inlineStr">
        <is>
          <t>ZeroZero screenshot enviado pelo utilizador - LaLiga 2025/26</t>
        </is>
      </c>
      <c r="K68" s="2" t="inlineStr">
        <is>
          <t>Validado com a classificação visível no screenshot enviado. Clube normalizado: Barcelona -&gt; barcelona.</t>
        </is>
      </c>
    </row>
    <row r="69">
      <c r="A69" s="1" t="n">
        <v>68</v>
      </c>
      <c r="B69" s="2" t="inlineStr">
        <is>
          <t>Bari</t>
        </is>
      </c>
      <c r="C69" s="2" t="inlineStr">
        <is>
          <t>Serie B</t>
        </is>
      </c>
      <c r="D69" s="2" t="inlineStr">
        <is>
          <t>Italy</t>
        </is>
      </c>
      <c r="E69" s="2" t="n">
        <v>1</v>
      </c>
      <c r="F69" s="2" t="inlineStr">
        <is>
          <t>Alta</t>
        </is>
      </c>
      <c r="G69" s="2" t="n">
        <v>17</v>
      </c>
      <c r="H69" s="2" t="inlineStr">
        <is>
          <t>2025/26</t>
        </is>
      </c>
      <c r="I69" s="2" t="inlineStr">
        <is>
          <t>confirmado_por_zerozero_screenshot_v8</t>
        </is>
      </c>
      <c r="J69" s="2" t="inlineStr">
        <is>
          <t>ZeroZero screenshot enviado pelo utilizador - Serie B 2025/26</t>
        </is>
      </c>
      <c r="K69" s="2" t="inlineStr">
        <is>
          <t>Validado com screenshot ZeroZero enviado nesta passagem. Clube normalizado: Bari -&gt; bari.</t>
        </is>
      </c>
    </row>
    <row r="70">
      <c r="A70" s="1" t="n">
        <v>69</v>
      </c>
      <c r="B70" s="2" t="inlineStr">
        <is>
          <t>Barnsley</t>
        </is>
      </c>
      <c r="C70" s="2" t="inlineStr">
        <is>
          <t>EFL League One</t>
        </is>
      </c>
      <c r="D70" s="2" t="inlineStr">
        <is>
          <t>England</t>
        </is>
      </c>
      <c r="E70" s="2" t="n">
        <v>1</v>
      </c>
      <c r="F70" s="2" t="inlineStr">
        <is>
          <t>Alta</t>
        </is>
      </c>
      <c r="G70" s="2" t="n">
        <v>15</v>
      </c>
      <c r="H70" s="2" t="inlineStr">
        <is>
          <t>2025/26</t>
        </is>
      </c>
      <c r="I70" s="2" t="inlineStr">
        <is>
          <t>confirmado_por_zerozero_screenshot_v8</t>
        </is>
      </c>
      <c r="J70" s="2" t="inlineStr">
        <is>
          <t>ZeroZero screenshot enviado pelo utilizador - EFL League One 2025/26</t>
        </is>
      </c>
      <c r="K70" s="2" t="inlineStr">
        <is>
          <t>Validado com screenshot ZeroZero enviado nesta passagem. Clube normalizado: Barnsley -&gt; barnsley.</t>
        </is>
      </c>
    </row>
    <row r="71">
      <c r="A71" s="1" t="n">
        <v>70</v>
      </c>
      <c r="B71" s="2" t="inlineStr">
        <is>
          <t>Basaksehir</t>
        </is>
      </c>
      <c r="C71" s="2" t="inlineStr">
        <is>
          <t>Süper Lig</t>
        </is>
      </c>
      <c r="D71" s="2" t="inlineStr">
        <is>
          <t>Turkey</t>
        </is>
      </c>
      <c r="E71" s="2" t="n">
        <v>5</v>
      </c>
      <c r="F71" s="2" t="inlineStr">
        <is>
          <t>Alta</t>
        </is>
      </c>
      <c r="G71" s="2" t="n">
        <v>5</v>
      </c>
      <c r="H71" s="2" t="inlineStr">
        <is>
          <t>2025/26</t>
        </is>
      </c>
      <c r="I71" s="2" t="inlineStr">
        <is>
          <t>confirmado_por_zerozero_screenshot</t>
        </is>
      </c>
      <c r="J71" s="2" t="inlineStr">
        <is>
          <t>ZeroZero screenshot enviado pelo utilizador - Süper Lig 2025/26</t>
        </is>
      </c>
      <c r="K71" s="2" t="inlineStr">
        <is>
          <t>Validado com a classificação visível no screenshot enviado. Clube normalizado: Basaksehir -&gt; basaksehir.</t>
        </is>
      </c>
    </row>
    <row r="72">
      <c r="A72" s="1" t="n">
        <v>71</v>
      </c>
      <c r="B72" s="2" t="inlineStr">
        <is>
          <t>Bastia</t>
        </is>
      </c>
      <c r="C72" s="2" t="inlineStr">
        <is>
          <t>Ligue 2</t>
        </is>
      </c>
      <c r="D72" s="2" t="inlineStr">
        <is>
          <t>France</t>
        </is>
      </c>
      <c r="E72" s="2" t="n">
        <v>1</v>
      </c>
      <c r="F72" s="2" t="inlineStr">
        <is>
          <t>Alta</t>
        </is>
      </c>
      <c r="G72" s="2" t="n">
        <v>17</v>
      </c>
      <c r="H72" s="2" t="inlineStr">
        <is>
          <t>2025/26</t>
        </is>
      </c>
      <c r="I72" s="2" t="inlineStr">
        <is>
          <t>confirmado_por_zerozero_screenshot_v6</t>
        </is>
      </c>
      <c r="J72" s="2" t="inlineStr">
        <is>
          <t>ZeroZero screenshot enviado pelo utilizador - Ligue 2 2025/26</t>
        </is>
      </c>
      <c r="K72" s="2" t="inlineStr">
        <is>
          <t>Validado com screenshot ZeroZero enviado nesta passagem. Clube normalizado: Bastia -&gt; bastia.</t>
        </is>
      </c>
    </row>
    <row r="73">
      <c r="A73" s="1" t="n">
        <v>72</v>
      </c>
      <c r="B73" s="2" t="inlineStr">
        <is>
          <t>Bayer Leverkusen</t>
        </is>
      </c>
      <c r="C73" s="2" t="inlineStr">
        <is>
          <t>Bundesliga</t>
        </is>
      </c>
      <c r="D73" s="2" t="inlineStr">
        <is>
          <t>Germany</t>
        </is>
      </c>
      <c r="E73" s="2" t="n">
        <v>8</v>
      </c>
      <c r="F73" s="2" t="inlineStr">
        <is>
          <t>Alta</t>
        </is>
      </c>
      <c r="G73" s="2" t="n">
        <v>6</v>
      </c>
      <c r="H73" s="2" t="inlineStr">
        <is>
          <t>2025/26</t>
        </is>
      </c>
      <c r="I73" s="2" t="inlineStr">
        <is>
          <t>confirmado_por_zerozero_screenshot</t>
        </is>
      </c>
      <c r="J73" s="2" t="inlineStr">
        <is>
          <t>ZeroZero screenshot enviado pelo utilizador - Bundesliga 2025/26</t>
        </is>
      </c>
      <c r="K73" s="2" t="inlineStr">
        <is>
          <t>Validado com a classificação visível no screenshot enviado. Clube normalizado: Bayer Leverkusen -&gt; bayer leverkusen.</t>
        </is>
      </c>
    </row>
    <row r="74">
      <c r="A74" s="1" t="n">
        <v>73</v>
      </c>
      <c r="B74" s="2" t="inlineStr">
        <is>
          <t>Bayern München</t>
        </is>
      </c>
      <c r="C74" s="2" t="inlineStr">
        <is>
          <t>Bundesliga</t>
        </is>
      </c>
      <c r="D74" s="2" t="inlineStr">
        <is>
          <t>Germany</t>
        </is>
      </c>
      <c r="E74" s="2" t="n">
        <v>18</v>
      </c>
      <c r="F74" s="2" t="inlineStr">
        <is>
          <t>Alta</t>
        </is>
      </c>
      <c r="G74" s="2" t="n">
        <v>1</v>
      </c>
      <c r="H74" s="2" t="inlineStr">
        <is>
          <t>2025/26</t>
        </is>
      </c>
      <c r="I74" s="2" t="inlineStr">
        <is>
          <t>confirmado_por_zerozero_screenshot</t>
        </is>
      </c>
      <c r="J74" s="2" t="inlineStr">
        <is>
          <t>ZeroZero screenshot enviado pelo utilizador - Bundesliga 2025/26</t>
        </is>
      </c>
      <c r="K74" s="2" t="inlineStr">
        <is>
          <t>Validado com a classificação visível no screenshot enviado. Clube normalizado: Bayern München -&gt; bayern munchen.</t>
        </is>
      </c>
    </row>
    <row r="75">
      <c r="A75" s="1" t="n">
        <v>74</v>
      </c>
      <c r="B75" s="2" t="inlineStr">
        <is>
          <t>Benfica</t>
        </is>
      </c>
      <c r="C75" s="2" t="inlineStr">
        <is>
          <t>Primeira Liga</t>
        </is>
      </c>
      <c r="D75" s="2" t="inlineStr">
        <is>
          <t>Portugal</t>
        </is>
      </c>
      <c r="E75" s="2" t="n">
        <v>10</v>
      </c>
      <c r="F75" s="2" t="inlineStr">
        <is>
          <t>Alta</t>
        </is>
      </c>
      <c r="G75" s="2" t="n">
        <v>3</v>
      </c>
      <c r="H75" s="2" t="inlineStr">
        <is>
          <t>2025/26</t>
        </is>
      </c>
      <c r="I75" s="2" t="inlineStr">
        <is>
          <t>confirmado_por_zerozero_screenshot</t>
        </is>
      </c>
      <c r="J75" s="2" t="inlineStr">
        <is>
          <t>ZeroZero screenshot enviado pelo utilizador - Liga Portugal Betclic 2025/26</t>
        </is>
      </c>
      <c r="K75" s="2" t="inlineStr">
        <is>
          <t>Validado com a classificação visível no screenshot enviado. Clube normalizado: Benfica -&gt; benfica.</t>
        </is>
      </c>
    </row>
    <row r="76">
      <c r="A76" s="1" t="n">
        <v>75</v>
      </c>
      <c r="B76" s="2" t="inlineStr">
        <is>
          <t>Besiktas</t>
        </is>
      </c>
      <c r="C76" s="2" t="inlineStr">
        <is>
          <t>Süper Lig</t>
        </is>
      </c>
      <c r="D76" s="2" t="inlineStr">
        <is>
          <t>Turkey</t>
        </is>
      </c>
      <c r="E76" s="2" t="n">
        <v>3</v>
      </c>
      <c r="F76" s="2" t="inlineStr">
        <is>
          <t>Alta</t>
        </is>
      </c>
      <c r="G76" s="2" t="n">
        <v>4</v>
      </c>
      <c r="H76" s="2" t="inlineStr">
        <is>
          <t>2025/26</t>
        </is>
      </c>
      <c r="I76" s="2" t="inlineStr">
        <is>
          <t>confirmado_por_zerozero_screenshot</t>
        </is>
      </c>
      <c r="J76" s="2" t="inlineStr">
        <is>
          <t>ZeroZero screenshot enviado pelo utilizador - Süper Lig 2025/26</t>
        </is>
      </c>
      <c r="K76" s="2" t="inlineStr">
        <is>
          <t>Validado com a classificação visível no screenshot enviado. Clube normalizado: Besiktas -&gt; besiktas.</t>
        </is>
      </c>
    </row>
    <row r="77">
      <c r="A77" s="1" t="n">
        <v>76</v>
      </c>
      <c r="B77" s="2" t="inlineStr">
        <is>
          <t>Birmingham City</t>
        </is>
      </c>
      <c r="C77" s="2" t="inlineStr">
        <is>
          <t>EFL Championship</t>
        </is>
      </c>
      <c r="D77" s="2" t="inlineStr">
        <is>
          <t>England</t>
        </is>
      </c>
      <c r="E77" s="2" t="n">
        <v>1</v>
      </c>
      <c r="F77" s="2" t="inlineStr">
        <is>
          <t>Alta</t>
        </is>
      </c>
      <c r="G77" s="2" t="n">
        <v>10</v>
      </c>
      <c r="H77" s="2" t="inlineStr">
        <is>
          <t>2025/26</t>
        </is>
      </c>
      <c r="I77" s="2" t="inlineStr">
        <is>
          <t>confirmado_por_zerozero_screenshot_v5</t>
        </is>
      </c>
      <c r="J77" s="2" t="inlineStr">
        <is>
          <t>ZeroZero screenshot enviado pelo utilizador - Championship 2025/26</t>
        </is>
      </c>
      <c r="K77" s="2" t="inlineStr">
        <is>
          <t>Validado com screenshot ZeroZero enviado nesta passagem. Clube normalizado: Birmingham City -&gt; birmingham city.</t>
        </is>
      </c>
    </row>
    <row r="78">
      <c r="A78" s="1" t="n">
        <v>77</v>
      </c>
      <c r="B78" s="2" t="inlineStr">
        <is>
          <t>Boca Juniors</t>
        </is>
      </c>
      <c r="C78" s="2" t="inlineStr">
        <is>
          <t>Argentine Primera División</t>
        </is>
      </c>
      <c r="D78" s="2" t="inlineStr">
        <is>
          <t>Argentina</t>
        </is>
      </c>
      <c r="E78" s="2" t="n">
        <v>2</v>
      </c>
      <c r="F78" s="2" t="inlineStr">
        <is>
          <t>Alta</t>
        </is>
      </c>
      <c r="G78" s="2" t="n">
        <v>2</v>
      </c>
      <c r="H78" s="2" t="n">
        <v>2026</v>
      </c>
      <c r="I78" s="2" t="inlineStr">
        <is>
          <t>confirmado_por_zerozero_screenshot_v5</t>
        </is>
      </c>
      <c r="J78" s="2" t="inlineStr">
        <is>
          <t>ZeroZero screenshot enviado pelo utilizador - Torneo Apertura 2026, 1.ª fase/grupos</t>
        </is>
      </c>
      <c r="K78" s="2" t="inlineStr">
        <is>
          <t>Validado com screenshot ZeroZero enviado nesta passagem. Clube normalizado: Boca Juniors -&gt; boca juniors.</t>
        </is>
      </c>
    </row>
    <row r="79">
      <c r="A79" s="1" t="n">
        <v>78</v>
      </c>
      <c r="B79" s="2" t="inlineStr">
        <is>
          <t>Bodo/Glimt</t>
        </is>
      </c>
      <c r="C79" s="2" t="inlineStr">
        <is>
          <t>Eliteserien</t>
        </is>
      </c>
      <c r="D79" s="2" t="inlineStr">
        <is>
          <t>Norway</t>
        </is>
      </c>
      <c r="E79" s="2" t="n">
        <v>3</v>
      </c>
      <c r="F79" s="2" t="inlineStr">
        <is>
          <t>Alta</t>
        </is>
      </c>
      <c r="G79" s="2" t="n">
        <v>3</v>
      </c>
      <c r="H79" s="2" t="n">
        <v>2026</v>
      </c>
      <c r="I79" s="2" t="inlineStr">
        <is>
          <t>confirmado_por_zerozero_screenshot_v7</t>
        </is>
      </c>
      <c r="J79" s="2" t="inlineStr">
        <is>
          <t>ZeroZero screenshot enviado pelo utilizador - Eliteserien 2026</t>
        </is>
      </c>
      <c r="K79" s="2" t="inlineStr">
        <is>
          <t>Validado com screenshot ZeroZero enviado nesta passagem. Clube normalizado: Bodo/Glimt -&gt; bodo glimt.</t>
        </is>
      </c>
    </row>
    <row r="80">
      <c r="A80" s="1" t="n">
        <v>79</v>
      </c>
      <c r="B80" s="2" t="inlineStr">
        <is>
          <t>Bologna</t>
        </is>
      </c>
      <c r="C80" s="2" t="inlineStr">
        <is>
          <t>Serie A</t>
        </is>
      </c>
      <c r="D80" s="2" t="inlineStr">
        <is>
          <t>Italy</t>
        </is>
      </c>
      <c r="E80" s="2" t="n">
        <v>5</v>
      </c>
      <c r="F80" s="2" t="inlineStr">
        <is>
          <t>Alta</t>
        </is>
      </c>
      <c r="G80" s="2" t="n">
        <v>8</v>
      </c>
      <c r="H80" s="2" t="inlineStr">
        <is>
          <t>2025/26</t>
        </is>
      </c>
      <c r="I80" s="2" t="inlineStr">
        <is>
          <t>confirmado_por_zerozero_screenshot</t>
        </is>
      </c>
      <c r="J80" s="2" t="inlineStr">
        <is>
          <t>ZeroZero screenshot enviado pelo utilizador - Serie A 2025/26</t>
        </is>
      </c>
      <c r="K80" s="2" t="inlineStr">
        <is>
          <t>Validado com a classificação visível no screenshot enviado. Clube normalizado: Bologna -&gt; bologna.</t>
        </is>
      </c>
    </row>
    <row r="81">
      <c r="A81" s="1" t="n">
        <v>80</v>
      </c>
      <c r="B81" s="2" t="inlineStr">
        <is>
          <t>Borussia Dortmund</t>
        </is>
      </c>
      <c r="C81" s="2" t="inlineStr">
        <is>
          <t>Bundesliga</t>
        </is>
      </c>
      <c r="D81" s="2" t="inlineStr">
        <is>
          <t>Germany</t>
        </is>
      </c>
      <c r="E81" s="2" t="n">
        <v>11</v>
      </c>
      <c r="F81" s="2" t="inlineStr">
        <is>
          <t>Alta</t>
        </is>
      </c>
      <c r="G81" s="2" t="n">
        <v>2</v>
      </c>
      <c r="H81" s="2" t="inlineStr">
        <is>
          <t>2025/26</t>
        </is>
      </c>
      <c r="I81" s="2" t="inlineStr">
        <is>
          <t>confirmado_por_zerozero_screenshot</t>
        </is>
      </c>
      <c r="J81" s="2" t="inlineStr">
        <is>
          <t>ZeroZero screenshot enviado pelo utilizador - Bundesliga 2025/26</t>
        </is>
      </c>
      <c r="K81" s="2" t="inlineStr">
        <is>
          <t>Validado com a classificação visível no screenshot enviado. Clube normalizado: Borussia Dortmund -&gt; borussia dortmund.</t>
        </is>
      </c>
    </row>
    <row r="82">
      <c r="A82" s="1" t="n">
        <v>81</v>
      </c>
      <c r="B82" s="2" t="inlineStr">
        <is>
          <t>Borussia M´gladbach</t>
        </is>
      </c>
      <c r="C82" s="2" t="inlineStr">
        <is>
          <t>Bundesliga</t>
        </is>
      </c>
      <c r="D82" s="2" t="inlineStr">
        <is>
          <t>Germany</t>
        </is>
      </c>
      <c r="E82" s="2" t="n">
        <v>5</v>
      </c>
      <c r="F82" s="2" t="inlineStr">
        <is>
          <t>Alta</t>
        </is>
      </c>
      <c r="G82" s="2" t="n">
        <v>12</v>
      </c>
      <c r="H82" s="2" t="inlineStr">
        <is>
          <t>2025/26</t>
        </is>
      </c>
      <c r="I82" s="2" t="inlineStr">
        <is>
          <t>confirmado_por_zerozero_screenshot</t>
        </is>
      </c>
      <c r="J82" s="2" t="inlineStr">
        <is>
          <t>ZeroZero screenshot enviado pelo utilizador - Bundesliga 2025/26</t>
        </is>
      </c>
      <c r="K82" s="2" t="inlineStr">
        <is>
          <t>Validado com a classificação visível no screenshot enviado. Clube normalizado: Borussia M´gladbach -&gt; borussia m gladbach.</t>
        </is>
      </c>
    </row>
    <row r="83">
      <c r="A83" s="1" t="n">
        <v>82</v>
      </c>
      <c r="B83" s="2" t="inlineStr">
        <is>
          <t>Botafogo</t>
        </is>
      </c>
      <c r="C83" s="2" t="inlineStr">
        <is>
          <t>Campeonato Brasileiro Série A</t>
        </is>
      </c>
      <c r="D83" s="2" t="inlineStr">
        <is>
          <t>Brazil</t>
        </is>
      </c>
      <c r="E83" s="2" t="n">
        <v>1</v>
      </c>
      <c r="F83" s="2" t="inlineStr">
        <is>
          <t>Alta</t>
        </is>
      </c>
      <c r="G83" s="2" t="n">
        <v>12</v>
      </c>
      <c r="H83" s="2" t="n">
        <v>2026</v>
      </c>
      <c r="I83" s="2" t="inlineStr">
        <is>
          <t>confirmado_por_zerozero_screenshot</t>
        </is>
      </c>
      <c r="J83" s="2" t="inlineStr">
        <is>
          <t>ZeroZero screenshot enviado pelo utilizador - Brasileirão Série A 2026</t>
        </is>
      </c>
      <c r="K83" s="2" t="inlineStr">
        <is>
          <t>Validado com a classificação visível no screenshot enviado. Clube normalizado: Botafogo -&gt; botafogo.</t>
        </is>
      </c>
    </row>
    <row r="84">
      <c r="A84" s="1" t="n">
        <v>83</v>
      </c>
      <c r="B84" s="2" t="inlineStr">
        <is>
          <t>Bournemouth</t>
        </is>
      </c>
      <c r="C84" s="2" t="inlineStr">
        <is>
          <t>Premier League</t>
        </is>
      </c>
      <c r="D84" s="2" t="inlineStr">
        <is>
          <t>England</t>
        </is>
      </c>
      <c r="E84" s="2" t="n">
        <v>8</v>
      </c>
      <c r="F84" s="2" t="inlineStr">
        <is>
          <t>Alta</t>
        </is>
      </c>
      <c r="G84" s="2" t="n">
        <v>6</v>
      </c>
      <c r="H84" s="2" t="inlineStr">
        <is>
          <t>2025/26</t>
        </is>
      </c>
      <c r="I84" s="2" t="inlineStr">
        <is>
          <t>confirmado_por_zerozero_screenshot</t>
        </is>
      </c>
      <c r="J84" s="2" t="inlineStr">
        <is>
          <t>ZeroZero screenshot enviado pelo utilizador - Premier League 2025/26</t>
        </is>
      </c>
      <c r="K84" s="2" t="inlineStr">
        <is>
          <t>Validado com a classificação visível no screenshot enviado. Clube normalizado: Bournemouth -&gt; bournemouth.</t>
        </is>
      </c>
    </row>
    <row r="85" ht="16" customHeight="1" s="25">
      <c r="A85" s="1" t="n">
        <v>84</v>
      </c>
      <c r="B85" s="2" t="inlineStr">
        <is>
          <t>Braintree Town</t>
        </is>
      </c>
      <c r="C85" s="2" t="inlineStr">
        <is>
          <t>National League</t>
        </is>
      </c>
      <c r="D85" s="2" t="inlineStr">
        <is>
          <t>England</t>
        </is>
      </c>
      <c r="E85" s="2" t="n">
        <v>1</v>
      </c>
      <c r="F85" s="2" t="inlineStr">
        <is>
          <t>Alta</t>
        </is>
      </c>
      <c r="G85" s="3" t="n">
        <v>23</v>
      </c>
      <c r="H85" s="2" t="inlineStr">
        <is>
          <t>2025/26</t>
        </is>
      </c>
      <c r="I85" s="2" t="inlineStr">
        <is>
          <t>por_validar_sem_screenshot_da_liga</t>
        </is>
      </c>
      <c r="J85" s="3" t="n"/>
      <c r="K85" s="2" t="inlineStr">
        <is>
          <t>Não preenchido: falta screenshot/tabela da liga National League na época 2025/26, ou clube não aparece na tabela enviada.</t>
        </is>
      </c>
    </row>
    <row r="86">
      <c r="A86" s="1" t="n">
        <v>85</v>
      </c>
      <c r="B86" s="2" t="inlineStr">
        <is>
          <t>Brentford</t>
        </is>
      </c>
      <c r="C86" s="2" t="inlineStr">
        <is>
          <t>Premier League</t>
        </is>
      </c>
      <c r="D86" s="2" t="inlineStr">
        <is>
          <t>England</t>
        </is>
      </c>
      <c r="E86" s="2" t="n">
        <v>4</v>
      </c>
      <c r="F86" s="2" t="inlineStr">
        <is>
          <t>Alta</t>
        </is>
      </c>
      <c r="G86" s="2" t="n">
        <v>9</v>
      </c>
      <c r="H86" s="2" t="inlineStr">
        <is>
          <t>2025/26</t>
        </is>
      </c>
      <c r="I86" s="2" t="inlineStr">
        <is>
          <t>confirmado_por_zerozero_screenshot</t>
        </is>
      </c>
      <c r="J86" s="2" t="inlineStr">
        <is>
          <t>ZeroZero screenshot enviado pelo utilizador - Premier League 2025/26</t>
        </is>
      </c>
      <c r="K86" s="2" t="inlineStr">
        <is>
          <t>Validado com a classificação visível no screenshot enviado. Clube normalizado: Brentford -&gt; brentford.</t>
        </is>
      </c>
    </row>
    <row r="87">
      <c r="A87" s="1" t="n">
        <v>86</v>
      </c>
      <c r="B87" s="2" t="inlineStr">
        <is>
          <t>Brighton &amp; Hove Albion</t>
        </is>
      </c>
      <c r="C87" s="2" t="inlineStr">
        <is>
          <t>Premier League</t>
        </is>
      </c>
      <c r="D87" s="2" t="inlineStr">
        <is>
          <t>England</t>
        </is>
      </c>
      <c r="E87" s="2" t="n">
        <v>12</v>
      </c>
      <c r="F87" s="2" t="inlineStr">
        <is>
          <t>Alta</t>
        </is>
      </c>
      <c r="G87" s="2" t="n">
        <v>8</v>
      </c>
      <c r="H87" s="2" t="inlineStr">
        <is>
          <t>2025/26</t>
        </is>
      </c>
      <c r="I87" s="2" t="inlineStr">
        <is>
          <t>confirmado_por_zerozero_screenshot</t>
        </is>
      </c>
      <c r="J87" s="2" t="inlineStr">
        <is>
          <t>ZeroZero screenshot enviado pelo utilizador - Premier League 2025/26</t>
        </is>
      </c>
      <c r="K87" s="2" t="inlineStr">
        <is>
          <t>Validado com a classificação visível no screenshot enviado. Clube normalizado: Brighton &amp; Hove Albion -&gt; brighton.</t>
        </is>
      </c>
    </row>
    <row r="88">
      <c r="A88" s="1" t="n">
        <v>87</v>
      </c>
      <c r="B88" s="2" t="inlineStr">
        <is>
          <t>Brondby IF</t>
        </is>
      </c>
      <c r="C88" s="2" t="inlineStr">
        <is>
          <t>Danish Superliga</t>
        </is>
      </c>
      <c r="D88" s="2" t="inlineStr">
        <is>
          <t>Denmark</t>
        </is>
      </c>
      <c r="E88" s="2" t="n">
        <v>2</v>
      </c>
      <c r="F88" s="2" t="inlineStr">
        <is>
          <t>Alta</t>
        </is>
      </c>
      <c r="G88" s="2" t="n">
        <v>4</v>
      </c>
      <c r="H88" s="2" t="inlineStr">
        <is>
          <t>2025/26</t>
        </is>
      </c>
      <c r="I88" s="2" t="inlineStr">
        <is>
          <t>confirmado_por_zerozero_screenshot</t>
        </is>
      </c>
      <c r="J88" s="2" t="inlineStr">
        <is>
          <t>ZeroZero screenshot enviado pelo utilizador - Superligaen fase regular 2025/26</t>
        </is>
      </c>
      <c r="K88" s="2" t="inlineStr">
        <is>
          <t>Validado com a classificação visível no screenshot enviado. Clube normalizado: Brondby IF -&gt; brondby if.</t>
        </is>
      </c>
    </row>
    <row r="89">
      <c r="A89" s="1" t="n">
        <v>88</v>
      </c>
      <c r="B89" s="2" t="inlineStr">
        <is>
          <t>Burnley</t>
        </is>
      </c>
      <c r="C89" s="2" t="inlineStr">
        <is>
          <t>Premier League</t>
        </is>
      </c>
      <c r="D89" s="2" t="inlineStr">
        <is>
          <t>England</t>
        </is>
      </c>
      <c r="E89" s="2" t="n">
        <v>5</v>
      </c>
      <c r="F89" s="2" t="inlineStr">
        <is>
          <t>Alta</t>
        </is>
      </c>
      <c r="G89" s="2" t="n">
        <v>19</v>
      </c>
      <c r="H89" s="2" t="inlineStr">
        <is>
          <t>2025/26</t>
        </is>
      </c>
      <c r="I89" s="2" t="inlineStr">
        <is>
          <t>confirmado_por_zerozero_screenshot</t>
        </is>
      </c>
      <c r="J89" s="2" t="inlineStr">
        <is>
          <t>ZeroZero screenshot enviado pelo utilizador - Premier League 2025/26</t>
        </is>
      </c>
      <c r="K89" s="2" t="inlineStr">
        <is>
          <t>Validado com a classificação visível no screenshot enviado. Clube normalizado: Burnley -&gt; burnley.</t>
        </is>
      </c>
    </row>
    <row r="90">
      <c r="A90" s="1" t="n">
        <v>89</v>
      </c>
      <c r="B90" s="2" t="inlineStr">
        <is>
          <t>CD Tondela</t>
        </is>
      </c>
      <c r="C90" s="2" t="inlineStr">
        <is>
          <t>Primeira Liga</t>
        </is>
      </c>
      <c r="D90" s="2" t="inlineStr">
        <is>
          <t>Portugal</t>
        </is>
      </c>
      <c r="E90" s="2" t="n">
        <v>1</v>
      </c>
      <c r="F90" s="2" t="inlineStr">
        <is>
          <t>Alta</t>
        </is>
      </c>
      <c r="G90" s="2" t="n">
        <v>17</v>
      </c>
      <c r="H90" s="2" t="inlineStr">
        <is>
          <t>2025/26</t>
        </is>
      </c>
      <c r="I90" s="2" t="inlineStr">
        <is>
          <t>confirmado_por_zerozero_screenshot</t>
        </is>
      </c>
      <c r="J90" s="2" t="inlineStr">
        <is>
          <t>ZeroZero screenshot enviado pelo utilizador - Liga Portugal Betclic 2025/26</t>
        </is>
      </c>
      <c r="K90" s="2" t="inlineStr">
        <is>
          <t>Validado com a classificação visível no screenshot enviado. Clube normalizado: CD Tondela -&gt; cd tondela.</t>
        </is>
      </c>
    </row>
    <row r="91">
      <c r="A91" s="1" t="n">
        <v>90</v>
      </c>
      <c r="B91" s="2" t="inlineStr">
        <is>
          <t>CS Sfaxien</t>
        </is>
      </c>
      <c r="C91" s="2" t="inlineStr">
        <is>
          <t>Tunisian Ligue Professionnelle 1</t>
        </is>
      </c>
      <c r="D91" s="2" t="inlineStr">
        <is>
          <t>Tunisia</t>
        </is>
      </c>
      <c r="E91" s="2" t="n">
        <v>1</v>
      </c>
      <c r="F91" s="2" t="inlineStr">
        <is>
          <t>Alta</t>
        </is>
      </c>
      <c r="G91" s="2" t="n">
        <v>3</v>
      </c>
      <c r="H91" s="2" t="inlineStr">
        <is>
          <t>2025/26</t>
        </is>
      </c>
      <c r="I91" s="2" t="inlineStr">
        <is>
          <t>confirmado_por_zerozero_screenshot_v7</t>
        </is>
      </c>
      <c r="J91" s="2" t="inlineStr">
        <is>
          <t>ZeroZero screenshot enviado pelo utilizador - Tunisian Ligue 1 2025/26</t>
        </is>
      </c>
      <c r="K91" s="2" t="inlineStr">
        <is>
          <t>Validado com screenshot ZeroZero enviado nesta passagem. Clube normalizado: CS Sfaxien -&gt; cs sfaxien.</t>
        </is>
      </c>
    </row>
    <row r="92" ht="16" customHeight="1" s="25">
      <c r="A92" s="1" t="n">
        <v>91</v>
      </c>
      <c r="B92" s="2" t="inlineStr">
        <is>
          <t>Caen</t>
        </is>
      </c>
      <c r="C92" s="2" t="inlineStr">
        <is>
          <t>Championnat National</t>
        </is>
      </c>
      <c r="D92" s="2" t="inlineStr">
        <is>
          <t>France</t>
        </is>
      </c>
      <c r="E92" s="2" t="n">
        <v>1</v>
      </c>
      <c r="F92" s="2" t="inlineStr">
        <is>
          <t>Média</t>
        </is>
      </c>
      <c r="G92" s="3" t="n">
        <v>8</v>
      </c>
      <c r="H92" s="2" t="inlineStr">
        <is>
          <t>2025/26</t>
        </is>
      </c>
      <c r="I92" s="2" t="inlineStr">
        <is>
          <t>por_validar_sem_screenshot_da_liga</t>
        </is>
      </c>
      <c r="J92" s="3" t="n"/>
      <c r="K92" s="2" t="inlineStr">
        <is>
          <t>Não preenchido: falta screenshot/tabela da liga Championnat National na época 2025/26, ou clube não aparece na tabela enviada.</t>
        </is>
      </c>
    </row>
    <row r="93">
      <c r="A93" s="1" t="n">
        <v>92</v>
      </c>
      <c r="B93" s="2" t="inlineStr">
        <is>
          <t>Cagliari</t>
        </is>
      </c>
      <c r="C93" s="2" t="inlineStr">
        <is>
          <t>Serie A</t>
        </is>
      </c>
      <c r="D93" s="2" t="inlineStr">
        <is>
          <t>Italy</t>
        </is>
      </c>
      <c r="E93" s="2" t="n">
        <v>1</v>
      </c>
      <c r="F93" s="2" t="inlineStr">
        <is>
          <t>Alta</t>
        </is>
      </c>
      <c r="G93" s="2" t="n">
        <v>14</v>
      </c>
      <c r="H93" s="2" t="inlineStr">
        <is>
          <t>2025/26</t>
        </is>
      </c>
      <c r="I93" s="2" t="inlineStr">
        <is>
          <t>confirmado_por_zerozero_screenshot</t>
        </is>
      </c>
      <c r="J93" s="2" t="inlineStr">
        <is>
          <t>ZeroZero screenshot enviado pelo utilizador - Serie A 2025/26</t>
        </is>
      </c>
      <c r="K93" s="2" t="inlineStr">
        <is>
          <t>Validado com a classificação visível no screenshot enviado. Clube normalizado: Cagliari -&gt; cagliari.</t>
        </is>
      </c>
    </row>
    <row r="94">
      <c r="A94" s="1" t="n">
        <v>93</v>
      </c>
      <c r="B94" s="2" t="inlineStr">
        <is>
          <t>Casa Pia AC</t>
        </is>
      </c>
      <c r="C94" s="2" t="inlineStr">
        <is>
          <t>Primeira Liga</t>
        </is>
      </c>
      <c r="D94" s="2" t="inlineStr">
        <is>
          <t>Portugal</t>
        </is>
      </c>
      <c r="E94" s="2" t="n">
        <v>1</v>
      </c>
      <c r="F94" s="2" t="inlineStr">
        <is>
          <t>Alta</t>
        </is>
      </c>
      <c r="G94" s="2" t="n">
        <v>16</v>
      </c>
      <c r="H94" s="2" t="inlineStr">
        <is>
          <t>2025/26</t>
        </is>
      </c>
      <c r="I94" s="2" t="inlineStr">
        <is>
          <t>confirmado_por_zerozero_screenshot</t>
        </is>
      </c>
      <c r="J94" s="2" t="inlineStr">
        <is>
          <t>ZeroZero screenshot enviado pelo utilizador - Liga Portugal Betclic 2025/26</t>
        </is>
      </c>
      <c r="K94" s="2" t="inlineStr">
        <is>
          <t>Validado com a classificação visível no screenshot enviado. Clube normalizado: Casa Pia AC -&gt; casa pia ac.</t>
        </is>
      </c>
    </row>
    <row r="95">
      <c r="A95" s="1" t="n">
        <v>94</v>
      </c>
      <c r="B95" s="2" t="inlineStr">
        <is>
          <t>Castellón</t>
        </is>
      </c>
      <c r="C95" s="2" t="inlineStr">
        <is>
          <t>LaLiga 2</t>
        </is>
      </c>
      <c r="D95" s="2" t="inlineStr">
        <is>
          <t>Spain</t>
        </is>
      </c>
      <c r="E95" s="2" t="n">
        <v>2</v>
      </c>
      <c r="F95" s="2" t="inlineStr">
        <is>
          <t>Alta</t>
        </is>
      </c>
      <c r="G95" s="2" t="n">
        <v>6</v>
      </c>
      <c r="H95" s="2" t="inlineStr">
        <is>
          <t>2025/26</t>
        </is>
      </c>
      <c r="I95" s="2" t="inlineStr">
        <is>
          <t>confirmado_por_zerozero_screenshot_v8</t>
        </is>
      </c>
      <c r="J95" s="2" t="inlineStr">
        <is>
          <t>ZeroZero screenshot enviado pelo utilizador - LaLiga Hypermotion 2025/26</t>
        </is>
      </c>
      <c r="K95" s="2" t="inlineStr">
        <is>
          <t>Validado com screenshot ZeroZero enviado nesta passagem. Clube normalizado: Castellón -&gt; castellon.</t>
        </is>
      </c>
    </row>
    <row r="96">
      <c r="A96" s="1" t="n">
        <v>95</v>
      </c>
      <c r="B96" s="2" t="inlineStr">
        <is>
          <t>Caykur Rizespor</t>
        </is>
      </c>
      <c r="C96" s="2" t="inlineStr">
        <is>
          <t>Süper Lig</t>
        </is>
      </c>
      <c r="D96" s="2" t="inlineStr">
        <is>
          <t>Turkey</t>
        </is>
      </c>
      <c r="E96" s="2" t="n">
        <v>3</v>
      </c>
      <c r="F96" s="2" t="inlineStr">
        <is>
          <t>Alta</t>
        </is>
      </c>
      <c r="G96" s="2" t="n">
        <v>8</v>
      </c>
      <c r="H96" s="2" t="inlineStr">
        <is>
          <t>2025/26</t>
        </is>
      </c>
      <c r="I96" s="2" t="inlineStr">
        <is>
          <t>confirmado_por_zerozero_screenshot</t>
        </is>
      </c>
      <c r="J96" s="2" t="inlineStr">
        <is>
          <t>ZeroZero screenshot enviado pelo utilizador - Süper Lig 2025/26</t>
        </is>
      </c>
      <c r="K96" s="2" t="inlineStr">
        <is>
          <t>Validado com a classificação visível no screenshot enviado. Clube normalizado: Caykur Rizespor -&gt; caykur rizespor.</t>
        </is>
      </c>
    </row>
    <row r="97">
      <c r="A97" s="1" t="n">
        <v>96</v>
      </c>
      <c r="B97" s="2" t="inlineStr">
        <is>
          <t>Celta de Vigo</t>
        </is>
      </c>
      <c r="C97" s="2" t="inlineStr">
        <is>
          <t>LaLiga</t>
        </is>
      </c>
      <c r="D97" s="2" t="inlineStr">
        <is>
          <t>Spain</t>
        </is>
      </c>
      <c r="E97" s="2" t="n">
        <v>2</v>
      </c>
      <c r="F97" s="2" t="inlineStr">
        <is>
          <t>Alta</t>
        </is>
      </c>
      <c r="G97" s="2" t="n">
        <v>6</v>
      </c>
      <c r="H97" s="2" t="inlineStr">
        <is>
          <t>2025/26</t>
        </is>
      </c>
      <c r="I97" s="2" t="inlineStr">
        <is>
          <t>confirmado_por_zerozero_screenshot</t>
        </is>
      </c>
      <c r="J97" s="2" t="inlineStr">
        <is>
          <t>ZeroZero screenshot enviado pelo utilizador - LaLiga 2025/26</t>
        </is>
      </c>
      <c r="K97" s="2" t="inlineStr">
        <is>
          <t>Validado com a classificação visível no screenshot enviado. Clube normalizado: Celta de Vigo -&gt; celta de vigo.</t>
        </is>
      </c>
    </row>
    <row r="98">
      <c r="A98" s="1" t="n">
        <v>97</v>
      </c>
      <c r="B98" s="2" t="inlineStr">
        <is>
          <t>Celtic</t>
        </is>
      </c>
      <c r="C98" s="2" t="inlineStr">
        <is>
          <t>Scottish Premiership</t>
        </is>
      </c>
      <c r="D98" s="2" t="inlineStr">
        <is>
          <t>Scotland</t>
        </is>
      </c>
      <c r="E98" s="2" t="n">
        <v>8</v>
      </c>
      <c r="F98" s="2" t="inlineStr">
        <is>
          <t>Alta</t>
        </is>
      </c>
      <c r="G98" s="2" t="n">
        <v>3</v>
      </c>
      <c r="H98" s="2" t="inlineStr">
        <is>
          <t>2025/26</t>
        </is>
      </c>
      <c r="I98" s="2" t="inlineStr">
        <is>
          <t>confirmado_por_zerozero_screenshot_v6</t>
        </is>
      </c>
      <c r="J98" s="2" t="inlineStr">
        <is>
          <t>ZeroZero screenshot enviado pelo utilizador - Scottish Premiership 2025/26</t>
        </is>
      </c>
      <c r="K98" s="2" t="inlineStr">
        <is>
          <t>Validado com screenshot ZeroZero enviado nesta passagem. Clube normalizado: Celtic -&gt; celtic.</t>
        </is>
      </c>
    </row>
    <row r="99">
      <c r="A99" s="1" t="n">
        <v>98</v>
      </c>
      <c r="B99" s="2" t="inlineStr">
        <is>
          <t>Cercle Brugge</t>
        </is>
      </c>
      <c r="C99" s="2" t="inlineStr">
        <is>
          <t>Belgian Pro League</t>
        </is>
      </c>
      <c r="D99" s="2" t="inlineStr">
        <is>
          <t>Belgium</t>
        </is>
      </c>
      <c r="E99" s="2" t="n">
        <v>1</v>
      </c>
      <c r="F99" s="2" t="inlineStr">
        <is>
          <t>Alta</t>
        </is>
      </c>
      <c r="G99" s="2" t="n">
        <v>14</v>
      </c>
      <c r="H99" s="2" t="inlineStr">
        <is>
          <t>2025/26</t>
        </is>
      </c>
      <c r="I99" s="2" t="inlineStr">
        <is>
          <t>confirmado_por_zerozero_screenshot</t>
        </is>
      </c>
      <c r="J99" s="2" t="inlineStr">
        <is>
          <t>ZeroZero screenshot enviado pelo utilizador - Jupiler Pro League fase regular 2025/26</t>
        </is>
      </c>
      <c r="K99" s="2" t="inlineStr">
        <is>
          <t>Validado com a classificação visível no screenshot enviado. Clube normalizado: Cercle Brugge -&gt; cercle brugge.</t>
        </is>
      </c>
    </row>
    <row r="100">
      <c r="A100" s="1" t="n">
        <v>99</v>
      </c>
      <c r="B100" s="2" t="inlineStr">
        <is>
          <t>Cerro Porteño</t>
        </is>
      </c>
      <c r="C100" s="2" t="inlineStr">
        <is>
          <t>Paraguayan Primera División</t>
        </is>
      </c>
      <c r="D100" s="2" t="inlineStr">
        <is>
          <t>Paraguay</t>
        </is>
      </c>
      <c r="E100" s="2" t="n">
        <v>2</v>
      </c>
      <c r="F100" s="2" t="inlineStr">
        <is>
          <t>Alta</t>
        </is>
      </c>
      <c r="G100" s="2" t="n">
        <v>3</v>
      </c>
      <c r="H100" s="2" t="n">
        <v>2026</v>
      </c>
      <c r="I100" s="2" t="inlineStr">
        <is>
          <t>confirmado_por_zerozero_screenshot_v9</t>
        </is>
      </c>
      <c r="J100" s="2" t="inlineStr">
        <is>
          <t>ZeroZero screenshot enviado pelo utilizador - Liga Paraguaia Apertura 2026</t>
        </is>
      </c>
      <c r="K100" s="2" t="inlineStr">
        <is>
          <t>Validado com screenshot ZeroZero enviado nesta passagem. Clube normalizado: Cerro Porteño -&gt; cerro porteno.</t>
        </is>
      </c>
    </row>
    <row r="101">
      <c r="A101" s="1" t="n">
        <v>100</v>
      </c>
      <c r="B101" s="2" t="inlineStr">
        <is>
          <t>Charleroi</t>
        </is>
      </c>
      <c r="C101" s="2" t="inlineStr">
        <is>
          <t>Belgian Pro League</t>
        </is>
      </c>
      <c r="D101" s="2" t="inlineStr">
        <is>
          <t>Belgium</t>
        </is>
      </c>
      <c r="E101" s="2" t="n">
        <v>3</v>
      </c>
      <c r="F101" s="2" t="inlineStr">
        <is>
          <t>Alta</t>
        </is>
      </c>
      <c r="G101" s="2" t="n">
        <v>12</v>
      </c>
      <c r="H101" s="2" t="inlineStr">
        <is>
          <t>2025/26</t>
        </is>
      </c>
      <c r="I101" s="2" t="inlineStr">
        <is>
          <t>confirmado_por_zerozero_screenshot</t>
        </is>
      </c>
      <c r="J101" s="2" t="inlineStr">
        <is>
          <t>ZeroZero screenshot enviado pelo utilizador - Jupiler Pro League fase regular 2025/26</t>
        </is>
      </c>
      <c r="K101" s="2" t="inlineStr">
        <is>
          <t>Validado com a classificação visível no screenshot enviado. Clube normalizado: Charleroi -&gt; charleroi.</t>
        </is>
      </c>
    </row>
    <row r="102">
      <c r="A102" s="1" t="n">
        <v>101</v>
      </c>
      <c r="B102" s="2" t="inlineStr">
        <is>
          <t>Charlotte FC</t>
        </is>
      </c>
      <c r="C102" s="2" t="inlineStr">
        <is>
          <t>Major League Soccer</t>
        </is>
      </c>
      <c r="D102" s="2" t="inlineStr">
        <is>
          <t>United States/Canada</t>
        </is>
      </c>
      <c r="E102" s="2" t="n">
        <v>1</v>
      </c>
      <c r="F102" s="2" t="inlineStr">
        <is>
          <t>Alta</t>
        </is>
      </c>
      <c r="G102" s="2" t="n">
        <v>6</v>
      </c>
      <c r="H102" s="2" t="n">
        <v>2026</v>
      </c>
      <c r="I102" s="2" t="inlineStr">
        <is>
          <t>confirmado_por_zerozero_screenshot</t>
        </is>
      </c>
      <c r="J102" s="2" t="inlineStr">
        <is>
          <t>ZeroZero screenshot enviado pelo utilizador - MLS 2026, posição na conferência</t>
        </is>
      </c>
      <c r="K102" s="2" t="inlineStr">
        <is>
          <t>Validado com a classificação visível no screenshot enviado. Clube normalizado: Charlotte FC -&gt; charlotte fc.</t>
        </is>
      </c>
    </row>
    <row r="103">
      <c r="A103" s="1" t="n">
        <v>102</v>
      </c>
      <c r="B103" s="2" t="inlineStr">
        <is>
          <t>Charlton Athletic</t>
        </is>
      </c>
      <c r="C103" s="2" t="inlineStr">
        <is>
          <t>EFL Championship</t>
        </is>
      </c>
      <c r="D103" s="2" t="inlineStr">
        <is>
          <t>England</t>
        </is>
      </c>
      <c r="E103" s="2" t="n">
        <v>1</v>
      </c>
      <c r="F103" s="2" t="inlineStr">
        <is>
          <t>Alta</t>
        </is>
      </c>
      <c r="G103" s="2" t="n">
        <v>19</v>
      </c>
      <c r="H103" s="2" t="inlineStr">
        <is>
          <t>2025/26</t>
        </is>
      </c>
      <c r="I103" s="2" t="inlineStr">
        <is>
          <t>confirmado_por_zerozero_screenshot_v5</t>
        </is>
      </c>
      <c r="J103" s="2" t="inlineStr">
        <is>
          <t>ZeroZero screenshot enviado pelo utilizador - Championship 2025/26</t>
        </is>
      </c>
      <c r="K103" s="2" t="inlineStr">
        <is>
          <t>Validado com screenshot ZeroZero enviado nesta passagem. Clube normalizado: Charlton Athletic -&gt; charlton athletic.</t>
        </is>
      </c>
    </row>
    <row r="104">
      <c r="A104" s="1" t="n">
        <v>103</v>
      </c>
      <c r="B104" s="2" t="inlineStr">
        <is>
          <t>Chelsea</t>
        </is>
      </c>
      <c r="C104" s="2" t="inlineStr">
        <is>
          <t>Premier League</t>
        </is>
      </c>
      <c r="D104" s="2" t="inlineStr">
        <is>
          <t>England</t>
        </is>
      </c>
      <c r="E104" s="2" t="n">
        <v>10</v>
      </c>
      <c r="F104" s="2" t="inlineStr">
        <is>
          <t>Alta</t>
        </is>
      </c>
      <c r="G104" s="2" t="n">
        <v>10</v>
      </c>
      <c r="H104" s="2" t="inlineStr">
        <is>
          <t>2025/26</t>
        </is>
      </c>
      <c r="I104" s="2" t="inlineStr">
        <is>
          <t>confirmado_por_zerozero_screenshot</t>
        </is>
      </c>
      <c r="J104" s="2" t="inlineStr">
        <is>
          <t>ZeroZero screenshot enviado pelo utilizador - Premier League 2025/26</t>
        </is>
      </c>
      <c r="K104" s="2" t="inlineStr">
        <is>
          <t>Validado com a classificação visível no screenshot enviado. Clube normalizado: Chelsea -&gt; chelsea.</t>
        </is>
      </c>
    </row>
    <row r="105">
      <c r="A105" s="1" t="n">
        <v>104</v>
      </c>
      <c r="B105" s="2" t="inlineStr">
        <is>
          <t>Chicago Fire</t>
        </is>
      </c>
      <c r="C105" s="2" t="inlineStr">
        <is>
          <t>Major League Soccer</t>
        </is>
      </c>
      <c r="D105" s="2" t="inlineStr">
        <is>
          <t>United States/Canada</t>
        </is>
      </c>
      <c r="E105" s="2" t="n">
        <v>3</v>
      </c>
      <c r="F105" s="2" t="inlineStr">
        <is>
          <t>Alta</t>
        </is>
      </c>
      <c r="G105" s="2" t="n">
        <v>3</v>
      </c>
      <c r="H105" s="2" t="n">
        <v>2026</v>
      </c>
      <c r="I105" s="2" t="inlineStr">
        <is>
          <t>confirmado_por_zerozero_screenshot</t>
        </is>
      </c>
      <c r="J105" s="2" t="inlineStr">
        <is>
          <t>ZeroZero screenshot enviado pelo utilizador - MLS 2026, posição na conferência</t>
        </is>
      </c>
      <c r="K105" s="2" t="inlineStr">
        <is>
          <t>Validado com a classificação visível no screenshot enviado. Clube normalizado: Chicago Fire -&gt; chicago fire.</t>
        </is>
      </c>
    </row>
    <row r="106">
      <c r="A106" s="1" t="n">
        <v>105</v>
      </c>
      <c r="B106" s="2" t="inlineStr">
        <is>
          <t>Chivas</t>
        </is>
      </c>
      <c r="C106" s="2" t="inlineStr">
        <is>
          <t>Liga MX</t>
        </is>
      </c>
      <c r="D106" s="2" t="inlineStr">
        <is>
          <t>Mexico</t>
        </is>
      </c>
      <c r="E106" s="2" t="n">
        <v>5</v>
      </c>
      <c r="F106" s="2" t="inlineStr">
        <is>
          <t>Alta</t>
        </is>
      </c>
      <c r="G106" s="2" t="n">
        <v>2</v>
      </c>
      <c r="H106" s="2" t="n">
        <v>2026</v>
      </c>
      <c r="I106" s="2" t="inlineStr">
        <is>
          <t>confirmado_por_zerozero_screenshot_v6</t>
        </is>
      </c>
      <c r="J106" s="2" t="inlineStr">
        <is>
          <t>ZeroZero screenshot enviado pelo utilizador - Liga MX Clausura 2026 aplicado a Liga MX</t>
        </is>
      </c>
      <c r="K106" s="2" t="inlineStr">
        <is>
          <t>Validado com screenshot ZeroZero enviado nesta passagem. Clube normalizado: Chivas -&gt; chivas.</t>
        </is>
      </c>
    </row>
    <row r="107">
      <c r="A107" s="1" t="n">
        <v>106</v>
      </c>
      <c r="B107" s="2" t="inlineStr">
        <is>
          <t>Club Africain</t>
        </is>
      </c>
      <c r="C107" s="2" t="inlineStr">
        <is>
          <t>Tunisian Ligue Professionnelle 1</t>
        </is>
      </c>
      <c r="D107" s="2" t="inlineStr">
        <is>
          <t>Tunisia</t>
        </is>
      </c>
      <c r="E107" s="2" t="n">
        <v>2</v>
      </c>
      <c r="F107" s="2" t="inlineStr">
        <is>
          <t>Alta</t>
        </is>
      </c>
      <c r="G107" s="2" t="n">
        <v>1</v>
      </c>
      <c r="H107" s="2" t="inlineStr">
        <is>
          <t>2025/26</t>
        </is>
      </c>
      <c r="I107" s="2" t="inlineStr">
        <is>
          <t>confirmado_por_zerozero_screenshot_v7</t>
        </is>
      </c>
      <c r="J107" s="2" t="inlineStr">
        <is>
          <t>ZeroZero screenshot enviado pelo utilizador - Tunisian Ligue 1 2025/26</t>
        </is>
      </c>
      <c r="K107" s="2" t="inlineStr">
        <is>
          <t>Validado com screenshot ZeroZero enviado nesta passagem. Clube normalizado: Club Africain -&gt; club africain.</t>
        </is>
      </c>
    </row>
    <row r="108">
      <c r="A108" s="1" t="n">
        <v>107</v>
      </c>
      <c r="B108" s="2" t="inlineStr">
        <is>
          <t>Club América</t>
        </is>
      </c>
      <c r="C108" s="2" t="inlineStr">
        <is>
          <t>Liga MX</t>
        </is>
      </c>
      <c r="D108" s="2" t="inlineStr">
        <is>
          <t>Mexico</t>
        </is>
      </c>
      <c r="E108" s="2" t="n">
        <v>4</v>
      </c>
      <c r="F108" s="2" t="inlineStr">
        <is>
          <t>Alta</t>
        </is>
      </c>
      <c r="G108" s="2" t="n">
        <v>8</v>
      </c>
      <c r="H108" s="2" t="n">
        <v>2026</v>
      </c>
      <c r="I108" s="2" t="inlineStr">
        <is>
          <t>confirmado_por_zerozero_screenshot_v6</t>
        </is>
      </c>
      <c r="J108" s="2" t="inlineStr">
        <is>
          <t>ZeroZero screenshot enviado pelo utilizador - Liga MX Clausura 2026 aplicado a Liga MX</t>
        </is>
      </c>
      <c r="K108" s="2" t="inlineStr">
        <is>
          <t>Validado com screenshot ZeroZero enviado nesta passagem. Clube normalizado: Club América -&gt; club america.</t>
        </is>
      </c>
    </row>
    <row r="109">
      <c r="A109" s="1" t="n">
        <v>108</v>
      </c>
      <c r="B109" s="2" t="inlineStr">
        <is>
          <t>Club Brugge</t>
        </is>
      </c>
      <c r="C109" s="2" t="inlineStr">
        <is>
          <t>Belgian Pro League</t>
        </is>
      </c>
      <c r="D109" s="2" t="inlineStr">
        <is>
          <t>Belgium</t>
        </is>
      </c>
      <c r="E109" s="2" t="n">
        <v>5</v>
      </c>
      <c r="F109" s="2" t="inlineStr">
        <is>
          <t>Alta</t>
        </is>
      </c>
      <c r="G109" s="2" t="n">
        <v>2</v>
      </c>
      <c r="H109" s="2" t="inlineStr">
        <is>
          <t>2025/26</t>
        </is>
      </c>
      <c r="I109" s="2" t="inlineStr">
        <is>
          <t>confirmado_por_zerozero_screenshot</t>
        </is>
      </c>
      <c r="J109" s="2" t="inlineStr">
        <is>
          <t>ZeroZero screenshot enviado pelo utilizador - Jupiler Pro League fase regular 2025/26</t>
        </is>
      </c>
      <c r="K109" s="2" t="inlineStr">
        <is>
          <t>Validado com a classificação visível no screenshot enviado. Clube normalizado: Club Brugge -&gt; club brugge.</t>
        </is>
      </c>
    </row>
    <row r="110">
      <c r="A110" s="1" t="n">
        <v>109</v>
      </c>
      <c r="B110" s="2" t="inlineStr">
        <is>
          <t>Club Tijuana</t>
        </is>
      </c>
      <c r="C110" s="2" t="inlineStr">
        <is>
          <t>Liga MX</t>
        </is>
      </c>
      <c r="D110" s="2" t="inlineStr">
        <is>
          <t>Mexico</t>
        </is>
      </c>
      <c r="E110" s="2" t="n">
        <v>1</v>
      </c>
      <c r="F110" s="2" t="inlineStr">
        <is>
          <t>Alta</t>
        </is>
      </c>
      <c r="G110" s="2" t="n">
        <v>9</v>
      </c>
      <c r="H110" s="2" t="n">
        <v>2026</v>
      </c>
      <c r="I110" s="2" t="inlineStr">
        <is>
          <t>confirmado_por_zerozero_screenshot_v6</t>
        </is>
      </c>
      <c r="J110" s="2" t="inlineStr">
        <is>
          <t>ZeroZero screenshot enviado pelo utilizador - Liga MX Clausura 2026 aplicado a Liga MX</t>
        </is>
      </c>
      <c r="K110" s="2" t="inlineStr">
        <is>
          <t>Validado com screenshot ZeroZero enviado nesta passagem. Clube normalizado: Club Tijuana -&gt; club tijuana.</t>
        </is>
      </c>
    </row>
    <row r="111">
      <c r="A111" s="1" t="n">
        <v>110</v>
      </c>
      <c r="B111" s="2" t="inlineStr">
        <is>
          <t>Colorado Rapids</t>
        </is>
      </c>
      <c r="C111" s="2" t="inlineStr">
        <is>
          <t>Major League Soccer</t>
        </is>
      </c>
      <c r="D111" s="2" t="inlineStr">
        <is>
          <t>United States/Canada</t>
        </is>
      </c>
      <c r="E111" s="2" t="n">
        <v>1</v>
      </c>
      <c r="F111" s="2" t="inlineStr">
        <is>
          <t>Alta</t>
        </is>
      </c>
      <c r="G111" s="2" t="n">
        <v>12</v>
      </c>
      <c r="H111" s="2" t="n">
        <v>2026</v>
      </c>
      <c r="I111" s="2" t="inlineStr">
        <is>
          <t>confirmado_por_zerozero_screenshot</t>
        </is>
      </c>
      <c r="J111" s="2" t="inlineStr">
        <is>
          <t>ZeroZero screenshot enviado pelo utilizador - MLS 2026, posição na conferência</t>
        </is>
      </c>
      <c r="K111" s="2" t="inlineStr">
        <is>
          <t>Validado com a classificação visível no screenshot enviado. Clube normalizado: Colorado Rapids -&gt; colorado rapids.</t>
        </is>
      </c>
    </row>
    <row r="112">
      <c r="A112" s="1" t="n">
        <v>111</v>
      </c>
      <c r="B112" s="2" t="inlineStr">
        <is>
          <t>Colorado Springs Switchbacks</t>
        </is>
      </c>
      <c r="C112" s="2" t="inlineStr">
        <is>
          <t>USL Championship</t>
        </is>
      </c>
      <c r="D112" s="2" t="inlineStr">
        <is>
          <t>United States</t>
        </is>
      </c>
      <c r="E112" s="2" t="n">
        <v>1</v>
      </c>
      <c r="F112" s="2" t="inlineStr">
        <is>
          <t>Alta</t>
        </is>
      </c>
      <c r="G112" s="2" t="n">
        <v>9</v>
      </c>
      <c r="H112" s="2" t="n">
        <v>2026</v>
      </c>
      <c r="I112" s="2" t="inlineStr">
        <is>
          <t>confirmado_por_zerozero_screenshot_v9</t>
        </is>
      </c>
      <c r="J112" s="2" t="inlineStr">
        <is>
          <t>ZeroZero screenshot enviado pelo utilizador - USL Championship 2026 Grupo Este/Oeste</t>
        </is>
      </c>
      <c r="K112" s="2" t="inlineStr">
        <is>
          <t>Validado com screenshot ZeroZero enviado nesta passagem. Clube normalizado: Colorado Springs Switchbacks -&gt; colorado springs switchbacks.</t>
        </is>
      </c>
    </row>
    <row r="113">
      <c r="A113" s="1" t="n">
        <v>112</v>
      </c>
      <c r="B113" s="2" t="inlineStr">
        <is>
          <t>Columbus Crew</t>
        </is>
      </c>
      <c r="C113" s="2" t="inlineStr">
        <is>
          <t>Major League Soccer</t>
        </is>
      </c>
      <c r="D113" s="2" t="inlineStr">
        <is>
          <t>United States/Canada</t>
        </is>
      </c>
      <c r="E113" s="2" t="n">
        <v>2</v>
      </c>
      <c r="F113" s="2" t="inlineStr">
        <is>
          <t>Alta</t>
        </is>
      </c>
      <c r="G113" s="2" t="n">
        <v>10</v>
      </c>
      <c r="H113" s="2" t="n">
        <v>2026</v>
      </c>
      <c r="I113" s="2" t="inlineStr">
        <is>
          <t>confirmado_por_zerozero_screenshot</t>
        </is>
      </c>
      <c r="J113" s="2" t="inlineStr">
        <is>
          <t>ZeroZero screenshot enviado pelo utilizador - MLS 2026, posição na conferência</t>
        </is>
      </c>
      <c r="K113" s="2" t="inlineStr">
        <is>
          <t>Validado com a classificação visível no screenshot enviado. Clube normalizado: Columbus Crew -&gt; columbus crew.</t>
        </is>
      </c>
    </row>
    <row r="114">
      <c r="A114" s="1" t="n">
        <v>113</v>
      </c>
      <c r="B114" s="2" t="inlineStr">
        <is>
          <t>Como 1907</t>
        </is>
      </c>
      <c r="C114" s="2" t="inlineStr">
        <is>
          <t>Serie A</t>
        </is>
      </c>
      <c r="D114" s="2" t="inlineStr">
        <is>
          <t>Italy</t>
        </is>
      </c>
      <c r="E114" s="2" t="n">
        <v>4</v>
      </c>
      <c r="F114" s="2" t="inlineStr">
        <is>
          <t>Alta</t>
        </is>
      </c>
      <c r="G114" s="2" t="n">
        <v>4</v>
      </c>
      <c r="H114" s="2" t="inlineStr">
        <is>
          <t>2025/26</t>
        </is>
      </c>
      <c r="I114" s="2" t="inlineStr">
        <is>
          <t>confirmado_por_zerozero_screenshot</t>
        </is>
      </c>
      <c r="J114" s="2" t="inlineStr">
        <is>
          <t>ZeroZero screenshot enviado pelo utilizador - Serie A 2025/26</t>
        </is>
      </c>
      <c r="K114" s="2" t="inlineStr">
        <is>
          <t>Validado com a classificação visível no screenshot enviado. Clube normalizado: Como 1907 -&gt; como 1907.</t>
        </is>
      </c>
    </row>
    <row r="115">
      <c r="A115" s="1" t="n">
        <v>114</v>
      </c>
      <c r="B115" s="2" t="inlineStr">
        <is>
          <t>Corinthians</t>
        </is>
      </c>
      <c r="C115" s="2" t="inlineStr">
        <is>
          <t>Campeonato Brasileiro Série A</t>
        </is>
      </c>
      <c r="D115" s="2" t="inlineStr">
        <is>
          <t>Brazil</t>
        </is>
      </c>
      <c r="E115" s="2" t="n">
        <v>2</v>
      </c>
      <c r="F115" s="2" t="inlineStr">
        <is>
          <t>Alta</t>
        </is>
      </c>
      <c r="G115" s="2" t="n">
        <v>10</v>
      </c>
      <c r="H115" s="2" t="n">
        <v>2026</v>
      </c>
      <c r="I115" s="2" t="inlineStr">
        <is>
          <t>confirmado_por_zerozero_screenshot</t>
        </is>
      </c>
      <c r="J115" s="2" t="inlineStr">
        <is>
          <t>ZeroZero screenshot enviado pelo utilizador - Brasileirão Série A 2026</t>
        </is>
      </c>
      <c r="K115" s="2" t="inlineStr">
        <is>
          <t>Validado com a classificação visível no screenshot enviado. Clube normalizado: Corinthians -&gt; corinthians.</t>
        </is>
      </c>
    </row>
    <row r="116">
      <c r="A116" s="1" t="n">
        <v>115</v>
      </c>
      <c r="B116" s="2" t="inlineStr">
        <is>
          <t>Coventry City</t>
        </is>
      </c>
      <c r="C116" s="2" t="inlineStr">
        <is>
          <t>EFL Championship</t>
        </is>
      </c>
      <c r="D116" s="2" t="inlineStr">
        <is>
          <t>England</t>
        </is>
      </c>
      <c r="E116" s="2" t="n">
        <v>2</v>
      </c>
      <c r="F116" s="2" t="inlineStr">
        <is>
          <t>Alta</t>
        </is>
      </c>
      <c r="G116" s="2" t="n">
        <v>1</v>
      </c>
      <c r="H116" s="2" t="inlineStr">
        <is>
          <t>2025/26</t>
        </is>
      </c>
      <c r="I116" s="2" t="inlineStr">
        <is>
          <t>confirmado_por_zerozero_screenshot_v5</t>
        </is>
      </c>
      <c r="J116" s="2" t="inlineStr">
        <is>
          <t>ZeroZero screenshot enviado pelo utilizador - Championship 2025/26</t>
        </is>
      </c>
      <c r="K116" s="2" t="inlineStr">
        <is>
          <t>Validado com screenshot ZeroZero enviado nesta passagem. Clube normalizado: Coventry City -&gt; coventry city.</t>
        </is>
      </c>
    </row>
    <row r="117">
      <c r="A117" s="1" t="n">
        <v>116</v>
      </c>
      <c r="B117" s="2" t="inlineStr">
        <is>
          <t>Cremonese</t>
        </is>
      </c>
      <c r="C117" s="2" t="inlineStr">
        <is>
          <t>Serie A</t>
        </is>
      </c>
      <c r="D117" s="2" t="inlineStr">
        <is>
          <t>Italy</t>
        </is>
      </c>
      <c r="E117" s="2" t="n">
        <v>2</v>
      </c>
      <c r="F117" s="2" t="inlineStr">
        <is>
          <t>Alta</t>
        </is>
      </c>
      <c r="G117" s="2" t="n">
        <v>18</v>
      </c>
      <c r="H117" s="2" t="inlineStr">
        <is>
          <t>2025/26</t>
        </is>
      </c>
      <c r="I117" s="2" t="inlineStr">
        <is>
          <t>confirmado_por_zerozero_screenshot</t>
        </is>
      </c>
      <c r="J117" s="2" t="inlineStr">
        <is>
          <t>ZeroZero screenshot enviado pelo utilizador - Serie A 2025/26</t>
        </is>
      </c>
      <c r="K117" s="2" t="inlineStr">
        <is>
          <t>Validado com a classificação visível no screenshot enviado. Clube normalizado: Cremonese -&gt; cremonese.</t>
        </is>
      </c>
    </row>
    <row r="118">
      <c r="A118" s="1" t="n">
        <v>117</v>
      </c>
      <c r="B118" s="2" t="inlineStr">
        <is>
          <t>Cruz Azul</t>
        </is>
      </c>
      <c r="C118" s="2" t="inlineStr">
        <is>
          <t>Liga MX</t>
        </is>
      </c>
      <c r="D118" s="2" t="inlineStr">
        <is>
          <t>Mexico</t>
        </is>
      </c>
      <c r="E118" s="2" t="n">
        <v>2</v>
      </c>
      <c r="F118" s="2" t="inlineStr">
        <is>
          <t>Alta</t>
        </is>
      </c>
      <c r="G118" s="2" t="n">
        <v>3</v>
      </c>
      <c r="H118" s="2" t="n">
        <v>2026</v>
      </c>
      <c r="I118" s="2" t="inlineStr">
        <is>
          <t>confirmado_por_zerozero_screenshot_v6</t>
        </is>
      </c>
      <c r="J118" s="2" t="inlineStr">
        <is>
          <t>ZeroZero screenshot enviado pelo utilizador - Liga MX Clausura 2026 aplicado a Liga MX</t>
        </is>
      </c>
      <c r="K118" s="2" t="inlineStr">
        <is>
          <t>Validado com screenshot ZeroZero enviado nesta passagem. Clube normalizado: Cruz Azul -&gt; cruz azul.</t>
        </is>
      </c>
    </row>
    <row r="119" ht="16" customHeight="1" s="25">
      <c r="A119" s="1" t="n">
        <v>118</v>
      </c>
      <c r="B119" s="2" t="inlineStr">
        <is>
          <t>Crvena Zvezda</t>
        </is>
      </c>
      <c r="C119" s="2" t="inlineStr">
        <is>
          <t>Serbian SuperLiga</t>
        </is>
      </c>
      <c r="D119" s="2" t="inlineStr">
        <is>
          <t>Serbia</t>
        </is>
      </c>
      <c r="E119" s="2" t="n">
        <v>2</v>
      </c>
      <c r="F119" s="2" t="inlineStr">
        <is>
          <t>Alta</t>
        </is>
      </c>
      <c r="G119" s="3" t="n">
        <v>1</v>
      </c>
      <c r="H119" s="2" t="inlineStr">
        <is>
          <t>2025/26</t>
        </is>
      </c>
      <c r="I119" s="2" t="inlineStr">
        <is>
          <t>por_validar_sem_screenshot_da_liga</t>
        </is>
      </c>
      <c r="J119" s="3" t="n"/>
      <c r="K119" s="2" t="inlineStr">
        <is>
          <t>Não preenchido: falta screenshot/tabela da liga Serbian SuperLiga na época 2025/26, ou clube não aparece na tabela enviada.</t>
        </is>
      </c>
    </row>
    <row r="120">
      <c r="A120" s="1" t="n">
        <v>119</v>
      </c>
      <c r="B120" s="2" t="inlineStr">
        <is>
          <t>Crystal Palace</t>
        </is>
      </c>
      <c r="C120" s="2" t="inlineStr">
        <is>
          <t>Premier League</t>
        </is>
      </c>
      <c r="D120" s="2" t="inlineStr">
        <is>
          <t>England</t>
        </is>
      </c>
      <c r="E120" s="2" t="n">
        <v>13</v>
      </c>
      <c r="F120" s="2" t="inlineStr">
        <is>
          <t>Alta</t>
        </is>
      </c>
      <c r="G120" s="2" t="n">
        <v>15</v>
      </c>
      <c r="H120" s="2" t="inlineStr">
        <is>
          <t>2025/26</t>
        </is>
      </c>
      <c r="I120" s="2" t="inlineStr">
        <is>
          <t>confirmado_por_zerozero_screenshot</t>
        </is>
      </c>
      <c r="J120" s="2" t="inlineStr">
        <is>
          <t>ZeroZero screenshot enviado pelo utilizador - Premier League 2025/26</t>
        </is>
      </c>
      <c r="K120" s="2" t="inlineStr">
        <is>
          <t>Validado com a classificação visível no screenshot enviado. Clube normalizado: Crystal Palace -&gt; crystal palace.</t>
        </is>
      </c>
    </row>
    <row r="121">
      <c r="A121" s="1" t="n">
        <v>120</v>
      </c>
      <c r="B121" s="2" t="inlineStr">
        <is>
          <t>Cultural Leonesa</t>
        </is>
      </c>
      <c r="C121" s="2" t="inlineStr">
        <is>
          <t>LaLiga 2</t>
        </is>
      </c>
      <c r="D121" s="2" t="inlineStr">
        <is>
          <t>Spain</t>
        </is>
      </c>
      <c r="E121" s="2" t="n">
        <v>1</v>
      </c>
      <c r="F121" s="2" t="inlineStr">
        <is>
          <t>Alta</t>
        </is>
      </c>
      <c r="G121" s="2" t="n">
        <v>21</v>
      </c>
      <c r="H121" s="2" t="inlineStr">
        <is>
          <t>2025/26</t>
        </is>
      </c>
      <c r="I121" s="2" t="inlineStr">
        <is>
          <t>confirmado_por_zerozero_screenshot_v8</t>
        </is>
      </c>
      <c r="J121" s="2" t="inlineStr">
        <is>
          <t>ZeroZero screenshot enviado pelo utilizador - LaLiga Hypermotion 2025/26</t>
        </is>
      </c>
      <c r="K121" s="2" t="inlineStr">
        <is>
          <t>Validado com screenshot ZeroZero enviado nesta passagem. Clube normalizado: Cultural Leonesa -&gt; cultural leonesa.</t>
        </is>
      </c>
    </row>
    <row r="122">
      <c r="A122" s="1" t="n">
        <v>121</v>
      </c>
      <c r="B122" s="2" t="inlineStr">
        <is>
          <t>Daejeon Hana Citizen</t>
        </is>
      </c>
      <c r="C122" s="2" t="inlineStr">
        <is>
          <t>K League 1</t>
        </is>
      </c>
      <c r="D122" s="2" t="inlineStr">
        <is>
          <t>South Korea</t>
        </is>
      </c>
      <c r="E122" s="2" t="n">
        <v>1</v>
      </c>
      <c r="F122" s="2" t="inlineStr">
        <is>
          <t>Alta</t>
        </is>
      </c>
      <c r="G122" s="2" t="n">
        <v>10</v>
      </c>
      <c r="H122" s="2" t="n">
        <v>2026</v>
      </c>
      <c r="I122" s="2" t="inlineStr">
        <is>
          <t>confirmado_por_zerozero_screenshot_v8</t>
        </is>
      </c>
      <c r="J122" s="2" t="inlineStr">
        <is>
          <t>ZeroZero screenshot enviado pelo utilizador - K League 1 2026</t>
        </is>
      </c>
      <c r="K122" s="2" t="inlineStr">
        <is>
          <t>Validado com screenshot ZeroZero enviado nesta passagem. Clube normalizado: Daejeon Hana Citizen -&gt; daejeon hana citizen.</t>
        </is>
      </c>
    </row>
    <row r="123">
      <c r="A123" s="1" t="n">
        <v>122</v>
      </c>
      <c r="B123" s="2" t="inlineStr">
        <is>
          <t>Den Bosch</t>
        </is>
      </c>
      <c r="C123" s="2" t="inlineStr">
        <is>
          <t>Eerste Divisie</t>
        </is>
      </c>
      <c r="D123" s="2" t="inlineStr">
        <is>
          <t>Netherlands</t>
        </is>
      </c>
      <c r="E123" s="2" t="n">
        <v>1</v>
      </c>
      <c r="F123" s="2" t="inlineStr">
        <is>
          <t>Alta</t>
        </is>
      </c>
      <c r="G123" s="2" t="n">
        <v>9</v>
      </c>
      <c r="H123" s="2" t="inlineStr">
        <is>
          <t>2025/26</t>
        </is>
      </c>
      <c r="I123" s="2" t="inlineStr">
        <is>
          <t>confirmado_por_zerozero_screenshot_v9</t>
        </is>
      </c>
      <c r="J123" s="2" t="inlineStr">
        <is>
          <t>ZeroZero screenshot enviado pelo utilizador - Eerste Divisie 2025/26</t>
        </is>
      </c>
      <c r="K123" s="2" t="inlineStr">
        <is>
          <t>Validado com screenshot ZeroZero enviado nesta passagem. Clube normalizado: Den Bosch -&gt; den bosch.</t>
        </is>
      </c>
    </row>
    <row r="124">
      <c r="A124" s="1" t="n">
        <v>123</v>
      </c>
      <c r="B124" s="2" t="inlineStr">
        <is>
          <t>Derby County</t>
        </is>
      </c>
      <c r="C124" s="2" t="inlineStr">
        <is>
          <t>EFL Championship</t>
        </is>
      </c>
      <c r="D124" s="2" t="inlineStr">
        <is>
          <t>England</t>
        </is>
      </c>
      <c r="E124" s="2" t="n">
        <v>2</v>
      </c>
      <c r="F124" s="2" t="inlineStr">
        <is>
          <t>Alta</t>
        </is>
      </c>
      <c r="G124" s="2" t="n">
        <v>8</v>
      </c>
      <c r="H124" s="2" t="inlineStr">
        <is>
          <t>2025/26</t>
        </is>
      </c>
      <c r="I124" s="2" t="inlineStr">
        <is>
          <t>confirmado_por_zerozero_screenshot_v5</t>
        </is>
      </c>
      <c r="J124" s="2" t="inlineStr">
        <is>
          <t>ZeroZero screenshot enviado pelo utilizador - Championship 2025/26</t>
        </is>
      </c>
      <c r="K124" s="2" t="inlineStr">
        <is>
          <t>Validado com screenshot ZeroZero enviado nesta passagem. Clube normalizado: Derby County -&gt; derby county.</t>
        </is>
      </c>
    </row>
    <row r="125">
      <c r="A125" s="1" t="n">
        <v>124</v>
      </c>
      <c r="B125" s="2" t="inlineStr">
        <is>
          <t>Dibba Al Fujairah</t>
        </is>
      </c>
      <c r="C125" s="2" t="inlineStr">
        <is>
          <t>UAE Pro League</t>
        </is>
      </c>
      <c r="D125" s="2" t="inlineStr">
        <is>
          <t>United Arab Emirates</t>
        </is>
      </c>
      <c r="E125" s="2" t="n">
        <v>2</v>
      </c>
      <c r="F125" s="2" t="inlineStr">
        <is>
          <t>Alta</t>
        </is>
      </c>
      <c r="G125" s="2" t="n">
        <v>14</v>
      </c>
      <c r="H125" s="2" t="inlineStr">
        <is>
          <t>2025/26</t>
        </is>
      </c>
      <c r="I125" s="2" t="inlineStr">
        <is>
          <t>confirmado_por_zerozero_screenshot_v5</t>
        </is>
      </c>
      <c r="J125" s="2" t="inlineStr">
        <is>
          <t>ZeroZero screenshot enviado pelo utilizador - Arabian Gulf League 2025/26</t>
        </is>
      </c>
      <c r="K125" s="2" t="inlineStr">
        <is>
          <t>Validado com screenshot ZeroZero enviado nesta passagem. Clube normalizado: Dibba Al Fujairah -&gt; dibba al fujairah.</t>
        </is>
      </c>
    </row>
    <row r="126">
      <c r="A126" s="1" t="n">
        <v>125</v>
      </c>
      <c r="B126" s="2" t="inlineStr">
        <is>
          <t>Dinamo Zagreb</t>
        </is>
      </c>
      <c r="C126" s="2" t="inlineStr">
        <is>
          <t>Croatian Football League</t>
        </is>
      </c>
      <c r="D126" s="2" t="inlineStr">
        <is>
          <t>Croatia</t>
        </is>
      </c>
      <c r="E126" s="2" t="n">
        <v>2</v>
      </c>
      <c r="F126" s="2" t="inlineStr">
        <is>
          <t>Alta</t>
        </is>
      </c>
      <c r="G126" s="2" t="n">
        <v>1</v>
      </c>
      <c r="H126" s="2" t="inlineStr">
        <is>
          <t>2025/26</t>
        </is>
      </c>
      <c r="I126" s="2" t="inlineStr">
        <is>
          <t>confirmado_por_zerozero_screenshot_v8</t>
        </is>
      </c>
      <c r="J126" s="2" t="inlineStr">
        <is>
          <t>ZeroZero screenshot enviado pelo utilizador - Prva HNL 2025/26</t>
        </is>
      </c>
      <c r="K126" s="2" t="inlineStr">
        <is>
          <t>Validado com screenshot ZeroZero enviado nesta passagem. Clube normalizado: Dinamo Zagreb -&gt; dinamo zagreb.</t>
        </is>
      </c>
    </row>
    <row r="127" ht="16" customHeight="1" s="25">
      <c r="A127" s="1" t="n">
        <v>126</v>
      </c>
      <c r="B127" s="2" t="inlineStr">
        <is>
          <t>Dorados</t>
        </is>
      </c>
      <c r="C127" s="2" t="inlineStr">
        <is>
          <t>Liga de Expansión MX</t>
        </is>
      </c>
      <c r="D127" s="2" t="inlineStr">
        <is>
          <t>Mexico</t>
        </is>
      </c>
      <c r="E127" s="2" t="n">
        <v>1</v>
      </c>
      <c r="F127" s="2" t="inlineStr">
        <is>
          <t>Alta</t>
        </is>
      </c>
      <c r="G127" s="3" t="n">
        <v>13</v>
      </c>
      <c r="H127" s="2" t="inlineStr">
        <is>
          <t>2025/26</t>
        </is>
      </c>
      <c r="I127" s="2" t="inlineStr">
        <is>
          <t>por_validar_sem_screenshot_da_liga</t>
        </is>
      </c>
      <c r="J127" s="3" t="n"/>
      <c r="K127" s="2" t="inlineStr">
        <is>
          <t>Não preenchido: falta screenshot/tabela da liga Liga de Expansión MX na época 2025/26, ou clube não aparece na tabela enviada.</t>
        </is>
      </c>
    </row>
    <row r="128">
      <c r="A128" s="1" t="n">
        <v>127</v>
      </c>
      <c r="B128" s="2" t="inlineStr">
        <is>
          <t>Duhok</t>
        </is>
      </c>
      <c r="C128" s="2" t="inlineStr">
        <is>
          <t>Iraq Stars League</t>
        </is>
      </c>
      <c r="D128" s="2" t="inlineStr">
        <is>
          <t>Iraq</t>
        </is>
      </c>
      <c r="E128" s="2" t="n">
        <v>1</v>
      </c>
      <c r="F128" s="2" t="inlineStr">
        <is>
          <t>Alta</t>
        </is>
      </c>
      <c r="G128" s="2" t="n">
        <v>10</v>
      </c>
      <c r="H128" s="2" t="inlineStr">
        <is>
          <t>2025/26</t>
        </is>
      </c>
      <c r="I128" s="2" t="inlineStr">
        <is>
          <t>confirmado_por_zerozero_screenshot_v5</t>
        </is>
      </c>
      <c r="J128" s="2" t="inlineStr">
        <is>
          <t>ZeroZero screenshot enviado pelo utilizador - Iraq Premier League 2025/26</t>
        </is>
      </c>
      <c r="K128" s="2" t="inlineStr">
        <is>
          <t>Validado com screenshot ZeroZero enviado nesta passagem. Clube normalizado: Duhok -&gt; duhok.</t>
        </is>
      </c>
    </row>
    <row r="129">
      <c r="A129" s="1" t="n">
        <v>128</v>
      </c>
      <c r="B129" s="2" t="inlineStr">
        <is>
          <t>Dundee United</t>
        </is>
      </c>
      <c r="C129" s="2" t="inlineStr">
        <is>
          <t>Scottish Premiership</t>
        </is>
      </c>
      <c r="D129" s="2" t="inlineStr">
        <is>
          <t>Scotland</t>
        </is>
      </c>
      <c r="E129" s="2" t="n">
        <v>1</v>
      </c>
      <c r="F129" s="2" t="inlineStr">
        <is>
          <t>Alta</t>
        </is>
      </c>
      <c r="G129" s="2" t="n">
        <v>7</v>
      </c>
      <c r="H129" s="2" t="inlineStr">
        <is>
          <t>2025/26</t>
        </is>
      </c>
      <c r="I129" s="2" t="inlineStr">
        <is>
          <t>confirmado_por_zerozero_screenshot_v6</t>
        </is>
      </c>
      <c r="J129" s="2" t="inlineStr">
        <is>
          <t>ZeroZero screenshot enviado pelo utilizador - Scottish Premiership 2025/26</t>
        </is>
      </c>
      <c r="K129" s="2" t="inlineStr">
        <is>
          <t>Validado com screenshot ZeroZero enviado nesta passagem. Clube normalizado: Dundee United -&gt; dundee united.</t>
        </is>
      </c>
    </row>
    <row r="130">
      <c r="A130" s="1" t="n">
        <v>129</v>
      </c>
      <c r="B130" s="2" t="inlineStr">
        <is>
          <t>Dynamo Makhachkala</t>
        </is>
      </c>
      <c r="C130" s="2" t="inlineStr">
        <is>
          <t>Russian Premier League</t>
        </is>
      </c>
      <c r="D130" s="2" t="inlineStr">
        <is>
          <t>Russia</t>
        </is>
      </c>
      <c r="E130" s="2" t="n">
        <v>1</v>
      </c>
      <c r="F130" s="2" t="inlineStr">
        <is>
          <t>Alta</t>
        </is>
      </c>
      <c r="G130" s="2" t="n">
        <v>14</v>
      </c>
      <c r="H130" s="2" t="inlineStr">
        <is>
          <t>2025/26</t>
        </is>
      </c>
      <c r="I130" s="2" t="inlineStr">
        <is>
          <t>confirmado_por_zerozero_screenshot_v5</t>
        </is>
      </c>
      <c r="J130" s="2" t="inlineStr">
        <is>
          <t>ZeroZero screenshot enviado pelo utilizador - Russian Premier League 2025/26</t>
        </is>
      </c>
      <c r="K130" s="2" t="inlineStr">
        <is>
          <t>Validado com screenshot ZeroZero enviado nesta passagem. Clube normalizado: Dynamo Makhachkala -&gt; dynamo makhachkala.</t>
        </is>
      </c>
    </row>
    <row r="131" ht="16" customHeight="1" s="25">
      <c r="A131" s="1" t="n">
        <v>130</v>
      </c>
      <c r="B131" s="2" t="inlineStr">
        <is>
          <t>Dynamo Moskva</t>
        </is>
      </c>
      <c r="C131" s="2" t="inlineStr">
        <is>
          <t>Russian Premier League</t>
        </is>
      </c>
      <c r="D131" s="2" t="inlineStr">
        <is>
          <t>Russia</t>
        </is>
      </c>
      <c r="E131" s="2" t="n">
        <v>2</v>
      </c>
      <c r="F131" s="2" t="inlineStr">
        <is>
          <t>Alta</t>
        </is>
      </c>
      <c r="G131" s="3" t="n">
        <v>7</v>
      </c>
      <c r="H131" s="2" t="inlineStr">
        <is>
          <t>2025/26</t>
        </is>
      </c>
      <c r="I131" s="2" t="inlineStr">
        <is>
          <t>por_validar_sem_screenshot_da_liga</t>
        </is>
      </c>
      <c r="J131" s="3" t="n"/>
      <c r="K131" s="2" t="inlineStr">
        <is>
          <t>Não preenchido: falta screenshot/tabela da liga Russian Premier League na época 2025/26, ou clube não aparece na tabela enviada.</t>
        </is>
      </c>
    </row>
    <row r="132">
      <c r="A132" s="1" t="n">
        <v>131</v>
      </c>
      <c r="B132" s="2" t="inlineStr">
        <is>
          <t>Dynamo Samarqand</t>
        </is>
      </c>
      <c r="C132" s="2" t="inlineStr">
        <is>
          <t>Uzbekistan Super League</t>
        </is>
      </c>
      <c r="D132" s="2" t="inlineStr">
        <is>
          <t>Uzbekistan</t>
        </is>
      </c>
      <c r="E132" s="2" t="n">
        <v>2</v>
      </c>
      <c r="F132" s="2" t="inlineStr">
        <is>
          <t>Alta</t>
        </is>
      </c>
      <c r="G132" s="2" t="n">
        <v>13</v>
      </c>
      <c r="H132" s="2" t="n">
        <v>2026</v>
      </c>
      <c r="I132" s="2" t="inlineStr">
        <is>
          <t>confirmado_por_zerozero_screenshot_v5</t>
        </is>
      </c>
      <c r="J132" s="2" t="inlineStr">
        <is>
          <t>ZeroZero screenshot enviado pelo utilizador - Uzbekistan Super League 2026</t>
        </is>
      </c>
      <c r="K132" s="2" t="inlineStr">
        <is>
          <t>Validado com screenshot ZeroZero enviado nesta passagem. Clube normalizado: Dynamo Samarqand -&gt; dynamo samarqand.</t>
        </is>
      </c>
    </row>
    <row r="133">
      <c r="A133" s="1" t="n">
        <v>132</v>
      </c>
      <c r="B133" s="2" t="inlineStr">
        <is>
          <t>Eintracht Frankfurt</t>
        </is>
      </c>
      <c r="C133" s="2" t="inlineStr">
        <is>
          <t>Bundesliga</t>
        </is>
      </c>
      <c r="D133" s="2" t="inlineStr">
        <is>
          <t>Germany</t>
        </is>
      </c>
      <c r="E133" s="2" t="n">
        <v>8</v>
      </c>
      <c r="F133" s="2" t="inlineStr">
        <is>
          <t>Alta</t>
        </is>
      </c>
      <c r="G133" s="2" t="n">
        <v>8</v>
      </c>
      <c r="H133" s="2" t="inlineStr">
        <is>
          <t>2025/26</t>
        </is>
      </c>
      <c r="I133" s="2" t="inlineStr">
        <is>
          <t>confirmado_por_zerozero_screenshot</t>
        </is>
      </c>
      <c r="J133" s="2" t="inlineStr">
        <is>
          <t>ZeroZero screenshot enviado pelo utilizador - Bundesliga 2025/26</t>
        </is>
      </c>
      <c r="K133" s="2" t="inlineStr">
        <is>
          <t>Validado com a classificação visível no screenshot enviado. Clube normalizado: Eintracht Frankfurt -&gt; eintracht frankfurt.</t>
        </is>
      </c>
    </row>
    <row r="134">
      <c r="A134" s="1" t="n">
        <v>133</v>
      </c>
      <c r="B134" s="2" t="inlineStr">
        <is>
          <t>El Paso Locomotive</t>
        </is>
      </c>
      <c r="C134" s="2" t="inlineStr">
        <is>
          <t>USL Championship</t>
        </is>
      </c>
      <c r="D134" s="2" t="inlineStr">
        <is>
          <t>United States</t>
        </is>
      </c>
      <c r="E134" s="2" t="n">
        <v>1</v>
      </c>
      <c r="F134" s="2" t="inlineStr">
        <is>
          <t>Alta</t>
        </is>
      </c>
      <c r="G134" s="2" t="n">
        <v>6</v>
      </c>
      <c r="H134" s="2" t="n">
        <v>2026</v>
      </c>
      <c r="I134" s="2" t="inlineStr">
        <is>
          <t>confirmado_por_zerozero_screenshot_v9</t>
        </is>
      </c>
      <c r="J134" s="2" t="inlineStr">
        <is>
          <t>ZeroZero screenshot enviado pelo utilizador - USL Championship 2026 Grupo Este/Oeste</t>
        </is>
      </c>
      <c r="K134" s="2" t="inlineStr">
        <is>
          <t>Validado com screenshot ZeroZero enviado nesta passagem. Clube normalizado: El Paso Locomotive -&gt; el paso locomotive.</t>
        </is>
      </c>
    </row>
    <row r="135">
      <c r="A135" s="1" t="n">
        <v>134</v>
      </c>
      <c r="B135" s="2" t="inlineStr">
        <is>
          <t>El-Gouna</t>
        </is>
      </c>
      <c r="C135" s="2" t="inlineStr">
        <is>
          <t>Egyptian Premier League</t>
        </is>
      </c>
      <c r="D135" s="2" t="inlineStr">
        <is>
          <t>Egypt</t>
        </is>
      </c>
      <c r="E135" s="2" t="n">
        <v>1</v>
      </c>
      <c r="F135" s="2" t="inlineStr">
        <is>
          <t>Alta</t>
        </is>
      </c>
      <c r="G135" s="2" t="n">
        <v>10</v>
      </c>
      <c r="H135" s="2" t="inlineStr">
        <is>
          <t>2025/26</t>
        </is>
      </c>
      <c r="I135" s="2" t="inlineStr">
        <is>
          <t>confirmado_por_zerozero_screenshot_v6</t>
        </is>
      </c>
      <c r="J135" s="2" t="inlineStr">
        <is>
          <t>ZeroZero screenshot enviado pelo utilizador - Egyptian Premier League 2025/26</t>
        </is>
      </c>
      <c r="K135" s="2" t="inlineStr">
        <is>
          <t>Validado com screenshot ZeroZero enviado nesta passagem. Clube normalizado: El-Gouna -&gt; el gouna.</t>
        </is>
      </c>
    </row>
    <row r="136">
      <c r="A136" s="1" t="n">
        <v>135</v>
      </c>
      <c r="B136" s="2" t="inlineStr">
        <is>
          <t>Elche</t>
        </is>
      </c>
      <c r="C136" s="2" t="inlineStr">
        <is>
          <t>LaLiga</t>
        </is>
      </c>
      <c r="D136" s="2" t="inlineStr">
        <is>
          <t>Spain</t>
        </is>
      </c>
      <c r="E136" s="2" t="n">
        <v>1</v>
      </c>
      <c r="F136" s="2" t="inlineStr">
        <is>
          <t>Alta</t>
        </is>
      </c>
      <c r="G136" s="2" t="n">
        <v>15</v>
      </c>
      <c r="H136" s="2" t="inlineStr">
        <is>
          <t>2025/26</t>
        </is>
      </c>
      <c r="I136" s="2" t="inlineStr">
        <is>
          <t>confirmado_por_zerozero_screenshot</t>
        </is>
      </c>
      <c r="J136" s="2" t="inlineStr">
        <is>
          <t>ZeroZero screenshot enviado pelo utilizador - LaLiga 2025/26</t>
        </is>
      </c>
      <c r="K136" s="2" t="inlineStr">
        <is>
          <t>Validado com a classificação visível no screenshot enviado. Clube normalizado: Elche -&gt; elche.</t>
        </is>
      </c>
    </row>
    <row r="137">
      <c r="A137" s="1" t="n">
        <v>136</v>
      </c>
      <c r="B137" s="2" t="inlineStr">
        <is>
          <t>Erbil</t>
        </is>
      </c>
      <c r="C137" s="2" t="inlineStr">
        <is>
          <t>Iraq Stars League</t>
        </is>
      </c>
      <c r="D137" s="2" t="inlineStr">
        <is>
          <t>Iraq</t>
        </is>
      </c>
      <c r="E137" s="2" t="n">
        <v>1</v>
      </c>
      <c r="F137" s="2" t="inlineStr">
        <is>
          <t>Alta</t>
        </is>
      </c>
      <c r="G137" s="2" t="n">
        <v>2</v>
      </c>
      <c r="H137" s="2" t="inlineStr">
        <is>
          <t>2025/26</t>
        </is>
      </c>
      <c r="I137" s="2" t="inlineStr">
        <is>
          <t>confirmado_por_zerozero_screenshot_v5</t>
        </is>
      </c>
      <c r="J137" s="2" t="inlineStr">
        <is>
          <t>ZeroZero screenshot enviado pelo utilizador - Iraq Premier League 2025/26</t>
        </is>
      </c>
      <c r="K137" s="2" t="inlineStr">
        <is>
          <t>Validado com screenshot ZeroZero enviado nesta passagem. Clube normalizado: Erbil -&gt; erbil.</t>
        </is>
      </c>
    </row>
    <row r="138">
      <c r="A138" s="1" t="n">
        <v>137</v>
      </c>
      <c r="B138" s="2" t="inlineStr">
        <is>
          <t>Espanyol</t>
        </is>
      </c>
      <c r="C138" s="2" t="inlineStr">
        <is>
          <t>LaLiga</t>
        </is>
      </c>
      <c r="D138" s="2" t="inlineStr">
        <is>
          <t>Spain</t>
        </is>
      </c>
      <c r="E138" s="2" t="n">
        <v>1</v>
      </c>
      <c r="F138" s="2" t="inlineStr">
        <is>
          <t>Alta</t>
        </is>
      </c>
      <c r="G138" s="2" t="n">
        <v>11</v>
      </c>
      <c r="H138" s="2" t="inlineStr">
        <is>
          <t>2025/26</t>
        </is>
      </c>
      <c r="I138" s="2" t="inlineStr">
        <is>
          <t>confirmado_por_zerozero_screenshot</t>
        </is>
      </c>
      <c r="J138" s="2" t="inlineStr">
        <is>
          <t>ZeroZero screenshot enviado pelo utilizador - LaLiga 2025/26</t>
        </is>
      </c>
      <c r="K138" s="2" t="inlineStr">
        <is>
          <t>Validado com a classificação visível no screenshot enviado. Clube normalizado: Espanyol -&gt; espanyol.</t>
        </is>
      </c>
    </row>
    <row r="139">
      <c r="A139" s="1" t="n">
        <v>138</v>
      </c>
      <c r="B139" s="2" t="inlineStr">
        <is>
          <t>Espérance de Tunis</t>
        </is>
      </c>
      <c r="C139" s="2" t="inlineStr">
        <is>
          <t>Tunisian Ligue Professionnelle 1</t>
        </is>
      </c>
      <c r="D139" s="2" t="inlineStr">
        <is>
          <t>Tunisia</t>
        </is>
      </c>
      <c r="E139" s="2" t="n">
        <v>2</v>
      </c>
      <c r="F139" s="2" t="inlineStr">
        <is>
          <t>Alta</t>
        </is>
      </c>
      <c r="G139" s="2" t="n">
        <v>2</v>
      </c>
      <c r="H139" s="2" t="inlineStr">
        <is>
          <t>2025/26</t>
        </is>
      </c>
      <c r="I139" s="2" t="inlineStr">
        <is>
          <t>confirmado_por_zerozero_screenshot_v7</t>
        </is>
      </c>
      <c r="J139" s="2" t="inlineStr">
        <is>
          <t>ZeroZero screenshot enviado pelo utilizador - Tunisian Ligue 1 2025/26</t>
        </is>
      </c>
      <c r="K139" s="2" t="inlineStr">
        <is>
          <t>Validado com screenshot ZeroZero enviado nesta passagem. Clube normalizado: Espérance de Tunis -&gt; esperance de tunis.</t>
        </is>
      </c>
    </row>
    <row r="140">
      <c r="A140" s="1" t="n">
        <v>139</v>
      </c>
      <c r="B140" s="2" t="inlineStr">
        <is>
          <t>Est. Amadora</t>
        </is>
      </c>
      <c r="C140" s="2" t="inlineStr">
        <is>
          <t>Primeira Liga</t>
        </is>
      </c>
      <c r="D140" s="2" t="inlineStr">
        <is>
          <t>Portugal</t>
        </is>
      </c>
      <c r="E140" s="2" t="n">
        <v>1</v>
      </c>
      <c r="F140" s="2" t="inlineStr">
        <is>
          <t>Alta</t>
        </is>
      </c>
      <c r="G140" s="2" t="n">
        <v>15</v>
      </c>
      <c r="H140" s="2" t="inlineStr">
        <is>
          <t>2025/26</t>
        </is>
      </c>
      <c r="I140" s="2" t="inlineStr">
        <is>
          <t>confirmado_por_zerozero_screenshot</t>
        </is>
      </c>
      <c r="J140" s="2" t="inlineStr">
        <is>
          <t>ZeroZero screenshot enviado pelo utilizador - Liga Portugal Betclic 2025/26</t>
        </is>
      </c>
      <c r="K140" s="2" t="inlineStr">
        <is>
          <t>Validado com a classificação visível no screenshot enviado. Clube normalizado: Est. Amadora -&gt; est amadora.</t>
        </is>
      </c>
    </row>
    <row r="141">
      <c r="A141" s="1" t="n">
        <v>140</v>
      </c>
      <c r="B141" s="2" t="inlineStr">
        <is>
          <t>Esteghlal Tehran</t>
        </is>
      </c>
      <c r="C141" s="2" t="inlineStr">
        <is>
          <t>Persian Gulf Pro League</t>
        </is>
      </c>
      <c r="D141" s="2" t="inlineStr">
        <is>
          <t>Iran</t>
        </is>
      </c>
      <c r="E141" s="2" t="n">
        <v>6</v>
      </c>
      <c r="F141" s="2" t="inlineStr">
        <is>
          <t>Alta</t>
        </is>
      </c>
      <c r="G141" s="2" t="n">
        <v>3</v>
      </c>
      <c r="H141" s="2" t="inlineStr">
        <is>
          <t>2025/26</t>
        </is>
      </c>
      <c r="I141" s="2" t="inlineStr">
        <is>
          <t>confirmado_por_zerozero_screenshot_v6</t>
        </is>
      </c>
      <c r="J141" s="2" t="inlineStr">
        <is>
          <t>ZeroZero screenshot enviado pelo utilizador - Persian Gulf Pro League 2025/26</t>
        </is>
      </c>
      <c r="K141" s="2" t="inlineStr">
        <is>
          <t>Validado com screenshot ZeroZero enviado nesta passagem. Clube normalizado: Esteghlal Tehran -&gt; esteghlal tehran.</t>
        </is>
      </c>
    </row>
    <row r="142">
      <c r="A142" s="1" t="n">
        <v>141</v>
      </c>
      <c r="B142" s="2" t="inlineStr">
        <is>
          <t>Estudiantes</t>
        </is>
      </c>
      <c r="C142" s="2" t="inlineStr">
        <is>
          <t>Argentine Primera División</t>
        </is>
      </c>
      <c r="D142" s="2" t="inlineStr">
        <is>
          <t>Argentina</t>
        </is>
      </c>
      <c r="E142" s="2" t="n">
        <v>2</v>
      </c>
      <c r="F142" s="2" t="inlineStr">
        <is>
          <t>Alta</t>
        </is>
      </c>
      <c r="G142" s="2" t="n">
        <v>1</v>
      </c>
      <c r="H142" s="2" t="n">
        <v>2026</v>
      </c>
      <c r="I142" s="2" t="inlineStr">
        <is>
          <t>confirmado_por_zerozero_screenshot_v5</t>
        </is>
      </c>
      <c r="J142" s="2" t="inlineStr">
        <is>
          <t>ZeroZero screenshot enviado pelo utilizador - Torneo Apertura 2026, 1.ª fase/grupos</t>
        </is>
      </c>
      <c r="K142" s="2" t="inlineStr">
        <is>
          <t>Validado com screenshot ZeroZero enviado nesta passagem. Clube normalizado: Estudiantes -&gt; estudiantes.</t>
        </is>
      </c>
    </row>
    <row r="143">
      <c r="A143" s="1" t="n">
        <v>142</v>
      </c>
      <c r="B143" s="2" t="inlineStr">
        <is>
          <t>Everton</t>
        </is>
      </c>
      <c r="C143" s="2" t="inlineStr">
        <is>
          <t>Premier League</t>
        </is>
      </c>
      <c r="D143" s="2" t="inlineStr">
        <is>
          <t>England</t>
        </is>
      </c>
      <c r="E143" s="2" t="n">
        <v>5</v>
      </c>
      <c r="F143" s="2" t="inlineStr">
        <is>
          <t>Alta</t>
        </is>
      </c>
      <c r="G143" s="2" t="n">
        <v>13</v>
      </c>
      <c r="H143" s="2" t="inlineStr">
        <is>
          <t>2025/26</t>
        </is>
      </c>
      <c r="I143" s="2" t="inlineStr">
        <is>
          <t>confirmado_por_zerozero_screenshot</t>
        </is>
      </c>
      <c r="J143" s="2" t="inlineStr">
        <is>
          <t>ZeroZero screenshot enviado pelo utilizador - Premier League 2025/26</t>
        </is>
      </c>
      <c r="K143" s="2" t="inlineStr">
        <is>
          <t>Validado com a classificação visível no screenshot enviado. Clube normalizado: Everton -&gt; everton.</t>
        </is>
      </c>
    </row>
    <row r="144">
      <c r="A144" s="1" t="n">
        <v>143</v>
      </c>
      <c r="B144" s="2" t="inlineStr">
        <is>
          <t>FAR Rabat</t>
        </is>
      </c>
      <c r="C144" s="2" t="inlineStr">
        <is>
          <t>Botola Pro</t>
        </is>
      </c>
      <c r="D144" s="2" t="inlineStr">
        <is>
          <t>Morocco</t>
        </is>
      </c>
      <c r="E144" s="2" t="n">
        <v>1</v>
      </c>
      <c r="F144" s="2" t="inlineStr">
        <is>
          <t>Alta</t>
        </is>
      </c>
      <c r="G144" s="2" t="n">
        <v>1</v>
      </c>
      <c r="H144" s="2" t="inlineStr">
        <is>
          <t>2025/26</t>
        </is>
      </c>
      <c r="I144" s="2" t="inlineStr">
        <is>
          <t>confirmado_por_zerozero_screenshot_v9</t>
        </is>
      </c>
      <c r="J144" s="2" t="inlineStr">
        <is>
          <t>ZeroZero screenshot enviado pelo utilizador - Botola Pro 2025/26</t>
        </is>
      </c>
      <c r="K144" s="2" t="inlineStr">
        <is>
          <t>Validado com screenshot ZeroZero enviado nesta passagem. Clube normalizado: FAR Rabat -&gt; far rabat.</t>
        </is>
      </c>
    </row>
    <row r="145">
      <c r="A145" s="1" t="n">
        <v>144</v>
      </c>
      <c r="B145" s="2" t="inlineStr">
        <is>
          <t>FC Augsburg</t>
        </is>
      </c>
      <c r="C145" s="2" t="inlineStr">
        <is>
          <t>Bundesliga</t>
        </is>
      </c>
      <c r="D145" s="2" t="inlineStr">
        <is>
          <t>Germany</t>
        </is>
      </c>
      <c r="E145" s="2" t="n">
        <v>4</v>
      </c>
      <c r="F145" s="2" t="inlineStr">
        <is>
          <t>Alta</t>
        </is>
      </c>
      <c r="G145" s="2" t="n">
        <v>9</v>
      </c>
      <c r="H145" s="2" t="inlineStr">
        <is>
          <t>2025/26</t>
        </is>
      </c>
      <c r="I145" s="2" t="inlineStr">
        <is>
          <t>confirmado_por_zerozero_screenshot</t>
        </is>
      </c>
      <c r="J145" s="2" t="inlineStr">
        <is>
          <t>ZeroZero screenshot enviado pelo utilizador - Bundesliga 2025/26</t>
        </is>
      </c>
      <c r="K145" s="2" t="inlineStr">
        <is>
          <t>Validado com a classificação visível no screenshot enviado. Clube normalizado: FC Augsburg -&gt; fc augsburg.</t>
        </is>
      </c>
    </row>
    <row r="146">
      <c r="A146" s="1" t="n">
        <v>145</v>
      </c>
      <c r="B146" s="2" t="inlineStr">
        <is>
          <t>FC Cincinnati</t>
        </is>
      </c>
      <c r="C146" s="2" t="inlineStr">
        <is>
          <t>Major League Soccer</t>
        </is>
      </c>
      <c r="D146" s="2" t="inlineStr">
        <is>
          <t>United States/Canada</t>
        </is>
      </c>
      <c r="E146" s="2" t="n">
        <v>1</v>
      </c>
      <c r="F146" s="2" t="inlineStr">
        <is>
          <t>Alta</t>
        </is>
      </c>
      <c r="G146" s="2" t="n">
        <v>7</v>
      </c>
      <c r="H146" s="2" t="n">
        <v>2026</v>
      </c>
      <c r="I146" s="2" t="inlineStr">
        <is>
          <t>confirmado_por_zerozero_screenshot</t>
        </is>
      </c>
      <c r="J146" s="2" t="inlineStr">
        <is>
          <t>ZeroZero screenshot enviado pelo utilizador - MLS 2026, posição na conferência</t>
        </is>
      </c>
      <c r="K146" s="2" t="inlineStr">
        <is>
          <t>Validado com a classificação visível no screenshot enviado. Clube normalizado: FC Cincinnati -&gt; fc cincinnati.</t>
        </is>
      </c>
    </row>
    <row r="147" ht="16" customHeight="1" s="25">
      <c r="A147" s="1" t="n">
        <v>146</v>
      </c>
      <c r="B147" s="2" t="inlineStr">
        <is>
          <t>FC Cosmos Koblenz</t>
        </is>
      </c>
      <c r="C147" s="2" t="inlineStr">
        <is>
          <t>Oberliga Rheinland-Pfalz/Saar</t>
        </is>
      </c>
      <c r="D147" s="2" t="inlineStr">
        <is>
          <t>Germany</t>
        </is>
      </c>
      <c r="E147" s="2" t="n">
        <v>1</v>
      </c>
      <c r="F147" s="2" t="inlineStr">
        <is>
          <t>Média</t>
        </is>
      </c>
      <c r="G147" s="3" t="n">
        <v>8</v>
      </c>
      <c r="H147" s="2" t="inlineStr">
        <is>
          <t>2025/26</t>
        </is>
      </c>
      <c r="I147" s="2" t="inlineStr">
        <is>
          <t>por_validar_sem_screenshot_da_liga</t>
        </is>
      </c>
      <c r="J147" s="3" t="n"/>
      <c r="K147" s="2" t="inlineStr">
        <is>
          <t>Não preenchido: falta screenshot/tabela da liga Oberliga Rheinland-Pfalz/Saar na época 2025/26, ou clube não aparece na tabela enviada.</t>
        </is>
      </c>
    </row>
    <row r="148">
      <c r="A148" s="1" t="n">
        <v>147</v>
      </c>
      <c r="B148" s="2" t="inlineStr">
        <is>
          <t>FC Dallas</t>
        </is>
      </c>
      <c r="C148" s="2" t="inlineStr">
        <is>
          <t>Major League Soccer</t>
        </is>
      </c>
      <c r="D148" s="2" t="inlineStr">
        <is>
          <t>United States/Canada</t>
        </is>
      </c>
      <c r="E148" s="2" t="n">
        <v>3</v>
      </c>
      <c r="F148" s="2" t="inlineStr">
        <is>
          <t>Alta</t>
        </is>
      </c>
      <c r="G148" s="2" t="n">
        <v>4</v>
      </c>
      <c r="H148" s="2" t="n">
        <v>2026</v>
      </c>
      <c r="I148" s="2" t="inlineStr">
        <is>
          <t>confirmado_por_zerozero_screenshot</t>
        </is>
      </c>
      <c r="J148" s="2" t="inlineStr">
        <is>
          <t>ZeroZero screenshot enviado pelo utilizador - MLS 2026, posição na conferência</t>
        </is>
      </c>
      <c r="K148" s="2" t="inlineStr">
        <is>
          <t>Validado com a classificação visível no screenshot enviado. Clube normalizado: FC Dallas -&gt; fc dallas.</t>
        </is>
      </c>
    </row>
    <row r="149">
      <c r="A149" s="1" t="n">
        <v>148</v>
      </c>
      <c r="B149" s="2" t="inlineStr">
        <is>
          <t>FC Hradec Králové</t>
        </is>
      </c>
      <c r="C149" s="2" t="inlineStr">
        <is>
          <t>Czech First League</t>
        </is>
      </c>
      <c r="D149" s="2" t="inlineStr">
        <is>
          <t>Czech Republic</t>
        </is>
      </c>
      <c r="E149" s="2" t="n">
        <v>1</v>
      </c>
      <c r="F149" s="2" t="inlineStr">
        <is>
          <t>Alta</t>
        </is>
      </c>
      <c r="G149" s="2" t="n">
        <v>4</v>
      </c>
      <c r="H149" s="2" t="inlineStr">
        <is>
          <t>2025/26</t>
        </is>
      </c>
      <c r="I149" s="2" t="inlineStr">
        <is>
          <t>confirmado_por_zerozero_screenshot_v7</t>
        </is>
      </c>
      <c r="J149" s="2" t="inlineStr">
        <is>
          <t>ZeroZero screenshot enviado pelo utilizador - Chance Liga Fase Campeão 2025/26</t>
        </is>
      </c>
      <c r="K149" s="2" t="inlineStr">
        <is>
          <t>Validado com screenshot ZeroZero enviado nesta passagem. Clube normalizado: FC Hradec Králové -&gt; fc hradec kralove.</t>
        </is>
      </c>
    </row>
    <row r="150">
      <c r="A150" s="1" t="n">
        <v>149</v>
      </c>
      <c r="B150" s="2" t="inlineStr">
        <is>
          <t>FC Kobenhavn</t>
        </is>
      </c>
      <c r="C150" s="2" t="inlineStr">
        <is>
          <t>Danish Superliga</t>
        </is>
      </c>
      <c r="D150" s="2" t="inlineStr">
        <is>
          <t>Denmark</t>
        </is>
      </c>
      <c r="E150" s="2" t="n">
        <v>3</v>
      </c>
      <c r="F150" s="2" t="inlineStr">
        <is>
          <t>Alta</t>
        </is>
      </c>
      <c r="G150" s="2" t="n">
        <v>7</v>
      </c>
      <c r="H150" s="2" t="inlineStr">
        <is>
          <t>2025/26</t>
        </is>
      </c>
      <c r="I150" s="2" t="inlineStr">
        <is>
          <t>confirmado_por_zerozero_screenshot</t>
        </is>
      </c>
      <c r="J150" s="2" t="inlineStr">
        <is>
          <t>ZeroZero screenshot enviado pelo utilizador - Superligaen fase regular 2025/26</t>
        </is>
      </c>
      <c r="K150" s="2" t="inlineStr">
        <is>
          <t>Validado com a classificação visível no screenshot enviado. Clube normalizado: FC Kobenhavn -&gt; fc kobenhavn.</t>
        </is>
      </c>
    </row>
    <row r="151">
      <c r="A151" s="1" t="n">
        <v>150</v>
      </c>
      <c r="B151" s="2" t="inlineStr">
        <is>
          <t>FC Lorient</t>
        </is>
      </c>
      <c r="C151" s="2" t="inlineStr">
        <is>
          <t>Ligue 1</t>
        </is>
      </c>
      <c r="D151" s="2" t="inlineStr">
        <is>
          <t>France</t>
        </is>
      </c>
      <c r="E151" s="2" t="n">
        <v>3</v>
      </c>
      <c r="F151" s="2" t="inlineStr">
        <is>
          <t>Alta</t>
        </is>
      </c>
      <c r="G151" s="2" t="n">
        <v>9</v>
      </c>
      <c r="H151" s="2" t="inlineStr">
        <is>
          <t>2025/26</t>
        </is>
      </c>
      <c r="I151" s="2" t="inlineStr">
        <is>
          <t>confirmado_por_zerozero_screenshot</t>
        </is>
      </c>
      <c r="J151" s="2" t="inlineStr">
        <is>
          <t>ZeroZero screenshot enviado pelo utilizador - Ligue 1 2025/26</t>
        </is>
      </c>
      <c r="K151" s="2" t="inlineStr">
        <is>
          <t>Validado com a classificação visível no screenshot enviado. Clube normalizado: FC Lorient -&gt; fc lorient.</t>
        </is>
      </c>
    </row>
    <row r="152">
      <c r="A152" s="1" t="n">
        <v>151</v>
      </c>
      <c r="B152" s="2" t="inlineStr">
        <is>
          <t>FC Lugano</t>
        </is>
      </c>
      <c r="C152" s="2" t="inlineStr">
        <is>
          <t>Swiss Super League</t>
        </is>
      </c>
      <c r="D152" s="2" t="inlineStr">
        <is>
          <t>Switzerland</t>
        </is>
      </c>
      <c r="E152" s="2" t="n">
        <v>2</v>
      </c>
      <c r="F152" s="2" t="inlineStr">
        <is>
          <t>Alta</t>
        </is>
      </c>
      <c r="G152" s="2" t="n">
        <v>3</v>
      </c>
      <c r="H152" s="2" t="inlineStr">
        <is>
          <t>2025/26</t>
        </is>
      </c>
      <c r="I152" s="2" t="inlineStr">
        <is>
          <t>confirmado_por_zerozero_screenshot_v7</t>
        </is>
      </c>
      <c r="J152" s="2" t="inlineStr">
        <is>
          <t>ZeroZero screenshot enviado pelo utilizador - Brack Super League 2025/26</t>
        </is>
      </c>
      <c r="K152" s="2" t="inlineStr">
        <is>
          <t>Validado com screenshot ZeroZero enviado nesta passagem. Clube normalizado: FC Lugano -&gt; fc lugano.</t>
        </is>
      </c>
    </row>
    <row r="153" ht="16" customHeight="1" s="25">
      <c r="A153" s="1" t="n">
        <v>152</v>
      </c>
      <c r="B153" s="2" t="inlineStr">
        <is>
          <t>FC Noah</t>
        </is>
      </c>
      <c r="C153" s="2" t="inlineStr">
        <is>
          <t>Armenian Premier League</t>
        </is>
      </c>
      <c r="D153" s="2" t="inlineStr">
        <is>
          <t>Armenia</t>
        </is>
      </c>
      <c r="E153" s="2" t="n">
        <v>1</v>
      </c>
      <c r="F153" s="2" t="inlineStr">
        <is>
          <t>Alta</t>
        </is>
      </c>
      <c r="G153" s="3" t="n">
        <v>2</v>
      </c>
      <c r="H153" s="2" t="inlineStr">
        <is>
          <t>2025/26</t>
        </is>
      </c>
      <c r="I153" s="2" t="inlineStr">
        <is>
          <t>por_validar_sem_screenshot_da_liga</t>
        </is>
      </c>
      <c r="J153" s="3" t="n"/>
      <c r="K153" s="2" t="inlineStr">
        <is>
          <t>Não preenchido: falta screenshot/tabela da liga Armenian Premier League na época 2025/26, ou clube não aparece na tabela enviada.</t>
        </is>
      </c>
    </row>
    <row r="154">
      <c r="A154" s="1" t="n">
        <v>153</v>
      </c>
      <c r="B154" s="2" t="inlineStr">
        <is>
          <t>FC Porto</t>
        </is>
      </c>
      <c r="C154" s="2" t="inlineStr">
        <is>
          <t>Primeira Liga</t>
        </is>
      </c>
      <c r="D154" s="2" t="inlineStr">
        <is>
          <t>Portugal</t>
        </is>
      </c>
      <c r="E154" s="2" t="n">
        <v>4</v>
      </c>
      <c r="F154" s="2" t="inlineStr">
        <is>
          <t>Alta</t>
        </is>
      </c>
      <c r="G154" s="2" t="n">
        <v>1</v>
      </c>
      <c r="H154" s="2" t="inlineStr">
        <is>
          <t>2025/26</t>
        </is>
      </c>
      <c r="I154" s="2" t="inlineStr">
        <is>
          <t>confirmado_por_zerozero_screenshot</t>
        </is>
      </c>
      <c r="J154" s="2" t="inlineStr">
        <is>
          <t>ZeroZero screenshot enviado pelo utilizador - Liga Portugal Betclic 2025/26</t>
        </is>
      </c>
      <c r="K154" s="2" t="inlineStr">
        <is>
          <t>Validado com a classificação visível no screenshot enviado. Clube normalizado: FC Porto -&gt; fc porto.</t>
        </is>
      </c>
    </row>
    <row r="155">
      <c r="A155" s="1" t="n">
        <v>154</v>
      </c>
      <c r="B155" s="2" t="inlineStr">
        <is>
          <t>FC St. Pauli</t>
        </is>
      </c>
      <c r="C155" s="2" t="inlineStr">
        <is>
          <t>Bundesliga</t>
        </is>
      </c>
      <c r="D155" s="2" t="inlineStr">
        <is>
          <t>Germany</t>
        </is>
      </c>
      <c r="E155" s="2" t="n">
        <v>4</v>
      </c>
      <c r="F155" s="2" t="inlineStr">
        <is>
          <t>Alta</t>
        </is>
      </c>
      <c r="G155" s="2" t="n">
        <v>18</v>
      </c>
      <c r="H155" s="2" t="inlineStr">
        <is>
          <t>2025/26</t>
        </is>
      </c>
      <c r="I155" s="2" t="inlineStr">
        <is>
          <t>confirmado_por_zerozero_screenshot</t>
        </is>
      </c>
      <c r="J155" s="2" t="inlineStr">
        <is>
          <t>ZeroZero screenshot enviado pelo utilizador - Bundesliga 2025/26</t>
        </is>
      </c>
      <c r="K155" s="2" t="inlineStr">
        <is>
          <t>Validado com a classificação visível no screenshot enviado. Clube normalizado: FC St. Pauli -&gt; fc st pauli.</t>
        </is>
      </c>
    </row>
    <row r="156">
      <c r="A156" s="1" t="n">
        <v>155</v>
      </c>
      <c r="B156" s="2" t="inlineStr">
        <is>
          <t>FC Tokyo</t>
        </is>
      </c>
      <c r="C156" s="2" t="inlineStr">
        <is>
          <t>J1 League</t>
        </is>
      </c>
      <c r="D156" s="2" t="inlineStr">
        <is>
          <t>Japan</t>
        </is>
      </c>
      <c r="E156" s="2" t="n">
        <v>2</v>
      </c>
      <c r="F156" s="2" t="inlineStr">
        <is>
          <t>Alta</t>
        </is>
      </c>
      <c r="G156" s="2" t="n">
        <v>11</v>
      </c>
      <c r="H156" s="2" t="n">
        <v>2026</v>
      </c>
      <c r="I156" s="2" t="inlineStr">
        <is>
          <t>confirmado_por_zerozero_screenshot_v6</t>
        </is>
      </c>
      <c r="J156" s="2" t="inlineStr">
        <is>
          <t>ZeroZero screenshot enviado pelo utilizador - J1 League 2026</t>
        </is>
      </c>
      <c r="K156" s="2" t="inlineStr">
        <is>
          <t>Validado com screenshot ZeroZero enviado nesta passagem. Clube normalizado: FC Tokyo -&gt; fc tokyo.</t>
        </is>
      </c>
    </row>
    <row r="157">
      <c r="A157" s="1" t="n">
        <v>156</v>
      </c>
      <c r="B157" s="2" t="inlineStr">
        <is>
          <t>FC Twente</t>
        </is>
      </c>
      <c r="C157" s="2" t="inlineStr">
        <is>
          <t>Eredivisie</t>
        </is>
      </c>
      <c r="D157" s="2" t="inlineStr">
        <is>
          <t>Netherlands</t>
        </is>
      </c>
      <c r="E157" s="2" t="n">
        <v>1</v>
      </c>
      <c r="F157" s="2" t="inlineStr">
        <is>
          <t>Alta</t>
        </is>
      </c>
      <c r="G157" s="2" t="n">
        <v>4</v>
      </c>
      <c r="H157" s="2" t="inlineStr">
        <is>
          <t>2025/26</t>
        </is>
      </c>
      <c r="I157" s="2" t="inlineStr">
        <is>
          <t>confirmado_por_zerozero_screenshot</t>
        </is>
      </c>
      <c r="J157" s="2" t="inlineStr">
        <is>
          <t>ZeroZero screenshot enviado pelo utilizador - Eredivisie 2025/26</t>
        </is>
      </c>
      <c r="K157" s="2" t="inlineStr">
        <is>
          <t>Validado com a classificação visível no screenshot enviado. Clube normalizado: FC Twente -&gt; fc twente.</t>
        </is>
      </c>
    </row>
    <row r="158">
      <c r="A158" s="1" t="n">
        <v>157</v>
      </c>
      <c r="B158" s="2" t="inlineStr">
        <is>
          <t>FC Utrecht</t>
        </is>
      </c>
      <c r="C158" s="2" t="inlineStr">
        <is>
          <t>Eredivisie</t>
        </is>
      </c>
      <c r="D158" s="2" t="inlineStr">
        <is>
          <t>Netherlands</t>
        </is>
      </c>
      <c r="E158" s="2" t="n">
        <v>1</v>
      </c>
      <c r="F158" s="2" t="inlineStr">
        <is>
          <t>Alta</t>
        </is>
      </c>
      <c r="G158" s="2" t="n">
        <v>6</v>
      </c>
      <c r="H158" s="2" t="inlineStr">
        <is>
          <t>2025/26</t>
        </is>
      </c>
      <c r="I158" s="2" t="inlineStr">
        <is>
          <t>confirmado_por_zerozero_screenshot</t>
        </is>
      </c>
      <c r="J158" s="2" t="inlineStr">
        <is>
          <t>ZeroZero screenshot enviado pelo utilizador - Eredivisie 2025/26</t>
        </is>
      </c>
      <c r="K158" s="2" t="inlineStr">
        <is>
          <t>Validado com a classificação visível no screenshot enviado. Clube normalizado: FC Utrecht -&gt; fc utrecht.</t>
        </is>
      </c>
    </row>
    <row r="159">
      <c r="A159" s="1" t="n">
        <v>158</v>
      </c>
      <c r="B159" s="2" t="inlineStr">
        <is>
          <t>FC Vizela</t>
        </is>
      </c>
      <c r="C159" s="2" t="inlineStr">
        <is>
          <t>Liga Portugal 2</t>
        </is>
      </c>
      <c r="D159" s="2" t="inlineStr">
        <is>
          <t>Portugal</t>
        </is>
      </c>
      <c r="E159" s="2" t="n">
        <v>2</v>
      </c>
      <c r="F159" s="2" t="inlineStr">
        <is>
          <t>Alta</t>
        </is>
      </c>
      <c r="G159" s="2" t="n">
        <v>4</v>
      </c>
      <c r="H159" s="2" t="inlineStr">
        <is>
          <t>2025/26</t>
        </is>
      </c>
      <c r="I159" s="2" t="inlineStr">
        <is>
          <t>confirmado_por_zerozero_screenshot_v8</t>
        </is>
      </c>
      <c r="J159" s="2" t="inlineStr">
        <is>
          <t>ZeroZero screenshot enviado pelo utilizador - Liga Portugal 2 Meu Super 2025/26</t>
        </is>
      </c>
      <c r="K159" s="2" t="inlineStr">
        <is>
          <t>Validado com screenshot ZeroZero enviado nesta passagem. Clube normalizado: FC Vizela -&gt; fc vizela.</t>
        </is>
      </c>
    </row>
    <row r="160">
      <c r="A160" s="1" t="n">
        <v>159</v>
      </c>
      <c r="B160" s="2" t="inlineStr">
        <is>
          <t>FC Volendam</t>
        </is>
      </c>
      <c r="C160" s="2" t="inlineStr">
        <is>
          <t>Eredivisie</t>
        </is>
      </c>
      <c r="D160" s="2" t="inlineStr">
        <is>
          <t>Netherlands</t>
        </is>
      </c>
      <c r="E160" s="2" t="n">
        <v>2</v>
      </c>
      <c r="F160" s="2" t="inlineStr">
        <is>
          <t>Alta</t>
        </is>
      </c>
      <c r="G160" s="2" t="n">
        <v>16</v>
      </c>
      <c r="H160" s="2" t="inlineStr">
        <is>
          <t>2025/26</t>
        </is>
      </c>
      <c r="I160" s="2" t="inlineStr">
        <is>
          <t>confirmado_por_zerozero_screenshot</t>
        </is>
      </c>
      <c r="J160" s="2" t="inlineStr">
        <is>
          <t>ZeroZero screenshot enviado pelo utilizador - Eredivisie 2025/26</t>
        </is>
      </c>
      <c r="K160" s="2" t="inlineStr">
        <is>
          <t>Validado com a classificação visível no screenshot enviado. Clube normalizado: FC Volendam -&gt; fc volendam.</t>
        </is>
      </c>
    </row>
    <row r="161">
      <c r="A161" s="1" t="n">
        <v>160</v>
      </c>
      <c r="B161" s="2" t="inlineStr">
        <is>
          <t>FC Zurich</t>
        </is>
      </c>
      <c r="C161" s="2" t="inlineStr">
        <is>
          <t>Swiss Super League</t>
        </is>
      </c>
      <c r="D161" s="2" t="inlineStr">
        <is>
          <t>Switzerland</t>
        </is>
      </c>
      <c r="E161" s="2" t="n">
        <v>1</v>
      </c>
      <c r="F161" s="2" t="inlineStr">
        <is>
          <t>Alta</t>
        </is>
      </c>
      <c r="G161" s="2" t="n">
        <v>10</v>
      </c>
      <c r="H161" s="2" t="inlineStr">
        <is>
          <t>2025/26</t>
        </is>
      </c>
      <c r="I161" s="2" t="inlineStr">
        <is>
          <t>confirmado_por_zerozero_screenshot_v7</t>
        </is>
      </c>
      <c r="J161" s="2" t="inlineStr">
        <is>
          <t>ZeroZero screenshot enviado pelo utilizador - Brack Super League 2025/26</t>
        </is>
      </c>
      <c r="K161" s="2" t="inlineStr">
        <is>
          <t>Validado com screenshot ZeroZero enviado nesta passagem. Clube normalizado: FC Zurich -&gt; fc zurich.</t>
        </is>
      </c>
    </row>
    <row r="162">
      <c r="A162" s="1" t="n">
        <v>161</v>
      </c>
      <c r="B162" s="2" t="inlineStr">
        <is>
          <t>FCSB</t>
        </is>
      </c>
      <c r="C162" s="2" t="inlineStr">
        <is>
          <t>Liga I</t>
        </is>
      </c>
      <c r="D162" s="2" t="inlineStr">
        <is>
          <t>Romania</t>
        </is>
      </c>
      <c r="E162" s="2" t="n">
        <v>1</v>
      </c>
      <c r="F162" s="2" t="inlineStr">
        <is>
          <t>Alta</t>
        </is>
      </c>
      <c r="G162" s="2" t="n">
        <v>7</v>
      </c>
      <c r="H162" s="2" t="inlineStr">
        <is>
          <t>2025/26</t>
        </is>
      </c>
      <c r="I162" s="2" t="inlineStr">
        <is>
          <t>confirmado_por_zerozero_screenshot_v9</t>
        </is>
      </c>
      <c r="J162" s="2" t="inlineStr">
        <is>
          <t>ZeroZero screenshot enviado pelo utilizador - SuperLiga României Fase Regular 2025/26</t>
        </is>
      </c>
      <c r="K162" s="2" t="inlineStr">
        <is>
          <t>Validado com screenshot ZeroZero enviado nesta passagem. Clube normalizado: FCSB -&gt; fcsb.</t>
        </is>
      </c>
    </row>
    <row r="163">
      <c r="A163" s="1" t="n">
        <v>162</v>
      </c>
      <c r="B163" s="2" t="inlineStr">
        <is>
          <t>FCV Dender</t>
        </is>
      </c>
      <c r="C163" s="2" t="inlineStr">
        <is>
          <t>Belgian Pro League</t>
        </is>
      </c>
      <c r="D163" s="2" t="inlineStr">
        <is>
          <t>Belgium</t>
        </is>
      </c>
      <c r="E163" s="2" t="n">
        <v>2</v>
      </c>
      <c r="F163" s="2" t="inlineStr">
        <is>
          <t>Alta</t>
        </is>
      </c>
      <c r="G163" s="2" t="n">
        <v>16</v>
      </c>
      <c r="H163" s="2" t="inlineStr">
        <is>
          <t>2025/26</t>
        </is>
      </c>
      <c r="I163" s="2" t="inlineStr">
        <is>
          <t>confirmado_por_zerozero_screenshot</t>
        </is>
      </c>
      <c r="J163" s="2" t="inlineStr">
        <is>
          <t>ZeroZero screenshot enviado pelo utilizador - Jupiler Pro League fase regular 2025/26</t>
        </is>
      </c>
      <c r="K163" s="2" t="inlineStr">
        <is>
          <t>Validado com a classificação visível no screenshot enviado. Clube normalizado: FCV Dender -&gt; fcv dender.</t>
        </is>
      </c>
    </row>
    <row r="164">
      <c r="A164" s="1" t="n">
        <v>163</v>
      </c>
      <c r="B164" s="2" t="inlineStr">
        <is>
          <t>FK Buxoro</t>
        </is>
      </c>
      <c r="C164" s="2" t="inlineStr">
        <is>
          <t>Uzbekistan Super League</t>
        </is>
      </c>
      <c r="D164" s="2" t="inlineStr">
        <is>
          <t>Uzbekistan</t>
        </is>
      </c>
      <c r="E164" s="2" t="n">
        <v>1</v>
      </c>
      <c r="F164" s="2" t="inlineStr">
        <is>
          <t>Alta</t>
        </is>
      </c>
      <c r="G164" s="2" t="n">
        <v>3</v>
      </c>
      <c r="H164" s="2" t="n">
        <v>2026</v>
      </c>
      <c r="I164" s="2" t="inlineStr">
        <is>
          <t>confirmado_por_zerozero_screenshot_v5</t>
        </is>
      </c>
      <c r="J164" s="2" t="inlineStr">
        <is>
          <t>ZeroZero screenshot enviado pelo utilizador - Uzbekistan Super League 2026</t>
        </is>
      </c>
      <c r="K164" s="2" t="inlineStr">
        <is>
          <t>Validado com screenshot ZeroZero enviado nesta passagem. Clube normalizado: FK Buxoro -&gt; fk buxoro.</t>
        </is>
      </c>
    </row>
    <row r="165">
      <c r="A165" s="1" t="n">
        <v>164</v>
      </c>
      <c r="B165" s="2" t="inlineStr">
        <is>
          <t>FK Krasnodar</t>
        </is>
      </c>
      <c r="C165" s="2" t="inlineStr">
        <is>
          <t>Russian Premier League</t>
        </is>
      </c>
      <c r="D165" s="2" t="inlineStr">
        <is>
          <t>Russia</t>
        </is>
      </c>
      <c r="E165" s="2" t="n">
        <v>2</v>
      </c>
      <c r="F165" s="2" t="inlineStr">
        <is>
          <t>Alta</t>
        </is>
      </c>
      <c r="G165" s="2" t="n">
        <v>2</v>
      </c>
      <c r="H165" s="2" t="inlineStr">
        <is>
          <t>2025/26</t>
        </is>
      </c>
      <c r="I165" s="2" t="inlineStr">
        <is>
          <t>confirmado_por_zerozero_screenshot_v5</t>
        </is>
      </c>
      <c r="J165" s="2" t="inlineStr">
        <is>
          <t>ZeroZero screenshot enviado pelo utilizador - Russian Premier League 2025/26</t>
        </is>
      </c>
      <c r="K165" s="2" t="inlineStr">
        <is>
          <t>Validado com screenshot ZeroZero enviado nesta passagem. Clube normalizado: FK Krasnodar -&gt; fk krasnodar.</t>
        </is>
      </c>
    </row>
    <row r="166">
      <c r="A166" s="1" t="n">
        <v>165</v>
      </c>
      <c r="B166" s="2" t="inlineStr">
        <is>
          <t>FK Rostov</t>
        </is>
      </c>
      <c r="C166" s="2" t="inlineStr">
        <is>
          <t>Russian Premier League</t>
        </is>
      </c>
      <c r="D166" s="2" t="inlineStr">
        <is>
          <t>Russia</t>
        </is>
      </c>
      <c r="E166" s="2" t="n">
        <v>1</v>
      </c>
      <c r="F166" s="2" t="inlineStr">
        <is>
          <t>Alta</t>
        </is>
      </c>
      <c r="G166" s="2" t="n">
        <v>10</v>
      </c>
      <c r="H166" s="2" t="inlineStr">
        <is>
          <t>2025/26</t>
        </is>
      </c>
      <c r="I166" s="2" t="inlineStr">
        <is>
          <t>confirmado_por_zerozero_screenshot_v5</t>
        </is>
      </c>
      <c r="J166" s="2" t="inlineStr">
        <is>
          <t>ZeroZero screenshot enviado pelo utilizador - Russian Premier League 2025/26</t>
        </is>
      </c>
      <c r="K166" s="2" t="inlineStr">
        <is>
          <t>Validado com screenshot ZeroZero enviado nesta passagem. Clube normalizado: FK Rostov -&gt; fk rostov.</t>
        </is>
      </c>
    </row>
    <row r="167">
      <c r="A167" s="1" t="n">
        <v>166</v>
      </c>
      <c r="B167" s="2" t="inlineStr">
        <is>
          <t>Farense</t>
        </is>
      </c>
      <c r="C167" s="2" t="inlineStr">
        <is>
          <t>Liga Portugal 2</t>
        </is>
      </c>
      <c r="D167" s="2" t="inlineStr">
        <is>
          <t>Portugal</t>
        </is>
      </c>
      <c r="E167" s="2" t="n">
        <v>1</v>
      </c>
      <c r="F167" s="2" t="inlineStr">
        <is>
          <t>Alta</t>
        </is>
      </c>
      <c r="G167" s="2" t="n">
        <v>16</v>
      </c>
      <c r="H167" s="2" t="inlineStr">
        <is>
          <t>2025/26</t>
        </is>
      </c>
      <c r="I167" s="2" t="inlineStr">
        <is>
          <t>confirmado_por_zerozero_screenshot_v8</t>
        </is>
      </c>
      <c r="J167" s="2" t="inlineStr">
        <is>
          <t>ZeroZero screenshot enviado pelo utilizador - Liga Portugal 2 Meu Super 2025/26</t>
        </is>
      </c>
      <c r="K167" s="2" t="inlineStr">
        <is>
          <t>Validado com screenshot ZeroZero enviado nesta passagem. Clube normalizado: Farense -&gt; farense.</t>
        </is>
      </c>
    </row>
    <row r="168">
      <c r="A168" s="1" t="n">
        <v>167</v>
      </c>
      <c r="B168" s="2" t="inlineStr">
        <is>
          <t>Fenerbahçe</t>
        </is>
      </c>
      <c r="C168" s="2" t="inlineStr">
        <is>
          <t>Süper Lig</t>
        </is>
      </c>
      <c r="D168" s="2" t="inlineStr">
        <is>
          <t>Turkey</t>
        </is>
      </c>
      <c r="E168" s="2" t="n">
        <v>10</v>
      </c>
      <c r="F168" s="2" t="inlineStr">
        <is>
          <t>Alta</t>
        </is>
      </c>
      <c r="G168" s="2" t="n">
        <v>2</v>
      </c>
      <c r="H168" s="2" t="inlineStr">
        <is>
          <t>2025/26</t>
        </is>
      </c>
      <c r="I168" s="2" t="inlineStr">
        <is>
          <t>confirmado_por_zerozero_screenshot</t>
        </is>
      </c>
      <c r="J168" s="2" t="inlineStr">
        <is>
          <t>ZeroZero screenshot enviado pelo utilizador - Süper Lig 2025/26</t>
        </is>
      </c>
      <c r="K168" s="2" t="inlineStr">
        <is>
          <t>Validado com a classificação visível no screenshot enviado. Clube normalizado: Fenerbahçe -&gt; fenerbahce.</t>
        </is>
      </c>
    </row>
    <row r="169">
      <c r="A169" s="1" t="n">
        <v>168</v>
      </c>
      <c r="B169" s="2" t="inlineStr">
        <is>
          <t>Ferencváros</t>
        </is>
      </c>
      <c r="C169" s="2" t="inlineStr">
        <is>
          <t>Nemzeti Bajnokság I</t>
        </is>
      </c>
      <c r="D169" s="2" t="inlineStr">
        <is>
          <t>Hungary</t>
        </is>
      </c>
      <c r="E169" s="2" t="n">
        <v>1</v>
      </c>
      <c r="F169" s="2" t="inlineStr">
        <is>
          <t>Alta</t>
        </is>
      </c>
      <c r="G169" s="2" t="n">
        <v>2</v>
      </c>
      <c r="H169" s="2" t="inlineStr">
        <is>
          <t>2025/26</t>
        </is>
      </c>
      <c r="I169" s="2" t="inlineStr">
        <is>
          <t>confirmado_por_zerozero_screenshot_v9</t>
        </is>
      </c>
      <c r="J169" s="2" t="inlineStr">
        <is>
          <t>ZeroZero screenshot enviado pelo utilizador - Fizz Liga 2025/26</t>
        </is>
      </c>
      <c r="K169" s="2" t="inlineStr">
        <is>
          <t>Validado com screenshot ZeroZero enviado nesta passagem. Clube normalizado: Ferencváros -&gt; ferencvaros.</t>
        </is>
      </c>
    </row>
    <row r="170">
      <c r="A170" s="1" t="n">
        <v>169</v>
      </c>
      <c r="B170" s="2" t="inlineStr">
        <is>
          <t>Feyenoord</t>
        </is>
      </c>
      <c r="C170" s="2" t="inlineStr">
        <is>
          <t>Eredivisie</t>
        </is>
      </c>
      <c r="D170" s="2" t="inlineStr">
        <is>
          <t>Netherlands</t>
        </is>
      </c>
      <c r="E170" s="2" t="n">
        <v>5</v>
      </c>
      <c r="F170" s="2" t="inlineStr">
        <is>
          <t>Alta</t>
        </is>
      </c>
      <c r="G170" s="2" t="n">
        <v>2</v>
      </c>
      <c r="H170" s="2" t="inlineStr">
        <is>
          <t>2025/26</t>
        </is>
      </c>
      <c r="I170" s="2" t="inlineStr">
        <is>
          <t>confirmado_por_zerozero_screenshot</t>
        </is>
      </c>
      <c r="J170" s="2" t="inlineStr">
        <is>
          <t>ZeroZero screenshot enviado pelo utilizador - Eredivisie 2025/26</t>
        </is>
      </c>
      <c r="K170" s="2" t="inlineStr">
        <is>
          <t>Validado com a classificação visível no screenshot enviado. Clube normalizado: Feyenoord -&gt; feyenoord.</t>
        </is>
      </c>
    </row>
    <row r="171">
      <c r="A171" s="1" t="n">
        <v>170</v>
      </c>
      <c r="B171" s="2" t="inlineStr">
        <is>
          <t>Fiorentina</t>
        </is>
      </c>
      <c r="C171" s="2" t="inlineStr">
        <is>
          <t>Serie A</t>
        </is>
      </c>
      <c r="D171" s="2" t="inlineStr">
        <is>
          <t>Italy</t>
        </is>
      </c>
      <c r="E171" s="2" t="n">
        <v>1</v>
      </c>
      <c r="F171" s="2" t="inlineStr">
        <is>
          <t>Alta</t>
        </is>
      </c>
      <c r="G171" s="2" t="n">
        <v>15</v>
      </c>
      <c r="H171" s="2" t="inlineStr">
        <is>
          <t>2025/26</t>
        </is>
      </c>
      <c r="I171" s="2" t="inlineStr">
        <is>
          <t>confirmado_por_zerozero_screenshot</t>
        </is>
      </c>
      <c r="J171" s="2" t="inlineStr">
        <is>
          <t>ZeroZero screenshot enviado pelo utilizador - Serie A 2025/26</t>
        </is>
      </c>
      <c r="K171" s="2" t="inlineStr">
        <is>
          <t>Validado com a classificação visível no screenshot enviado. Clube normalizado: Fiorentina -&gt; fiorentina.</t>
        </is>
      </c>
    </row>
    <row r="172">
      <c r="A172" s="1" t="n">
        <v>171</v>
      </c>
      <c r="B172" s="2" t="inlineStr">
        <is>
          <t>Flamengo</t>
        </is>
      </c>
      <c r="C172" s="2" t="inlineStr">
        <is>
          <t>Campeonato Brasileiro Série A</t>
        </is>
      </c>
      <c r="D172" s="2" t="inlineStr">
        <is>
          <t>Brazil</t>
        </is>
      </c>
      <c r="E172" s="2" t="n">
        <v>9</v>
      </c>
      <c r="F172" s="2" t="inlineStr">
        <is>
          <t>Alta</t>
        </is>
      </c>
      <c r="G172" s="2" t="n">
        <v>2</v>
      </c>
      <c r="H172" s="2" t="n">
        <v>2026</v>
      </c>
      <c r="I172" s="2" t="inlineStr">
        <is>
          <t>confirmado_por_zerozero_screenshot</t>
        </is>
      </c>
      <c r="J172" s="2" t="inlineStr">
        <is>
          <t>ZeroZero screenshot enviado pelo utilizador - Brasileirão Série A 2026</t>
        </is>
      </c>
      <c r="K172" s="2" t="inlineStr">
        <is>
          <t>Validado com a classificação visível no screenshot enviado. Clube normalizado: Flamengo -&gt; flamengo.</t>
        </is>
      </c>
    </row>
    <row r="173">
      <c r="A173" s="1" t="n">
        <v>172</v>
      </c>
      <c r="B173" s="2" t="inlineStr">
        <is>
          <t>Fluminense</t>
        </is>
      </c>
      <c r="C173" s="2" t="inlineStr">
        <is>
          <t>Campeonato Brasileiro Série A</t>
        </is>
      </c>
      <c r="D173" s="2" t="inlineStr">
        <is>
          <t>Brazil</t>
        </is>
      </c>
      <c r="E173" s="2" t="n">
        <v>1</v>
      </c>
      <c r="F173" s="2" t="inlineStr">
        <is>
          <t>Alta</t>
        </is>
      </c>
      <c r="G173" s="2" t="n">
        <v>3</v>
      </c>
      <c r="H173" s="2" t="n">
        <v>2026</v>
      </c>
      <c r="I173" s="2" t="inlineStr">
        <is>
          <t>confirmado_por_zerozero_screenshot</t>
        </is>
      </c>
      <c r="J173" s="2" t="inlineStr">
        <is>
          <t>ZeroZero screenshot enviado pelo utilizador - Brasileirão Série A 2026</t>
        </is>
      </c>
      <c r="K173" s="2" t="inlineStr">
        <is>
          <t>Validado com a classificação visível no screenshot enviado. Clube normalizado: Fluminense -&gt; fluminense.</t>
        </is>
      </c>
    </row>
    <row r="174">
      <c r="A174" s="1" t="n">
        <v>173</v>
      </c>
      <c r="B174" s="2" t="inlineStr">
        <is>
          <t>Foolad FC</t>
        </is>
      </c>
      <c r="C174" s="2" t="inlineStr">
        <is>
          <t>Persian Gulf Pro League</t>
        </is>
      </c>
      <c r="D174" s="2" t="inlineStr">
        <is>
          <t>Iran</t>
        </is>
      </c>
      <c r="E174" s="2" t="n">
        <v>2</v>
      </c>
      <c r="F174" s="2" t="inlineStr">
        <is>
          <t>Alta</t>
        </is>
      </c>
      <c r="G174" s="2" t="n">
        <v>7</v>
      </c>
      <c r="H174" s="2" t="inlineStr">
        <is>
          <t>2025/26</t>
        </is>
      </c>
      <c r="I174" s="2" t="inlineStr">
        <is>
          <t>confirmado_por_zerozero_screenshot_v6</t>
        </is>
      </c>
      <c r="J174" s="2" t="inlineStr">
        <is>
          <t>ZeroZero screenshot enviado pelo utilizador - Persian Gulf Pro League 2025/26</t>
        </is>
      </c>
      <c r="K174" s="2" t="inlineStr">
        <is>
          <t>Validado com screenshot ZeroZero enviado nesta passagem. Clube normalizado: Foolad FC -&gt; foolad fc.</t>
        </is>
      </c>
    </row>
    <row r="175">
      <c r="A175" s="1" t="n">
        <v>174</v>
      </c>
      <c r="B175" s="2" t="inlineStr">
        <is>
          <t>Fortuna Düsseldorf</t>
        </is>
      </c>
      <c r="C175" s="2" t="inlineStr">
        <is>
          <t>2. Bundesliga</t>
        </is>
      </c>
      <c r="D175" s="2" t="inlineStr">
        <is>
          <t>Germany</t>
        </is>
      </c>
      <c r="E175" s="2" t="n">
        <v>1</v>
      </c>
      <c r="F175" s="2" t="inlineStr">
        <is>
          <t>Alta</t>
        </is>
      </c>
      <c r="G175" s="2" t="n">
        <v>17</v>
      </c>
      <c r="H175" s="2" t="inlineStr">
        <is>
          <t>2025/26</t>
        </is>
      </c>
      <c r="I175" s="2" t="inlineStr">
        <is>
          <t>confirmado_por_zerozero_screenshot_v7</t>
        </is>
      </c>
      <c r="J175" s="2" t="inlineStr">
        <is>
          <t>ZeroZero screenshot enviado pelo utilizador - 2. Bundesliga 2025/26</t>
        </is>
      </c>
      <c r="K175" s="2" t="inlineStr">
        <is>
          <t>Validado com screenshot ZeroZero enviado nesta passagem. Clube normalizado: Fortuna Düsseldorf -&gt; fortuna dusseldorf.</t>
        </is>
      </c>
    </row>
    <row r="176">
      <c r="A176" s="1" t="n">
        <v>175</v>
      </c>
      <c r="B176" s="2" t="inlineStr">
        <is>
          <t>Frosinone</t>
        </is>
      </c>
      <c r="C176" s="2" t="inlineStr">
        <is>
          <t>Serie B</t>
        </is>
      </c>
      <c r="D176" s="2" t="inlineStr">
        <is>
          <t>Italy</t>
        </is>
      </c>
      <c r="E176" s="2" t="n">
        <v>1</v>
      </c>
      <c r="F176" s="2" t="inlineStr">
        <is>
          <t>Alta</t>
        </is>
      </c>
      <c r="G176" s="2" t="n">
        <v>2</v>
      </c>
      <c r="H176" s="2" t="inlineStr">
        <is>
          <t>2025/26</t>
        </is>
      </c>
      <c r="I176" s="2" t="inlineStr">
        <is>
          <t>confirmado_por_zerozero_screenshot_v8</t>
        </is>
      </c>
      <c r="J176" s="2" t="inlineStr">
        <is>
          <t>ZeroZero screenshot enviado pelo utilizador - Serie B 2025/26</t>
        </is>
      </c>
      <c r="K176" s="2" t="inlineStr">
        <is>
          <t>Validado com screenshot ZeroZero enviado nesta passagem. Clube normalizado: Frosinone -&gt; frosinone.</t>
        </is>
      </c>
    </row>
    <row r="177">
      <c r="A177" s="1" t="n">
        <v>176</v>
      </c>
      <c r="B177" s="2" t="inlineStr">
        <is>
          <t>Fulham</t>
        </is>
      </c>
      <c r="C177" s="2" t="inlineStr">
        <is>
          <t>Premier League</t>
        </is>
      </c>
      <c r="D177" s="2" t="inlineStr">
        <is>
          <t>England</t>
        </is>
      </c>
      <c r="E177" s="2" t="n">
        <v>7</v>
      </c>
      <c r="F177" s="2" t="inlineStr">
        <is>
          <t>Alta</t>
        </is>
      </c>
      <c r="G177" s="2" t="n">
        <v>11</v>
      </c>
      <c r="H177" s="2" t="inlineStr">
        <is>
          <t>2025/26</t>
        </is>
      </c>
      <c r="I177" s="2" t="inlineStr">
        <is>
          <t>confirmado_por_zerozero_screenshot</t>
        </is>
      </c>
      <c r="J177" s="2" t="inlineStr">
        <is>
          <t>ZeroZero screenshot enviado pelo utilizador - Premier League 2025/26</t>
        </is>
      </c>
      <c r="K177" s="2" t="inlineStr">
        <is>
          <t>Validado com a classificação visível no screenshot enviado. Clube normalizado: Fulham -&gt; fulham.</t>
        </is>
      </c>
    </row>
    <row r="178">
      <c r="A178" s="1" t="n">
        <v>177</v>
      </c>
      <c r="B178" s="2" t="inlineStr">
        <is>
          <t>GD Chaves</t>
        </is>
      </c>
      <c r="C178" s="2" t="inlineStr">
        <is>
          <t>Liga Portugal 2</t>
        </is>
      </c>
      <c r="D178" s="2" t="inlineStr">
        <is>
          <t>Portugal</t>
        </is>
      </c>
      <c r="E178" s="2" t="n">
        <v>1</v>
      </c>
      <c r="F178" s="2" t="inlineStr">
        <is>
          <t>Alta</t>
        </is>
      </c>
      <c r="G178" s="2" t="n">
        <v>9</v>
      </c>
      <c r="H178" s="2" t="inlineStr">
        <is>
          <t>2025/26</t>
        </is>
      </c>
      <c r="I178" s="2" t="inlineStr">
        <is>
          <t>confirmado_por_zerozero_screenshot_v8</t>
        </is>
      </c>
      <c r="J178" s="2" t="inlineStr">
        <is>
          <t>ZeroZero screenshot enviado pelo utilizador - Liga Portugal 2 Meu Super 2025/26</t>
        </is>
      </c>
      <c r="K178" s="2" t="inlineStr">
        <is>
          <t>Validado com screenshot ZeroZero enviado nesta passagem. Clube normalizado: GD Chaves -&gt; gd chaves.</t>
        </is>
      </c>
    </row>
    <row r="179">
      <c r="A179" s="1" t="n">
        <v>178</v>
      </c>
      <c r="B179" s="2" t="inlineStr">
        <is>
          <t>Galatasaray</t>
        </is>
      </c>
      <c r="C179" s="2" t="inlineStr">
        <is>
          <t>Süper Lig</t>
        </is>
      </c>
      <c r="D179" s="2" t="inlineStr">
        <is>
          <t>Turkey</t>
        </is>
      </c>
      <c r="E179" s="2" t="n">
        <v>12</v>
      </c>
      <c r="F179" s="2" t="inlineStr">
        <is>
          <t>Alta</t>
        </is>
      </c>
      <c r="G179" s="2" t="n">
        <v>1</v>
      </c>
      <c r="H179" s="2" t="inlineStr">
        <is>
          <t>2025/26</t>
        </is>
      </c>
      <c r="I179" s="2" t="inlineStr">
        <is>
          <t>confirmado_por_zerozero_screenshot</t>
        </is>
      </c>
      <c r="J179" s="2" t="inlineStr">
        <is>
          <t>ZeroZero screenshot enviado pelo utilizador - Süper Lig 2025/26</t>
        </is>
      </c>
      <c r="K179" s="2" t="inlineStr">
        <is>
          <t>Validado com a classificação visível no screenshot enviado. Clube normalizado: Galatasaray -&gt; galatasaray.</t>
        </is>
      </c>
    </row>
    <row r="180">
      <c r="A180" s="1" t="n">
        <v>179</v>
      </c>
      <c r="B180" s="2" t="inlineStr">
        <is>
          <t>Gangwon</t>
        </is>
      </c>
      <c r="C180" s="2" t="inlineStr">
        <is>
          <t>K League 1</t>
        </is>
      </c>
      <c r="D180" s="2" t="inlineStr">
        <is>
          <t>South Korea</t>
        </is>
      </c>
      <c r="E180" s="2" t="n">
        <v>1</v>
      </c>
      <c r="F180" s="2" t="inlineStr">
        <is>
          <t>Alta</t>
        </is>
      </c>
      <c r="G180" s="2" t="n">
        <v>4</v>
      </c>
      <c r="H180" s="2" t="n">
        <v>2026</v>
      </c>
      <c r="I180" s="2" t="inlineStr">
        <is>
          <t>confirmado_por_zerozero_screenshot_v8</t>
        </is>
      </c>
      <c r="J180" s="2" t="inlineStr">
        <is>
          <t>ZeroZero screenshot enviado pelo utilizador - K League 1 2026</t>
        </is>
      </c>
      <c r="K180" s="2" t="inlineStr">
        <is>
          <t>Validado com screenshot ZeroZero enviado nesta passagem. Clube normalizado: Gangwon -&gt; gangwon.</t>
        </is>
      </c>
    </row>
    <row r="181">
      <c r="A181" s="1" t="n">
        <v>180</v>
      </c>
      <c r="B181" s="2" t="inlineStr">
        <is>
          <t>Gazisehir Gaziantep</t>
        </is>
      </c>
      <c r="C181" s="2" t="inlineStr">
        <is>
          <t>Süper Lig</t>
        </is>
      </c>
      <c r="D181" s="2" t="inlineStr">
        <is>
          <t>Turkey</t>
        </is>
      </c>
      <c r="E181" s="2" t="n">
        <v>1</v>
      </c>
      <c r="F181" s="2" t="inlineStr">
        <is>
          <t>Alta</t>
        </is>
      </c>
      <c r="G181" s="2" t="n">
        <v>12</v>
      </c>
      <c r="H181" s="2" t="inlineStr">
        <is>
          <t>2025/26</t>
        </is>
      </c>
      <c r="I181" s="2" t="inlineStr">
        <is>
          <t>confirmado_por_zerozero_screenshot</t>
        </is>
      </c>
      <c r="J181" s="2" t="inlineStr">
        <is>
          <t>ZeroZero screenshot enviado pelo utilizador - Süper Lig 2025/26</t>
        </is>
      </c>
      <c r="K181" s="2" t="inlineStr">
        <is>
          <t>Validado com a classificação visível no screenshot enviado. Clube normalizado: Gazisehir Gaziantep -&gt; gazisehir gaziantep.</t>
        </is>
      </c>
    </row>
    <row r="182">
      <c r="A182" s="1" t="n">
        <v>181</v>
      </c>
      <c r="B182" s="2" t="inlineStr">
        <is>
          <t>Genk</t>
        </is>
      </c>
      <c r="C182" s="2" t="inlineStr">
        <is>
          <t>Belgian Pro League</t>
        </is>
      </c>
      <c r="D182" s="2" t="inlineStr">
        <is>
          <t>Belgium</t>
        </is>
      </c>
      <c r="E182" s="2" t="n">
        <v>4</v>
      </c>
      <c r="F182" s="2" t="inlineStr">
        <is>
          <t>Alta</t>
        </is>
      </c>
      <c r="G182" s="2" t="n">
        <v>7</v>
      </c>
      <c r="H182" s="2" t="inlineStr">
        <is>
          <t>2025/26</t>
        </is>
      </c>
      <c r="I182" s="2" t="inlineStr">
        <is>
          <t>confirmado_por_zerozero_screenshot</t>
        </is>
      </c>
      <c r="J182" s="2" t="inlineStr">
        <is>
          <t>ZeroZero screenshot enviado pelo utilizador - Jupiler Pro League fase regular 2025/26</t>
        </is>
      </c>
      <c r="K182" s="2" t="inlineStr">
        <is>
          <t>Validado com a classificação visível no screenshot enviado. Clube normalizado: Genk -&gt; genk.</t>
        </is>
      </c>
    </row>
    <row r="183">
      <c r="A183" s="1" t="n">
        <v>182</v>
      </c>
      <c r="B183" s="2" t="inlineStr">
        <is>
          <t>Genoa</t>
        </is>
      </c>
      <c r="C183" s="2" t="inlineStr">
        <is>
          <t>Serie A</t>
        </is>
      </c>
      <c r="D183" s="2" t="inlineStr">
        <is>
          <t>Italy</t>
        </is>
      </c>
      <c r="E183" s="2" t="n">
        <v>2</v>
      </c>
      <c r="F183" s="2" t="inlineStr">
        <is>
          <t>Alta</t>
        </is>
      </c>
      <c r="G183" s="2" t="n">
        <v>16</v>
      </c>
      <c r="H183" s="2" t="inlineStr">
        <is>
          <t>2025/26</t>
        </is>
      </c>
      <c r="I183" s="2" t="inlineStr">
        <is>
          <t>confirmado_por_zerozero_screenshot</t>
        </is>
      </c>
      <c r="J183" s="2" t="inlineStr">
        <is>
          <t>ZeroZero screenshot enviado pelo utilizador - Serie A 2025/26</t>
        </is>
      </c>
      <c r="K183" s="2" t="inlineStr">
        <is>
          <t>Validado com a classificação visível no screenshot enviado. Clube normalizado: Genoa -&gt; genoa.</t>
        </is>
      </c>
    </row>
    <row r="184">
      <c r="A184" s="1" t="n">
        <v>183</v>
      </c>
      <c r="B184" s="2" t="inlineStr">
        <is>
          <t>Gent</t>
        </is>
      </c>
      <c r="C184" s="2" t="inlineStr">
        <is>
          <t>Belgian Pro League</t>
        </is>
      </c>
      <c r="D184" s="2" t="inlineStr">
        <is>
          <t>Belgium</t>
        </is>
      </c>
      <c r="E184" s="2" t="n">
        <v>1</v>
      </c>
      <c r="F184" s="2" t="inlineStr">
        <is>
          <t>Alta</t>
        </is>
      </c>
      <c r="G184" s="2" t="n">
        <v>4</v>
      </c>
      <c r="H184" s="2" t="inlineStr">
        <is>
          <t>2025/26</t>
        </is>
      </c>
      <c r="I184" s="2" t="inlineStr">
        <is>
          <t>confirmado_por_zerozero_screenshot</t>
        </is>
      </c>
      <c r="J184" s="2" t="inlineStr">
        <is>
          <t>ZeroZero screenshot enviado pelo utilizador - Jupiler Pro League fase regular 2025/26</t>
        </is>
      </c>
      <c r="K184" s="2" t="inlineStr">
        <is>
          <t>Validado com a classificação visível no screenshot enviado. Clube normalizado: Gent -&gt; gent.</t>
        </is>
      </c>
    </row>
    <row r="185">
      <c r="A185" s="1" t="n">
        <v>184</v>
      </c>
      <c r="B185" s="2" t="inlineStr">
        <is>
          <t>Gençlerbirligi</t>
        </is>
      </c>
      <c r="C185" s="2" t="inlineStr">
        <is>
          <t>Süper Lig</t>
        </is>
      </c>
      <c r="D185" s="2" t="inlineStr">
        <is>
          <t>Turkey</t>
        </is>
      </c>
      <c r="E185" s="2" t="n">
        <v>1</v>
      </c>
      <c r="F185" s="2" t="inlineStr">
        <is>
          <t>Alta</t>
        </is>
      </c>
      <c r="G185" s="2" t="n">
        <v>14</v>
      </c>
      <c r="H185" s="2" t="inlineStr">
        <is>
          <t>2025/26</t>
        </is>
      </c>
      <c r="I185" s="2" t="inlineStr">
        <is>
          <t>confirmado_por_zerozero_screenshot</t>
        </is>
      </c>
      <c r="J185" s="2" t="inlineStr">
        <is>
          <t>ZeroZero screenshot enviado pelo utilizador - Süper Lig 2025/26</t>
        </is>
      </c>
      <c r="K185" s="2" t="inlineStr">
        <is>
          <t>Validado com a classificação visível no screenshot enviado. Clube normalizado: Gençlerbirligi -&gt; genclerbirligi.</t>
        </is>
      </c>
    </row>
    <row r="186">
      <c r="A186" s="1" t="n">
        <v>185</v>
      </c>
      <c r="B186" s="2" t="inlineStr">
        <is>
          <t>Gil Vicente</t>
        </is>
      </c>
      <c r="C186" s="2" t="inlineStr">
        <is>
          <t>Primeira Liga</t>
        </is>
      </c>
      <c r="D186" s="2" t="inlineStr">
        <is>
          <t>Portugal</t>
        </is>
      </c>
      <c r="E186" s="2" t="n">
        <v>1</v>
      </c>
      <c r="F186" s="2" t="inlineStr">
        <is>
          <t>Alta</t>
        </is>
      </c>
      <c r="G186" s="2" t="n">
        <v>6</v>
      </c>
      <c r="H186" s="2" t="inlineStr">
        <is>
          <t>2025/26</t>
        </is>
      </c>
      <c r="I186" s="2" t="inlineStr">
        <is>
          <t>confirmado_por_zerozero_screenshot</t>
        </is>
      </c>
      <c r="J186" s="2" t="inlineStr">
        <is>
          <t>ZeroZero screenshot enviado pelo utilizador - Liga Portugal Betclic 2025/26</t>
        </is>
      </c>
      <c r="K186" s="2" t="inlineStr">
        <is>
          <t>Validado com a classificação visível no screenshot enviado. Clube normalizado: Gil Vicente -&gt; gil vicente.</t>
        </is>
      </c>
    </row>
    <row r="187">
      <c r="A187" s="1" t="n">
        <v>186</v>
      </c>
      <c r="B187" s="2" t="inlineStr">
        <is>
          <t>Girona</t>
        </is>
      </c>
      <c r="C187" s="2" t="inlineStr">
        <is>
          <t>LaLiga</t>
        </is>
      </c>
      <c r="D187" s="2" t="inlineStr">
        <is>
          <t>Spain</t>
        </is>
      </c>
      <c r="E187" s="2" t="n">
        <v>2</v>
      </c>
      <c r="F187" s="2" t="inlineStr">
        <is>
          <t>Alta</t>
        </is>
      </c>
      <c r="G187" s="2" t="n">
        <v>19</v>
      </c>
      <c r="H187" s="2" t="inlineStr">
        <is>
          <t>2025/26</t>
        </is>
      </c>
      <c r="I187" s="2" t="inlineStr">
        <is>
          <t>confirmado_por_zerozero_screenshot</t>
        </is>
      </c>
      <c r="J187" s="2" t="inlineStr">
        <is>
          <t>ZeroZero screenshot enviado pelo utilizador - LaLiga 2025/26</t>
        </is>
      </c>
      <c r="K187" s="2" t="inlineStr">
        <is>
          <t>Validado com a classificação visível no screenshot enviado. Clube normalizado: Girona -&gt; girona.</t>
        </is>
      </c>
    </row>
    <row r="188">
      <c r="A188" s="1" t="n">
        <v>187</v>
      </c>
      <c r="B188" s="2" t="inlineStr">
        <is>
          <t>Granada</t>
        </is>
      </c>
      <c r="C188" s="2" t="inlineStr">
        <is>
          <t>LaLiga 2</t>
        </is>
      </c>
      <c r="D188" s="2" t="inlineStr">
        <is>
          <t>Spain</t>
        </is>
      </c>
      <c r="E188" s="2" t="n">
        <v>1</v>
      </c>
      <c r="F188" s="2" t="inlineStr">
        <is>
          <t>Alta</t>
        </is>
      </c>
      <c r="G188" s="2" t="n">
        <v>14</v>
      </c>
      <c r="H188" s="2" t="inlineStr">
        <is>
          <t>2025/26</t>
        </is>
      </c>
      <c r="I188" s="2" t="inlineStr">
        <is>
          <t>confirmado_por_zerozero_screenshot_v8</t>
        </is>
      </c>
      <c r="J188" s="2" t="inlineStr">
        <is>
          <t>ZeroZero screenshot enviado pelo utilizador - LaLiga Hypermotion 2025/26</t>
        </is>
      </c>
      <c r="K188" s="2" t="inlineStr">
        <is>
          <t>Validado com screenshot ZeroZero enviado nesta passagem. Clube normalizado: Granada -&gt; granada.</t>
        </is>
      </c>
    </row>
    <row r="189">
      <c r="A189" s="1" t="n">
        <v>188</v>
      </c>
      <c r="B189" s="2" t="inlineStr">
        <is>
          <t>Grazer AK</t>
        </is>
      </c>
      <c r="C189" s="2" t="inlineStr">
        <is>
          <t>Austrian Bundesliga</t>
        </is>
      </c>
      <c r="D189" s="2" t="inlineStr">
        <is>
          <t>Austria</t>
        </is>
      </c>
      <c r="E189" s="2" t="n">
        <v>1</v>
      </c>
      <c r="F189" s="2" t="inlineStr">
        <is>
          <t>Alta</t>
        </is>
      </c>
      <c r="G189" s="2" t="n">
        <v>11</v>
      </c>
      <c r="H189" s="2" t="inlineStr">
        <is>
          <t>2025/26</t>
        </is>
      </c>
      <c r="I189" s="2" t="inlineStr">
        <is>
          <t>confirmado_por_zerozero_screenshot_v7</t>
        </is>
      </c>
      <c r="J189" s="2" t="inlineStr">
        <is>
          <t>ZeroZero screenshots enviados pelo utilizador - Austrian Bundesliga 2025/26 Meistergruppe + regular</t>
        </is>
      </c>
      <c r="K189" s="2" t="inlineStr">
        <is>
          <t>Validado com screenshot ZeroZero enviado nesta passagem. Clube normalizado: Grazer AK -&gt; grazer ak.</t>
        </is>
      </c>
    </row>
    <row r="190">
      <c r="A190" s="1" t="n">
        <v>189</v>
      </c>
      <c r="B190" s="2" t="inlineStr">
        <is>
          <t>Grêmio</t>
        </is>
      </c>
      <c r="C190" s="2" t="inlineStr">
        <is>
          <t>Campeonato Brasileiro Série A</t>
        </is>
      </c>
      <c r="D190" s="2" t="inlineStr">
        <is>
          <t>Brazil</t>
        </is>
      </c>
      <c r="E190" s="2" t="n">
        <v>2</v>
      </c>
      <c r="F190" s="2" t="inlineStr">
        <is>
          <t>Alta</t>
        </is>
      </c>
      <c r="G190" s="2" t="n">
        <v>16</v>
      </c>
      <c r="H190" s="2" t="n">
        <v>2026</v>
      </c>
      <c r="I190" s="2" t="inlineStr">
        <is>
          <t>confirmado_por_zerozero_screenshot</t>
        </is>
      </c>
      <c r="J190" s="2" t="inlineStr">
        <is>
          <t>ZeroZero screenshot enviado pelo utilizador - Brasileirão Série A 2026</t>
        </is>
      </c>
      <c r="K190" s="2" t="inlineStr">
        <is>
          <t>Validado com a classificação visível no screenshot enviado. Clube normalizado: Grêmio -&gt; gremio.</t>
        </is>
      </c>
    </row>
    <row r="191">
      <c r="A191" s="1" t="n">
        <v>190</v>
      </c>
      <c r="B191" s="2" t="inlineStr">
        <is>
          <t>Guingamp</t>
        </is>
      </c>
      <c r="C191" s="2" t="inlineStr">
        <is>
          <t>Ligue 2</t>
        </is>
      </c>
      <c r="D191" s="2" t="inlineStr">
        <is>
          <t>France</t>
        </is>
      </c>
      <c r="E191" s="2" t="n">
        <v>1</v>
      </c>
      <c r="F191" s="2" t="inlineStr">
        <is>
          <t>Alta</t>
        </is>
      </c>
      <c r="G191" s="2" t="n">
        <v>11</v>
      </c>
      <c r="H191" s="2" t="inlineStr">
        <is>
          <t>2025/26</t>
        </is>
      </c>
      <c r="I191" s="2" t="inlineStr">
        <is>
          <t>confirmado_por_zerozero_screenshot_v6</t>
        </is>
      </c>
      <c r="J191" s="2" t="inlineStr">
        <is>
          <t>ZeroZero screenshot enviado pelo utilizador - Ligue 2 2025/26</t>
        </is>
      </c>
      <c r="K191" s="2" t="inlineStr">
        <is>
          <t>Validado com screenshot ZeroZero enviado nesta passagem. Clube normalizado: Guingamp -&gt; guingamp.</t>
        </is>
      </c>
    </row>
    <row r="192">
      <c r="A192" s="1" t="n">
        <v>191</v>
      </c>
      <c r="B192" s="2" t="inlineStr">
        <is>
          <t>Gyori ETO</t>
        </is>
      </c>
      <c r="C192" s="2" t="inlineStr">
        <is>
          <t>Nemzeti Bajnokság I</t>
        </is>
      </c>
      <c r="D192" s="2" t="inlineStr">
        <is>
          <t>Hungary</t>
        </is>
      </c>
      <c r="E192" s="2" t="n">
        <v>1</v>
      </c>
      <c r="F192" s="2" t="inlineStr">
        <is>
          <t>Alta</t>
        </is>
      </c>
      <c r="G192" s="2" t="n">
        <v>1</v>
      </c>
      <c r="H192" s="2" t="inlineStr">
        <is>
          <t>2025/26</t>
        </is>
      </c>
      <c r="I192" s="2" t="inlineStr">
        <is>
          <t>confirmado_por_zerozero_screenshot_v9</t>
        </is>
      </c>
      <c r="J192" s="2" t="inlineStr">
        <is>
          <t>ZeroZero screenshot enviado pelo utilizador - Fizz Liga 2025/26</t>
        </is>
      </c>
      <c r="K192" s="2" t="inlineStr">
        <is>
          <t>Validado com screenshot ZeroZero enviado nesta passagem. Clube normalizado: Gyori ETO -&gt; gyor eto.</t>
        </is>
      </c>
    </row>
    <row r="193">
      <c r="A193" s="1" t="n">
        <v>192</v>
      </c>
      <c r="B193" s="2" t="inlineStr">
        <is>
          <t>HNK Rijeka</t>
        </is>
      </c>
      <c r="C193" s="2" t="inlineStr">
        <is>
          <t>Croatian Football League</t>
        </is>
      </c>
      <c r="D193" s="2" t="inlineStr">
        <is>
          <t>Croatia</t>
        </is>
      </c>
      <c r="E193" s="2" t="n">
        <v>3</v>
      </c>
      <c r="F193" s="2" t="inlineStr">
        <is>
          <t>Alta</t>
        </is>
      </c>
      <c r="G193" s="2" t="n">
        <v>4</v>
      </c>
      <c r="H193" s="2" t="inlineStr">
        <is>
          <t>2025/26</t>
        </is>
      </c>
      <c r="I193" s="2" t="inlineStr">
        <is>
          <t>confirmado_por_zerozero_screenshot_v8</t>
        </is>
      </c>
      <c r="J193" s="2" t="inlineStr">
        <is>
          <t>ZeroZero screenshot enviado pelo utilizador - Prva HNL 2025/26</t>
        </is>
      </c>
      <c r="K193" s="2" t="inlineStr">
        <is>
          <t>Validado com screenshot ZeroZero enviado nesta passagem. Clube normalizado: HNK Rijeka -&gt; hnk rijeka.</t>
        </is>
      </c>
    </row>
    <row r="194">
      <c r="A194" s="1" t="n">
        <v>193</v>
      </c>
      <c r="B194" s="2" t="inlineStr">
        <is>
          <t>Hajduk Split</t>
        </is>
      </c>
      <c r="C194" s="2" t="inlineStr">
        <is>
          <t>Croatian Football League</t>
        </is>
      </c>
      <c r="D194" s="2" t="inlineStr">
        <is>
          <t>Croatia</t>
        </is>
      </c>
      <c r="E194" s="2" t="n">
        <v>1</v>
      </c>
      <c r="F194" s="2" t="inlineStr">
        <is>
          <t>Alta</t>
        </is>
      </c>
      <c r="G194" s="2" t="n">
        <v>2</v>
      </c>
      <c r="H194" s="2" t="inlineStr">
        <is>
          <t>2025/26</t>
        </is>
      </c>
      <c r="I194" s="2" t="inlineStr">
        <is>
          <t>confirmado_por_zerozero_screenshot_v8</t>
        </is>
      </c>
      <c r="J194" s="2" t="inlineStr">
        <is>
          <t>ZeroZero screenshot enviado pelo utilizador - Prva HNL 2025/26</t>
        </is>
      </c>
      <c r="K194" s="2" t="inlineStr">
        <is>
          <t>Validado com screenshot ZeroZero enviado nesta passagem. Clube normalizado: Hajduk Split -&gt; hajduk split.</t>
        </is>
      </c>
    </row>
    <row r="195">
      <c r="A195" s="1" t="n">
        <v>194</v>
      </c>
      <c r="B195" s="2" t="inlineStr">
        <is>
          <t>Hamburger SV</t>
        </is>
      </c>
      <c r="C195" s="2" t="inlineStr">
        <is>
          <t>Bundesliga</t>
        </is>
      </c>
      <c r="D195" s="2" t="inlineStr">
        <is>
          <t>Germany</t>
        </is>
      </c>
      <c r="E195" s="2" t="n">
        <v>4</v>
      </c>
      <c r="F195" s="2" t="inlineStr">
        <is>
          <t>Alta</t>
        </is>
      </c>
      <c r="G195" s="2" t="n">
        <v>13</v>
      </c>
      <c r="H195" s="2" t="inlineStr">
        <is>
          <t>2025/26</t>
        </is>
      </c>
      <c r="I195" s="2" t="inlineStr">
        <is>
          <t>confirmado_por_zerozero_screenshot</t>
        </is>
      </c>
      <c r="J195" s="2" t="inlineStr">
        <is>
          <t>ZeroZero screenshot enviado pelo utilizador - Bundesliga 2025/26</t>
        </is>
      </c>
      <c r="K195" s="2" t="inlineStr">
        <is>
          <t>Validado com a classificação visível no screenshot enviado. Clube normalizado: Hamburger SV -&gt; hamburger sv.</t>
        </is>
      </c>
    </row>
    <row r="196">
      <c r="A196" s="1" t="n">
        <v>195</v>
      </c>
      <c r="B196" s="2" t="inlineStr">
        <is>
          <t>Hannover 96</t>
        </is>
      </c>
      <c r="C196" s="2" t="inlineStr">
        <is>
          <t>2. Bundesliga</t>
        </is>
      </c>
      <c r="D196" s="2" t="inlineStr">
        <is>
          <t>Germany</t>
        </is>
      </c>
      <c r="E196" s="2" t="n">
        <v>2</v>
      </c>
      <c r="F196" s="2" t="inlineStr">
        <is>
          <t>Alta</t>
        </is>
      </c>
      <c r="G196" s="2" t="n">
        <v>4</v>
      </c>
      <c r="H196" s="2" t="inlineStr">
        <is>
          <t>2025/26</t>
        </is>
      </c>
      <c r="I196" s="2" t="inlineStr">
        <is>
          <t>confirmado_por_zerozero_screenshot_v7</t>
        </is>
      </c>
      <c r="J196" s="2" t="inlineStr">
        <is>
          <t>ZeroZero screenshot enviado pelo utilizador - 2. Bundesliga 2025/26</t>
        </is>
      </c>
      <c r="K196" s="2" t="inlineStr">
        <is>
          <t>Validado com screenshot ZeroZero enviado nesta passagem. Clube normalizado: Hannover 96 -&gt; hannover 96.</t>
        </is>
      </c>
    </row>
    <row r="197">
      <c r="A197" s="1" t="n">
        <v>196</v>
      </c>
      <c r="B197" s="2" t="inlineStr">
        <is>
          <t>Hearts</t>
        </is>
      </c>
      <c r="C197" s="2" t="inlineStr">
        <is>
          <t>Scottish Premiership</t>
        </is>
      </c>
      <c r="D197" s="2" t="inlineStr">
        <is>
          <t>Scotland</t>
        </is>
      </c>
      <c r="E197" s="2" t="n">
        <v>3</v>
      </c>
      <c r="F197" s="2" t="inlineStr">
        <is>
          <t>Alta</t>
        </is>
      </c>
      <c r="G197" s="2" t="n">
        <v>1</v>
      </c>
      <c r="H197" s="2" t="inlineStr">
        <is>
          <t>2025/26</t>
        </is>
      </c>
      <c r="I197" s="2" t="inlineStr">
        <is>
          <t>confirmado_por_zerozero_screenshot_v6</t>
        </is>
      </c>
      <c r="J197" s="2" t="inlineStr">
        <is>
          <t>ZeroZero screenshot enviado pelo utilizador - Scottish Premiership 2025/26</t>
        </is>
      </c>
      <c r="K197" s="2" t="inlineStr">
        <is>
          <t>Validado com screenshot ZeroZero enviado nesta passagem. Clube normalizado: Hearts -&gt; hearts.</t>
        </is>
      </c>
    </row>
    <row r="198" ht="16" customHeight="1" s="25">
      <c r="A198" s="1" t="n">
        <v>197</v>
      </c>
      <c r="B198" s="2" t="inlineStr">
        <is>
          <t>Hearts of Oak</t>
        </is>
      </c>
      <c r="C198" s="2" t="inlineStr">
        <is>
          <t>Ghana Premier League</t>
        </is>
      </c>
      <c r="D198" s="2" t="inlineStr">
        <is>
          <t>Ghana</t>
        </is>
      </c>
      <c r="E198" s="2" t="n">
        <v>1</v>
      </c>
      <c r="F198" s="2" t="inlineStr">
        <is>
          <t>Alta</t>
        </is>
      </c>
      <c r="G198" s="3" t="n">
        <v>3</v>
      </c>
      <c r="H198" s="2" t="inlineStr">
        <is>
          <t>2025/26</t>
        </is>
      </c>
      <c r="I198" s="2" t="inlineStr">
        <is>
          <t>por_validar_sem_screenshot_da_liga</t>
        </is>
      </c>
      <c r="J198" s="3" t="n"/>
      <c r="K198" s="2" t="inlineStr">
        <is>
          <t>Não preenchido: falta screenshot/tabela da liga Ghana Premier League na época 2025/26, ou clube não aparece na tabela enviada.</t>
        </is>
      </c>
    </row>
    <row r="199">
      <c r="A199" s="1" t="n">
        <v>198</v>
      </c>
      <c r="B199" s="2" t="inlineStr">
        <is>
          <t>Hellas Verona</t>
        </is>
      </c>
      <c r="C199" s="2" t="inlineStr">
        <is>
          <t>Serie A</t>
        </is>
      </c>
      <c r="D199" s="2" t="inlineStr">
        <is>
          <t>Italy</t>
        </is>
      </c>
      <c r="E199" s="2" t="n">
        <v>1</v>
      </c>
      <c r="F199" s="2" t="inlineStr">
        <is>
          <t>Alta</t>
        </is>
      </c>
      <c r="G199" s="2" t="n">
        <v>19</v>
      </c>
      <c r="H199" s="2" t="inlineStr">
        <is>
          <t>2025/26</t>
        </is>
      </c>
      <c r="I199" s="2" t="inlineStr">
        <is>
          <t>confirmado_por_zerozero_screenshot</t>
        </is>
      </c>
      <c r="J199" s="2" t="inlineStr">
        <is>
          <t>ZeroZero screenshot enviado pelo utilizador - Serie A 2025/26</t>
        </is>
      </c>
      <c r="K199" s="2" t="inlineStr">
        <is>
          <t>Validado com a classificação visível no screenshot enviado. Clube normalizado: Hellas Verona -&gt; hellas verona.</t>
        </is>
      </c>
    </row>
    <row r="200">
      <c r="A200" s="1" t="n">
        <v>199</v>
      </c>
      <c r="B200" s="2" t="inlineStr">
        <is>
          <t>Heracles Almelo</t>
        </is>
      </c>
      <c r="C200" s="2" t="inlineStr">
        <is>
          <t>Eredivisie</t>
        </is>
      </c>
      <c r="D200" s="2" t="inlineStr">
        <is>
          <t>Netherlands</t>
        </is>
      </c>
      <c r="E200" s="2" t="n">
        <v>1</v>
      </c>
      <c r="F200" s="2" t="inlineStr">
        <is>
          <t>Alta</t>
        </is>
      </c>
      <c r="G200" s="2" t="n">
        <v>18</v>
      </c>
      <c r="H200" s="2" t="inlineStr">
        <is>
          <t>2025/26</t>
        </is>
      </c>
      <c r="I200" s="2" t="inlineStr">
        <is>
          <t>confirmado_por_zerozero_screenshot</t>
        </is>
      </c>
      <c r="J200" s="2" t="inlineStr">
        <is>
          <t>ZeroZero screenshot enviado pelo utilizador - Eredivisie 2025/26</t>
        </is>
      </c>
      <c r="K200" s="2" t="inlineStr">
        <is>
          <t>Validado com a classificação visível no screenshot enviado. Clube normalizado: Heracles Almelo -&gt; heracles almelo.</t>
        </is>
      </c>
    </row>
    <row r="201">
      <c r="A201" s="1" t="n">
        <v>200</v>
      </c>
      <c r="B201" s="2" t="inlineStr">
        <is>
          <t>Hibernian</t>
        </is>
      </c>
      <c r="C201" s="2" t="inlineStr">
        <is>
          <t>Scottish Premiership</t>
        </is>
      </c>
      <c r="D201" s="2" t="inlineStr">
        <is>
          <t>Scotland</t>
        </is>
      </c>
      <c r="E201" s="2" t="n">
        <v>1</v>
      </c>
      <c r="F201" s="2" t="inlineStr">
        <is>
          <t>Alta</t>
        </is>
      </c>
      <c r="G201" s="2" t="n">
        <v>5</v>
      </c>
      <c r="H201" s="2" t="inlineStr">
        <is>
          <t>2025/26</t>
        </is>
      </c>
      <c r="I201" s="2" t="inlineStr">
        <is>
          <t>confirmado_por_zerozero_screenshot_v6</t>
        </is>
      </c>
      <c r="J201" s="2" t="inlineStr">
        <is>
          <t>ZeroZero screenshot enviado pelo utilizador - Scottish Premiership 2025/26</t>
        </is>
      </c>
      <c r="K201" s="2" t="inlineStr">
        <is>
          <t>Validado com screenshot ZeroZero enviado nesta passagem. Clube normalizado: Hibernian -&gt; hibernian.</t>
        </is>
      </c>
    </row>
    <row r="202">
      <c r="A202" s="1" t="n">
        <v>201</v>
      </c>
      <c r="B202" s="2" t="inlineStr">
        <is>
          <t>Holstein Kiel</t>
        </is>
      </c>
      <c r="C202" s="2" t="inlineStr">
        <is>
          <t>2. Bundesliga</t>
        </is>
      </c>
      <c r="D202" s="2" t="inlineStr">
        <is>
          <t>Germany</t>
        </is>
      </c>
      <c r="E202" s="2" t="n">
        <v>1</v>
      </c>
      <c r="F202" s="2" t="inlineStr">
        <is>
          <t>Alta</t>
        </is>
      </c>
      <c r="G202" s="2" t="n">
        <v>12</v>
      </c>
      <c r="H202" s="2" t="inlineStr">
        <is>
          <t>2025/26</t>
        </is>
      </c>
      <c r="I202" s="2" t="inlineStr">
        <is>
          <t>confirmado_por_zerozero_screenshot_v7</t>
        </is>
      </c>
      <c r="J202" s="2" t="inlineStr">
        <is>
          <t>ZeroZero screenshot enviado pelo utilizador - 2. Bundesliga 2025/26</t>
        </is>
      </c>
      <c r="K202" s="2" t="inlineStr">
        <is>
          <t>Validado com screenshot ZeroZero enviado nesta passagem. Clube normalizado: Holstein Kiel -&gt; holstein kiel.</t>
        </is>
      </c>
    </row>
    <row r="203">
      <c r="A203" s="1" t="n">
        <v>202</v>
      </c>
      <c r="B203" s="2" t="inlineStr">
        <is>
          <t>Hull City</t>
        </is>
      </c>
      <c r="C203" s="2" t="inlineStr">
        <is>
          <t>EFL Championship</t>
        </is>
      </c>
      <c r="D203" s="2" t="inlineStr">
        <is>
          <t>England</t>
        </is>
      </c>
      <c r="E203" s="2" t="n">
        <v>3</v>
      </c>
      <c r="F203" s="2" t="inlineStr">
        <is>
          <t>Alta</t>
        </is>
      </c>
      <c r="G203" s="2" t="n">
        <v>6</v>
      </c>
      <c r="H203" s="2" t="inlineStr">
        <is>
          <t>2025/26</t>
        </is>
      </c>
      <c r="I203" s="2" t="inlineStr">
        <is>
          <t>confirmado_por_zerozero_screenshot_v5</t>
        </is>
      </c>
      <c r="J203" s="2" t="inlineStr">
        <is>
          <t>ZeroZero screenshot enviado pelo utilizador - Championship 2025/26</t>
        </is>
      </c>
      <c r="K203" s="2" t="inlineStr">
        <is>
          <t>Validado com screenshot ZeroZero enviado nesta passagem. Clube normalizado: Hull City -&gt; hull city.</t>
        </is>
      </c>
    </row>
    <row r="204">
      <c r="A204" s="1" t="n">
        <v>203</v>
      </c>
      <c r="B204" s="2" t="inlineStr">
        <is>
          <t>Huracán</t>
        </is>
      </c>
      <c r="C204" s="2" t="inlineStr">
        <is>
          <t>Argentine Primera División</t>
        </is>
      </c>
      <c r="D204" s="2" t="inlineStr">
        <is>
          <t>Argentina</t>
        </is>
      </c>
      <c r="E204" s="2" t="n">
        <v>2</v>
      </c>
      <c r="F204" s="2" t="inlineStr">
        <is>
          <t>Alta</t>
        </is>
      </c>
      <c r="G204" s="2" t="n">
        <v>7</v>
      </c>
      <c r="H204" s="2" t="n">
        <v>2026</v>
      </c>
      <c r="I204" s="2" t="inlineStr">
        <is>
          <t>confirmado_por_zerozero_screenshot_v5</t>
        </is>
      </c>
      <c r="J204" s="2" t="inlineStr">
        <is>
          <t>ZeroZero screenshot enviado pelo utilizador - Torneo Apertura 2026, 1.ª fase/grupos</t>
        </is>
      </c>
      <c r="K204" s="2" t="inlineStr">
        <is>
          <t>Validado com screenshot ZeroZero enviado nesta passagem. Clube normalizado: Huracán -&gt; huracan.</t>
        </is>
      </c>
    </row>
    <row r="205" ht="16" customHeight="1" s="25">
      <c r="A205" s="1" t="n">
        <v>204</v>
      </c>
      <c r="B205" s="2" t="inlineStr">
        <is>
          <t>IFK Norrköping</t>
        </is>
      </c>
      <c r="C205" s="2" t="inlineStr">
        <is>
          <t>Allsvenskan</t>
        </is>
      </c>
      <c r="D205" s="2" t="inlineStr">
        <is>
          <t>Sweden</t>
        </is>
      </c>
      <c r="E205" s="2" t="n">
        <v>1</v>
      </c>
      <c r="F205" s="2" t="inlineStr">
        <is>
          <t>Alta</t>
        </is>
      </c>
      <c r="G205" s="3" t="n">
        <v>3</v>
      </c>
      <c r="H205" s="2" t="n">
        <v>2026</v>
      </c>
      <c r="I205" s="2" t="inlineStr">
        <is>
          <t>por_validar_sem_screenshot_da_liga</t>
        </is>
      </c>
      <c r="J205" s="3" t="n"/>
      <c r="K205" s="2" t="inlineStr">
        <is>
          <t>Não preenchido: falta screenshot/tabela da liga Allsvenskan na época 2026, ou clube não aparece na tabela enviada.</t>
        </is>
      </c>
    </row>
    <row r="206" ht="16" customHeight="1" s="25">
      <c r="A206" s="1" t="n">
        <v>205</v>
      </c>
      <c r="B206" s="2" t="inlineStr">
        <is>
          <t>Igdir FK</t>
        </is>
      </c>
      <c r="C206" s="2" t="inlineStr">
        <is>
          <t>TFF 1. Lig</t>
        </is>
      </c>
      <c r="D206" s="2" t="inlineStr">
        <is>
          <t>Turkey</t>
        </is>
      </c>
      <c r="E206" s="2" t="n">
        <v>2</v>
      </c>
      <c r="F206" s="2" t="inlineStr">
        <is>
          <t>Alta</t>
        </is>
      </c>
      <c r="G206" s="3" t="n">
        <v>13</v>
      </c>
      <c r="H206" s="2" t="inlineStr">
        <is>
          <t>2025/26</t>
        </is>
      </c>
      <c r="I206" s="2" t="inlineStr">
        <is>
          <t>por_validar_sem_screenshot_da_liga</t>
        </is>
      </c>
      <c r="J206" s="3" t="n"/>
      <c r="K206" s="2" t="inlineStr">
        <is>
          <t>Não preenchido: falta screenshot/tabela da liga TFF 1. Lig na época 2025/26, ou clube não aparece na tabela enviada.</t>
        </is>
      </c>
    </row>
    <row r="207">
      <c r="A207" s="1" t="n">
        <v>206</v>
      </c>
      <c r="B207" s="2" t="inlineStr">
        <is>
          <t>Independiente</t>
        </is>
      </c>
      <c r="C207" s="2" t="inlineStr">
        <is>
          <t>Argentine Primera División</t>
        </is>
      </c>
      <c r="D207" s="2" t="inlineStr">
        <is>
          <t>Argentina</t>
        </is>
      </c>
      <c r="E207" s="2" t="n">
        <v>2</v>
      </c>
      <c r="F207" s="2" t="inlineStr">
        <is>
          <t>Alta</t>
        </is>
      </c>
      <c r="G207" s="2" t="n">
        <v>5</v>
      </c>
      <c r="H207" s="2" t="n">
        <v>2026</v>
      </c>
      <c r="I207" s="2" t="inlineStr">
        <is>
          <t>confirmado_por_zerozero_screenshot_v5</t>
        </is>
      </c>
      <c r="J207" s="2" t="inlineStr">
        <is>
          <t>ZeroZero screenshot enviado pelo utilizador - Torneo Apertura 2026, 1.ª fase/grupos</t>
        </is>
      </c>
      <c r="K207" s="2" t="inlineStr">
        <is>
          <t>Validado com screenshot ZeroZero enviado nesta passagem. Clube normalizado: Independiente -&gt; independiente.</t>
        </is>
      </c>
    </row>
    <row r="208">
      <c r="A208" s="1" t="n">
        <v>207</v>
      </c>
      <c r="B208" s="2" t="inlineStr">
        <is>
          <t>Independiente Rivadavia</t>
        </is>
      </c>
      <c r="C208" s="2" t="inlineStr">
        <is>
          <t>Argentine Primera División</t>
        </is>
      </c>
      <c r="D208" s="2" t="inlineStr">
        <is>
          <t>Argentina</t>
        </is>
      </c>
      <c r="E208" s="2" t="n">
        <v>1</v>
      </c>
      <c r="F208" s="2" t="inlineStr">
        <is>
          <t>Alta</t>
        </is>
      </c>
      <c r="G208" s="2" t="n">
        <v>1</v>
      </c>
      <c r="H208" s="2" t="n">
        <v>2026</v>
      </c>
      <c r="I208" s="2" t="inlineStr">
        <is>
          <t>confirmado_por_zerozero_screenshot_v5</t>
        </is>
      </c>
      <c r="J208" s="2" t="inlineStr">
        <is>
          <t>ZeroZero screenshot enviado pelo utilizador - Torneo Apertura 2026, 1.ª fase/grupos</t>
        </is>
      </c>
      <c r="K208" s="2" t="inlineStr">
        <is>
          <t>Validado com screenshot ZeroZero enviado nesta passagem. Clube normalizado: Independiente Rivadavia -&gt; independiente rivadavia.</t>
        </is>
      </c>
    </row>
    <row r="209" ht="16" customHeight="1" s="25">
      <c r="A209" s="1" t="n">
        <v>208</v>
      </c>
      <c r="B209" s="2" t="inlineStr">
        <is>
          <t>Independiente del Valle</t>
        </is>
      </c>
      <c r="C209" s="2" t="inlineStr">
        <is>
          <t>Ecuadorian Serie A</t>
        </is>
      </c>
      <c r="D209" s="2" t="inlineStr">
        <is>
          <t>Ecuador</t>
        </is>
      </c>
      <c r="E209" s="2" t="n">
        <v>1</v>
      </c>
      <c r="F209" s="2" t="inlineStr">
        <is>
          <t>Alta</t>
        </is>
      </c>
      <c r="G209" s="3" t="n">
        <v>1</v>
      </c>
      <c r="H209" s="2" t="inlineStr">
        <is>
          <t>2025/26</t>
        </is>
      </c>
      <c r="I209" s="2" t="inlineStr">
        <is>
          <t>por_validar_sem_screenshot_da_liga</t>
        </is>
      </c>
      <c r="J209" s="3" t="n"/>
      <c r="K209" s="2" t="inlineStr">
        <is>
          <t>Não preenchido: falta screenshot/tabela da liga Ecuadorian Serie A na época 2025/26, ou clube não aparece na tabela enviada.</t>
        </is>
      </c>
    </row>
    <row r="210">
      <c r="A210" s="1" t="n">
        <v>209</v>
      </c>
      <c r="B210" s="2" t="inlineStr">
        <is>
          <t>Inter Miami CF</t>
        </is>
      </c>
      <c r="C210" s="2" t="inlineStr">
        <is>
          <t>Major League Soccer</t>
        </is>
      </c>
      <c r="D210" s="2" t="inlineStr">
        <is>
          <t>United States/Canada</t>
        </is>
      </c>
      <c r="E210" s="2" t="n">
        <v>3</v>
      </c>
      <c r="F210" s="2" t="inlineStr">
        <is>
          <t>Alta</t>
        </is>
      </c>
      <c r="G210" s="2" t="n">
        <v>2</v>
      </c>
      <c r="H210" s="2" t="n">
        <v>2026</v>
      </c>
      <c r="I210" s="2" t="inlineStr">
        <is>
          <t>confirmado_por_zerozero_screenshot</t>
        </is>
      </c>
      <c r="J210" s="2" t="inlineStr">
        <is>
          <t>ZeroZero screenshot enviado pelo utilizador - MLS 2026, posição na conferência</t>
        </is>
      </c>
      <c r="K210" s="2" t="inlineStr">
        <is>
          <t>Validado com a classificação visível no screenshot enviado. Clube normalizado: Inter Miami CF -&gt; inter miami cf.</t>
        </is>
      </c>
    </row>
    <row r="211">
      <c r="A211" s="1" t="n">
        <v>210</v>
      </c>
      <c r="B211" s="2" t="inlineStr">
        <is>
          <t>Internacional</t>
        </is>
      </c>
      <c r="C211" s="2" t="inlineStr">
        <is>
          <t>Campeonato Brasileiro Série A</t>
        </is>
      </c>
      <c r="D211" s="2" t="inlineStr">
        <is>
          <t>Brazil</t>
        </is>
      </c>
      <c r="E211" s="2" t="n">
        <v>2</v>
      </c>
      <c r="F211" s="2" t="inlineStr">
        <is>
          <t>Alta</t>
        </is>
      </c>
      <c r="G211" s="2" t="n">
        <v>14</v>
      </c>
      <c r="H211" s="2" t="n">
        <v>2026</v>
      </c>
      <c r="I211" s="2" t="inlineStr">
        <is>
          <t>confirmado_por_zerozero_screenshot</t>
        </is>
      </c>
      <c r="J211" s="2" t="inlineStr">
        <is>
          <t>ZeroZero screenshot enviado pelo utilizador - Brasileirão Série A 2026</t>
        </is>
      </c>
      <c r="K211" s="2" t="inlineStr">
        <is>
          <t>Validado com a classificação visível no screenshot enviado. Clube normalizado: Internacional -&gt; internacional.</t>
        </is>
      </c>
    </row>
    <row r="212">
      <c r="A212" s="1" t="n">
        <v>211</v>
      </c>
      <c r="B212" s="2" t="inlineStr">
        <is>
          <t>Internazionale</t>
        </is>
      </c>
      <c r="C212" s="2" t="inlineStr">
        <is>
          <t>Serie A</t>
        </is>
      </c>
      <c r="D212" s="2" t="inlineStr">
        <is>
          <t>Italy</t>
        </is>
      </c>
      <c r="E212" s="2" t="n">
        <v>8</v>
      </c>
      <c r="F212" s="2" t="inlineStr">
        <is>
          <t>Alta</t>
        </is>
      </c>
      <c r="G212" s="2" t="n">
        <v>1</v>
      </c>
      <c r="H212" s="2" t="inlineStr">
        <is>
          <t>2025/26</t>
        </is>
      </c>
      <c r="I212" s="2" t="inlineStr">
        <is>
          <t>confirmado_por_zerozero_screenshot</t>
        </is>
      </c>
      <c r="J212" s="2" t="inlineStr">
        <is>
          <t>ZeroZero screenshot enviado pelo utilizador - Serie A 2025/26</t>
        </is>
      </c>
      <c r="K212" s="2" t="inlineStr">
        <is>
          <t>Validado com a classificação visível no screenshot enviado. Clube normalizado: Internazionale -&gt; internazionale.</t>
        </is>
      </c>
    </row>
    <row r="213">
      <c r="A213" s="1" t="n">
        <v>212</v>
      </c>
      <c r="B213" s="2" t="inlineStr">
        <is>
          <t>Ipswich Town</t>
        </is>
      </c>
      <c r="C213" s="2" t="inlineStr">
        <is>
          <t>EFL Championship</t>
        </is>
      </c>
      <c r="D213" s="2" t="inlineStr">
        <is>
          <t>England</t>
        </is>
      </c>
      <c r="E213" s="2" t="n">
        <v>1</v>
      </c>
      <c r="F213" s="2" t="inlineStr">
        <is>
          <t>Alta</t>
        </is>
      </c>
      <c r="G213" s="2" t="n">
        <v>2</v>
      </c>
      <c r="H213" s="2" t="inlineStr">
        <is>
          <t>2025/26</t>
        </is>
      </c>
      <c r="I213" s="2" t="inlineStr">
        <is>
          <t>confirmado_por_zerozero_screenshot_v5</t>
        </is>
      </c>
      <c r="J213" s="2" t="inlineStr">
        <is>
          <t>ZeroZero screenshot enviado pelo utilizador - Championship 2025/26</t>
        </is>
      </c>
      <c r="K213" s="2" t="inlineStr">
        <is>
          <t>Validado com screenshot ZeroZero enviado nesta passagem. Clube normalizado: Ipswich Town -&gt; ipswich town.</t>
        </is>
      </c>
    </row>
    <row r="214" ht="16" customHeight="1" s="25">
      <c r="A214" s="1" t="n">
        <v>213</v>
      </c>
      <c r="B214" s="2" t="inlineStr">
        <is>
          <t>JS Kabylie</t>
        </is>
      </c>
      <c r="C214" s="2" t="inlineStr">
        <is>
          <t>Algerian Ligue Professionnelle 1</t>
        </is>
      </c>
      <c r="D214" s="2" t="inlineStr">
        <is>
          <t>Algeria</t>
        </is>
      </c>
      <c r="E214" s="2" t="n">
        <v>1</v>
      </c>
      <c r="F214" s="2" t="inlineStr">
        <is>
          <t>Alta</t>
        </is>
      </c>
      <c r="G214" s="3" t="n">
        <v>5</v>
      </c>
      <c r="H214" s="2" t="inlineStr">
        <is>
          <t>2025/26</t>
        </is>
      </c>
      <c r="I214" s="2" t="inlineStr">
        <is>
          <t>por_validar_sem_screenshot_da_liga</t>
        </is>
      </c>
      <c r="J214" s="3" t="n"/>
      <c r="K214" s="2" t="inlineStr">
        <is>
          <t>Não preenchido: falta screenshot/tabela da liga Algerian Ligue Professionnelle 1 na época 2025/26, ou clube não aparece na tabela enviada.</t>
        </is>
      </c>
    </row>
    <row r="215">
      <c r="A215" s="1" t="n">
        <v>214</v>
      </c>
      <c r="B215" s="2" t="inlineStr">
        <is>
          <t>Jagiellonia Bialystok</t>
        </is>
      </c>
      <c r="C215" s="2" t="inlineStr">
        <is>
          <t>Ekstraklasa</t>
        </is>
      </c>
      <c r="D215" s="2" t="inlineStr">
        <is>
          <t>Poland</t>
        </is>
      </c>
      <c r="E215" s="2" t="n">
        <v>1</v>
      </c>
      <c r="F215" s="2" t="inlineStr">
        <is>
          <t>Alta</t>
        </is>
      </c>
      <c r="G215" s="2" t="n">
        <v>3</v>
      </c>
      <c r="H215" s="2" t="inlineStr">
        <is>
          <t>2025/26</t>
        </is>
      </c>
      <c r="I215" s="2" t="inlineStr">
        <is>
          <t>confirmado_por_zerozero_screenshot_v9</t>
        </is>
      </c>
      <c r="J215" s="2" t="inlineStr">
        <is>
          <t>ZeroZero screenshot enviado pelo utilizador - Ekstraklasa 2025/26 tabela correta</t>
        </is>
      </c>
      <c r="K215" s="2" t="inlineStr">
        <is>
          <t>Validado com screenshot ZeroZero enviado nesta passagem. Clube normalizado: Jagiellonia Bialystok -&gt; jagiellonia bialystok.</t>
        </is>
      </c>
    </row>
    <row r="216">
      <c r="A216" s="1" t="n">
        <v>215</v>
      </c>
      <c r="B216" s="2" t="inlineStr">
        <is>
          <t>Jeonbuk Motors</t>
        </is>
      </c>
      <c r="C216" s="2" t="inlineStr">
        <is>
          <t>K League 1</t>
        </is>
      </c>
      <c r="D216" s="2" t="inlineStr">
        <is>
          <t>South Korea</t>
        </is>
      </c>
      <c r="E216" s="2" t="n">
        <v>3</v>
      </c>
      <c r="F216" s="2" t="inlineStr">
        <is>
          <t>Alta</t>
        </is>
      </c>
      <c r="G216" s="2" t="n">
        <v>2</v>
      </c>
      <c r="H216" s="2" t="n">
        <v>2026</v>
      </c>
      <c r="I216" s="2" t="inlineStr">
        <is>
          <t>confirmado_por_zerozero_screenshot_v8</t>
        </is>
      </c>
      <c r="J216" s="2" t="inlineStr">
        <is>
          <t>ZeroZero screenshot enviado pelo utilizador - K League 1 2026</t>
        </is>
      </c>
      <c r="K216" s="2" t="inlineStr">
        <is>
          <t>Validado com screenshot ZeroZero enviado nesta passagem. Clube normalizado: Jeonbuk Motors -&gt; jeonbuk motors.</t>
        </is>
      </c>
    </row>
    <row r="217">
      <c r="A217" s="1" t="n">
        <v>216</v>
      </c>
      <c r="B217" s="2" t="inlineStr">
        <is>
          <t>Juventus</t>
        </is>
      </c>
      <c r="C217" s="2" t="inlineStr">
        <is>
          <t>Serie A</t>
        </is>
      </c>
      <c r="D217" s="2" t="inlineStr">
        <is>
          <t>Italy</t>
        </is>
      </c>
      <c r="E217" s="2" t="n">
        <v>7</v>
      </c>
      <c r="F217" s="2" t="inlineStr">
        <is>
          <t>Alta</t>
        </is>
      </c>
      <c r="G217" s="2" t="n">
        <v>6</v>
      </c>
      <c r="H217" s="2" t="inlineStr">
        <is>
          <t>2025/26</t>
        </is>
      </c>
      <c r="I217" s="2" t="inlineStr">
        <is>
          <t>confirmado_por_zerozero_screenshot</t>
        </is>
      </c>
      <c r="J217" s="2" t="inlineStr">
        <is>
          <t>ZeroZero screenshot enviado pelo utilizador - Serie A 2025/26</t>
        </is>
      </c>
      <c r="K217" s="2" t="inlineStr">
        <is>
          <t>Validado com a classificação visível no screenshot enviado. Clube normalizado: Juventus -&gt; juventus.</t>
        </is>
      </c>
    </row>
    <row r="218">
      <c r="A218" s="1" t="n">
        <v>217</v>
      </c>
      <c r="B218" s="2" t="inlineStr">
        <is>
          <t>KS Cracovia</t>
        </is>
      </c>
      <c r="C218" s="2" t="inlineStr">
        <is>
          <t>Ekstraklasa</t>
        </is>
      </c>
      <c r="D218" s="2" t="inlineStr">
        <is>
          <t>Poland</t>
        </is>
      </c>
      <c r="E218" s="2" t="n">
        <v>1</v>
      </c>
      <c r="F218" s="2" t="inlineStr">
        <is>
          <t>Alta</t>
        </is>
      </c>
      <c r="G218" s="2" t="n">
        <v>13</v>
      </c>
      <c r="H218" s="2" t="inlineStr">
        <is>
          <t>2025/26</t>
        </is>
      </c>
      <c r="I218" s="2" t="inlineStr">
        <is>
          <t>confirmado_por_zerozero_screenshot_v9</t>
        </is>
      </c>
      <c r="J218" s="2" t="inlineStr">
        <is>
          <t>ZeroZero screenshot enviado pelo utilizador - Ekstraklasa 2025/26 tabela correta</t>
        </is>
      </c>
      <c r="K218" s="2" t="inlineStr">
        <is>
          <t>Validado com screenshot ZeroZero enviado nesta passagem. Clube normalizado: KS Cracovia -&gt; ks cracovia.</t>
        </is>
      </c>
    </row>
    <row r="219">
      <c r="A219" s="1" t="n">
        <v>218</v>
      </c>
      <c r="B219" s="2" t="inlineStr">
        <is>
          <t>KV Mechelen</t>
        </is>
      </c>
      <c r="C219" s="2" t="inlineStr">
        <is>
          <t>Belgian Pro League</t>
        </is>
      </c>
      <c r="D219" s="2" t="inlineStr">
        <is>
          <t>Belgium</t>
        </is>
      </c>
      <c r="E219" s="2" t="n">
        <v>1</v>
      </c>
      <c r="F219" s="2" t="inlineStr">
        <is>
          <t>Alta</t>
        </is>
      </c>
      <c r="G219" s="2" t="n">
        <v>5</v>
      </c>
      <c r="H219" s="2" t="inlineStr">
        <is>
          <t>2025/26</t>
        </is>
      </c>
      <c r="I219" s="2" t="inlineStr">
        <is>
          <t>confirmado_por_zerozero_screenshot</t>
        </is>
      </c>
      <c r="J219" s="2" t="inlineStr">
        <is>
          <t>ZeroZero screenshot enviado pelo utilizador - Jupiler Pro League fase regular 2025/26</t>
        </is>
      </c>
      <c r="K219" s="2" t="inlineStr">
        <is>
          <t>Validado com a classificação visível no screenshot enviado. Clube normalizado: KV Mechelen -&gt; kv mechelen.</t>
        </is>
      </c>
    </row>
    <row r="220">
      <c r="A220" s="1" t="n">
        <v>219</v>
      </c>
      <c r="B220" s="2" t="inlineStr">
        <is>
          <t>Kaizer Chiefs</t>
        </is>
      </c>
      <c r="C220" s="2" t="inlineStr">
        <is>
          <t>South African Premiership</t>
        </is>
      </c>
      <c r="D220" s="2" t="inlineStr">
        <is>
          <t>South Africa</t>
        </is>
      </c>
      <c r="E220" s="2" t="n">
        <v>1</v>
      </c>
      <c r="F220" s="2" t="inlineStr">
        <is>
          <t>Alta</t>
        </is>
      </c>
      <c r="G220" s="2" t="n">
        <v>3</v>
      </c>
      <c r="H220" s="2" t="inlineStr">
        <is>
          <t>2025/26</t>
        </is>
      </c>
      <c r="I220" s="2" t="inlineStr">
        <is>
          <t>confirmado_por_zerozero_screenshot_v7</t>
        </is>
      </c>
      <c r="J220" s="2" t="inlineStr">
        <is>
          <t>ZeroZero screenshot enviado pelo utilizador - Liga Sul-Africana 2025/26</t>
        </is>
      </c>
      <c r="K220" s="2" t="inlineStr">
        <is>
          <t>Validado com screenshot ZeroZero enviado nesta passagem. Clube normalizado: Kaizer Chiefs -&gt; kaizer chiefs.</t>
        </is>
      </c>
    </row>
    <row r="221">
      <c r="A221" s="1" t="n">
        <v>220</v>
      </c>
      <c r="B221" s="2" t="inlineStr">
        <is>
          <t>Karlsruher SC</t>
        </is>
      </c>
      <c r="C221" s="2" t="inlineStr">
        <is>
          <t>2. Bundesliga</t>
        </is>
      </c>
      <c r="D221" s="2" t="inlineStr">
        <is>
          <t>Germany</t>
        </is>
      </c>
      <c r="E221" s="2" t="n">
        <v>1</v>
      </c>
      <c r="F221" s="2" t="inlineStr">
        <is>
          <t>Alta</t>
        </is>
      </c>
      <c r="G221" s="2" t="n">
        <v>10</v>
      </c>
      <c r="H221" s="2" t="inlineStr">
        <is>
          <t>2025/26</t>
        </is>
      </c>
      <c r="I221" s="2" t="inlineStr">
        <is>
          <t>confirmado_por_zerozero_screenshot_v7</t>
        </is>
      </c>
      <c r="J221" s="2" t="inlineStr">
        <is>
          <t>ZeroZero screenshot enviado pelo utilizador - 2. Bundesliga 2025/26</t>
        </is>
      </c>
      <c r="K221" s="2" t="inlineStr">
        <is>
          <t>Validado com screenshot ZeroZero enviado nesta passagem. Clube normalizado: Karlsruher SC -&gt; karlsruher sc.</t>
        </is>
      </c>
    </row>
    <row r="222">
      <c r="A222" s="1" t="n">
        <v>221</v>
      </c>
      <c r="B222" s="2" t="inlineStr">
        <is>
          <t>Kashima Antlers</t>
        </is>
      </c>
      <c r="C222" s="2" t="inlineStr">
        <is>
          <t>J1 League</t>
        </is>
      </c>
      <c r="D222" s="2" t="inlineStr">
        <is>
          <t>Japan</t>
        </is>
      </c>
      <c r="E222" s="2" t="n">
        <v>2</v>
      </c>
      <c r="F222" s="2" t="inlineStr">
        <is>
          <t>Alta</t>
        </is>
      </c>
      <c r="G222" s="2" t="n">
        <v>1</v>
      </c>
      <c r="H222" s="2" t="n">
        <v>2026</v>
      </c>
      <c r="I222" s="2" t="inlineStr">
        <is>
          <t>confirmado_por_zerozero_screenshot_v6</t>
        </is>
      </c>
      <c r="J222" s="2" t="inlineStr">
        <is>
          <t>ZeroZero screenshot enviado pelo utilizador - J1 League 2026</t>
        </is>
      </c>
      <c r="K222" s="2" t="inlineStr">
        <is>
          <t>Validado com screenshot ZeroZero enviado nesta passagem. Clube normalizado: Kashima Antlers -&gt; kashima antlers.</t>
        </is>
      </c>
    </row>
    <row r="223">
      <c r="A223" s="1" t="n">
        <v>222</v>
      </c>
      <c r="B223" s="2" t="inlineStr">
        <is>
          <t>Kasimpasa</t>
        </is>
      </c>
      <c r="C223" s="2" t="inlineStr">
        <is>
          <t>Süper Lig</t>
        </is>
      </c>
      <c r="D223" s="2" t="inlineStr">
        <is>
          <t>Turkey</t>
        </is>
      </c>
      <c r="E223" s="2" t="n">
        <v>3</v>
      </c>
      <c r="F223" s="2" t="inlineStr">
        <is>
          <t>Alta</t>
        </is>
      </c>
      <c r="G223" s="2" t="n">
        <v>13</v>
      </c>
      <c r="H223" s="2" t="inlineStr">
        <is>
          <t>2025/26</t>
        </is>
      </c>
      <c r="I223" s="2" t="inlineStr">
        <is>
          <t>confirmado_por_zerozero_screenshot</t>
        </is>
      </c>
      <c r="J223" s="2" t="inlineStr">
        <is>
          <t>ZeroZero screenshot enviado pelo utilizador - Süper Lig 2025/26</t>
        </is>
      </c>
      <c r="K223" s="2" t="inlineStr">
        <is>
          <t>Validado com a classificação visível no screenshot enviado. Clube normalizado: Kasimpasa -&gt; kasimpasa.</t>
        </is>
      </c>
    </row>
    <row r="224">
      <c r="A224" s="1" t="n">
        <v>223</v>
      </c>
      <c r="B224" s="2" t="inlineStr">
        <is>
          <t>Kayserispor</t>
        </is>
      </c>
      <c r="C224" s="2" t="inlineStr">
        <is>
          <t>Süper Lig</t>
        </is>
      </c>
      <c r="D224" s="2" t="inlineStr">
        <is>
          <t>Turkey</t>
        </is>
      </c>
      <c r="E224" s="2" t="n">
        <v>1</v>
      </c>
      <c r="F224" s="2" t="inlineStr">
        <is>
          <t>Alta</t>
        </is>
      </c>
      <c r="G224" s="2" t="n">
        <v>17</v>
      </c>
      <c r="H224" s="2" t="inlineStr">
        <is>
          <t>2025/26</t>
        </is>
      </c>
      <c r="I224" s="2" t="inlineStr">
        <is>
          <t>confirmado_por_zerozero_screenshot</t>
        </is>
      </c>
      <c r="J224" s="2" t="inlineStr">
        <is>
          <t>ZeroZero screenshot enviado pelo utilizador - Süper Lig 2025/26</t>
        </is>
      </c>
      <c r="K224" s="2" t="inlineStr">
        <is>
          <t>Validado com a classificação visível no screenshot enviado. Clube normalizado: Kayserispor -&gt; kayserispor.</t>
        </is>
      </c>
    </row>
    <row r="225">
      <c r="A225" s="1" t="n">
        <v>224</v>
      </c>
      <c r="B225" s="2" t="inlineStr">
        <is>
          <t>Kifisias</t>
        </is>
      </c>
      <c r="C225" s="2" t="inlineStr">
        <is>
          <t>Super League Greece</t>
        </is>
      </c>
      <c r="D225" s="2" t="inlineStr">
        <is>
          <t>Greece</t>
        </is>
      </c>
      <c r="E225" s="2" t="n">
        <v>2</v>
      </c>
      <c r="F225" s="2" t="inlineStr">
        <is>
          <t>Alta</t>
        </is>
      </c>
      <c r="G225" s="2" t="n">
        <v>10</v>
      </c>
      <c r="H225" s="2" t="inlineStr">
        <is>
          <t>2025/26</t>
        </is>
      </c>
      <c r="I225" s="2" t="inlineStr">
        <is>
          <t>confirmado_por_zerozero_screenshot_v5</t>
        </is>
      </c>
      <c r="J225" s="2" t="inlineStr">
        <is>
          <t>ZeroZero screenshot enviado pelo utilizador - Super League Greece 2025/26</t>
        </is>
      </c>
      <c r="K225" s="2" t="inlineStr">
        <is>
          <t>Validado com screenshot ZeroZero enviado nesta passagem. Clube normalizado: Kifisias -&gt; kifisias.</t>
        </is>
      </c>
    </row>
    <row r="226">
      <c r="A226" s="1" t="n">
        <v>225</v>
      </c>
      <c r="B226" s="2" t="inlineStr">
        <is>
          <t>Kilmarnock</t>
        </is>
      </c>
      <c r="C226" s="2" t="inlineStr">
        <is>
          <t>Scottish Premiership</t>
        </is>
      </c>
      <c r="D226" s="2" t="inlineStr">
        <is>
          <t>Scotland</t>
        </is>
      </c>
      <c r="E226" s="2" t="n">
        <v>2</v>
      </c>
      <c r="F226" s="2" t="inlineStr">
        <is>
          <t>Alta</t>
        </is>
      </c>
      <c r="G226" s="2" t="n">
        <v>11</v>
      </c>
      <c r="H226" s="2" t="inlineStr">
        <is>
          <t>2025/26</t>
        </is>
      </c>
      <c r="I226" s="2" t="inlineStr">
        <is>
          <t>confirmado_por_zerozero_screenshot_v6</t>
        </is>
      </c>
      <c r="J226" s="2" t="inlineStr">
        <is>
          <t>ZeroZero screenshot enviado pelo utilizador - Scottish Premiership 2025/26</t>
        </is>
      </c>
      <c r="K226" s="2" t="inlineStr">
        <is>
          <t>Validado com screenshot ZeroZero enviado nesta passagem. Clube normalizado: Kilmarnock -&gt; kilmarnock.</t>
        </is>
      </c>
    </row>
    <row r="227">
      <c r="A227" s="1" t="n">
        <v>226</v>
      </c>
      <c r="B227" s="2" t="inlineStr">
        <is>
          <t>Konyaspor</t>
        </is>
      </c>
      <c r="C227" s="2" t="inlineStr">
        <is>
          <t>Süper Lig</t>
        </is>
      </c>
      <c r="D227" s="2" t="inlineStr">
        <is>
          <t>Turkey</t>
        </is>
      </c>
      <c r="E227" s="2" t="n">
        <v>1</v>
      </c>
      <c r="F227" s="2" t="inlineStr">
        <is>
          <t>Alta</t>
        </is>
      </c>
      <c r="G227" s="2" t="n">
        <v>9</v>
      </c>
      <c r="H227" s="2" t="inlineStr">
        <is>
          <t>2025/26</t>
        </is>
      </c>
      <c r="I227" s="2" t="inlineStr">
        <is>
          <t>confirmado_por_zerozero_screenshot</t>
        </is>
      </c>
      <c r="J227" s="2" t="inlineStr">
        <is>
          <t>ZeroZero screenshot enviado pelo utilizador - Süper Lig 2025/26</t>
        </is>
      </c>
      <c r="K227" s="2" t="inlineStr">
        <is>
          <t>Validado com a classificação visível no screenshot enviado. Clube normalizado: Konyaspor -&gt; konyaspor.</t>
        </is>
      </c>
    </row>
    <row r="228">
      <c r="A228" s="1" t="n">
        <v>227</v>
      </c>
      <c r="B228" s="2" t="inlineStr">
        <is>
          <t>LASK Linz</t>
        </is>
      </c>
      <c r="C228" s="2" t="inlineStr">
        <is>
          <t>Austrian Bundesliga</t>
        </is>
      </c>
      <c r="D228" s="2" t="inlineStr">
        <is>
          <t>Austria</t>
        </is>
      </c>
      <c r="E228" s="2" t="n">
        <v>1</v>
      </c>
      <c r="F228" s="2" t="inlineStr">
        <is>
          <t>Alta</t>
        </is>
      </c>
      <c r="G228" s="2" t="n">
        <v>1</v>
      </c>
      <c r="H228" s="2" t="inlineStr">
        <is>
          <t>2025/26</t>
        </is>
      </c>
      <c r="I228" s="2" t="inlineStr">
        <is>
          <t>confirmado_por_zerozero_screenshot_v7</t>
        </is>
      </c>
      <c r="J228" s="2" t="inlineStr">
        <is>
          <t>ZeroZero screenshots enviados pelo utilizador - Austrian Bundesliga 2025/26 Meistergruppe + regular</t>
        </is>
      </c>
      <c r="K228" s="2" t="inlineStr">
        <is>
          <t>Validado com screenshot ZeroZero enviado nesta passagem. Clube normalizado: LASK Linz -&gt; lask linz.</t>
        </is>
      </c>
    </row>
    <row r="229" ht="16" customHeight="1" s="25">
      <c r="A229" s="1" t="n">
        <v>228</v>
      </c>
      <c r="B229" s="2" t="inlineStr">
        <is>
          <t>LDU Quito</t>
        </is>
      </c>
      <c r="C229" s="2" t="inlineStr">
        <is>
          <t>Ecuadorian Serie A</t>
        </is>
      </c>
      <c r="D229" s="2" t="inlineStr">
        <is>
          <t>Ecuador</t>
        </is>
      </c>
      <c r="E229" s="2" t="n">
        <v>2</v>
      </c>
      <c r="F229" s="2" t="inlineStr">
        <is>
          <t>Alta</t>
        </is>
      </c>
      <c r="G229" s="3" t="n">
        <v>6</v>
      </c>
      <c r="H229" s="2" t="inlineStr">
        <is>
          <t>2025/26</t>
        </is>
      </c>
      <c r="I229" s="2" t="inlineStr">
        <is>
          <t>por_validar_sem_screenshot_da_liga</t>
        </is>
      </c>
      <c r="J229" s="3" t="n"/>
      <c r="K229" s="2" t="inlineStr">
        <is>
          <t>Não preenchido: falta screenshot/tabela da liga Ecuadorian Serie A na época 2025/26, ou clube não aparece na tabela enviada.</t>
        </is>
      </c>
    </row>
    <row r="230">
      <c r="A230" s="1" t="n">
        <v>229</v>
      </c>
      <c r="B230" s="2" t="inlineStr">
        <is>
          <t>Lanús</t>
        </is>
      </c>
      <c r="C230" s="2" t="inlineStr">
        <is>
          <t>Argentine Primera División</t>
        </is>
      </c>
      <c r="D230" s="2" t="inlineStr">
        <is>
          <t>Argentina</t>
        </is>
      </c>
      <c r="E230" s="2" t="n">
        <v>1</v>
      </c>
      <c r="F230" s="2" t="inlineStr">
        <is>
          <t>Alta</t>
        </is>
      </c>
      <c r="G230" s="2" t="n">
        <v>6</v>
      </c>
      <c r="H230" s="2" t="n">
        <v>2026</v>
      </c>
      <c r="I230" s="2" t="inlineStr">
        <is>
          <t>confirmado_por_zerozero_screenshot_v5</t>
        </is>
      </c>
      <c r="J230" s="2" t="inlineStr">
        <is>
          <t>ZeroZero screenshot enviado pelo utilizador - Torneo Apertura 2026, 1.ª fase/grupos</t>
        </is>
      </c>
      <c r="K230" s="2" t="inlineStr">
        <is>
          <t>Validado com screenshot ZeroZero enviado nesta passagem. Clube normalizado: Lanús -&gt; lanus.</t>
        </is>
      </c>
    </row>
    <row r="231">
      <c r="A231" s="1" t="n">
        <v>230</v>
      </c>
      <c r="B231" s="2" t="inlineStr">
        <is>
          <t>Larissa</t>
        </is>
      </c>
      <c r="C231" s="2" t="inlineStr">
        <is>
          <t>Super League Greece</t>
        </is>
      </c>
      <c r="D231" s="2" t="inlineStr">
        <is>
          <t>Greece</t>
        </is>
      </c>
      <c r="E231" s="2" t="n">
        <v>2</v>
      </c>
      <c r="F231" s="2" t="inlineStr">
        <is>
          <t>Alta</t>
        </is>
      </c>
      <c r="G231" s="2" t="n">
        <v>12</v>
      </c>
      <c r="H231" s="2" t="inlineStr">
        <is>
          <t>2025/26</t>
        </is>
      </c>
      <c r="I231" s="2" t="inlineStr">
        <is>
          <t>confirmado_por_zerozero_screenshot_v5</t>
        </is>
      </c>
      <c r="J231" s="2" t="inlineStr">
        <is>
          <t>ZeroZero screenshot enviado pelo utilizador - Super League Greece 2025/26</t>
        </is>
      </c>
      <c r="K231" s="2" t="inlineStr">
        <is>
          <t>Validado com screenshot ZeroZero enviado nesta passagem. Clube normalizado: Larissa -&gt; larissa.</t>
        </is>
      </c>
    </row>
    <row r="232">
      <c r="A232" s="1" t="n">
        <v>231</v>
      </c>
      <c r="B232" s="2" t="inlineStr">
        <is>
          <t>Le Havre</t>
        </is>
      </c>
      <c r="C232" s="2" t="inlineStr">
        <is>
          <t>Ligue 1</t>
        </is>
      </c>
      <c r="D232" s="2" t="inlineStr">
        <is>
          <t>France</t>
        </is>
      </c>
      <c r="E232" s="2" t="n">
        <v>3</v>
      </c>
      <c r="F232" s="2" t="inlineStr">
        <is>
          <t>Alta</t>
        </is>
      </c>
      <c r="G232" s="2" t="n">
        <v>14</v>
      </c>
      <c r="H232" s="2" t="inlineStr">
        <is>
          <t>2025/26</t>
        </is>
      </c>
      <c r="I232" s="2" t="inlineStr">
        <is>
          <t>confirmado_por_zerozero_screenshot</t>
        </is>
      </c>
      <c r="J232" s="2" t="inlineStr">
        <is>
          <t>ZeroZero screenshot enviado pelo utilizador - Ligue 1 2025/26</t>
        </is>
      </c>
      <c r="K232" s="2" t="inlineStr">
        <is>
          <t>Validado com a classificação visível no screenshot enviado. Clube normalizado: Le Havre -&gt; le havre.</t>
        </is>
      </c>
    </row>
    <row r="233">
      <c r="A233" s="1" t="n">
        <v>232</v>
      </c>
      <c r="B233" s="2" t="inlineStr">
        <is>
          <t>Lechia Gdansk</t>
        </is>
      </c>
      <c r="C233" s="2" t="inlineStr">
        <is>
          <t>Ekstraklasa</t>
        </is>
      </c>
      <c r="D233" s="2" t="inlineStr">
        <is>
          <t>Poland</t>
        </is>
      </c>
      <c r="E233" s="2" t="n">
        <v>1</v>
      </c>
      <c r="F233" s="2" t="inlineStr">
        <is>
          <t>Alta</t>
        </is>
      </c>
      <c r="G233" s="2" t="n">
        <v>16</v>
      </c>
      <c r="H233" s="2" t="inlineStr">
        <is>
          <t>2025/26</t>
        </is>
      </c>
      <c r="I233" s="2" t="inlineStr">
        <is>
          <t>confirmado_por_zerozero_screenshot_v9</t>
        </is>
      </c>
      <c r="J233" s="2" t="inlineStr">
        <is>
          <t>ZeroZero screenshot enviado pelo utilizador - Ekstraklasa 2025/26 tabela correta</t>
        </is>
      </c>
      <c r="K233" s="2" t="inlineStr">
        <is>
          <t>Validado com screenshot ZeroZero enviado nesta passagem. Clube normalizado: Lechia Gdansk -&gt; lechia gdansk.</t>
        </is>
      </c>
    </row>
    <row r="234">
      <c r="A234" s="1" t="n">
        <v>233</v>
      </c>
      <c r="B234" s="2" t="inlineStr">
        <is>
          <t>Leeds United</t>
        </is>
      </c>
      <c r="C234" s="2" t="inlineStr">
        <is>
          <t>Premier League</t>
        </is>
      </c>
      <c r="D234" s="2" t="inlineStr">
        <is>
          <t>England</t>
        </is>
      </c>
      <c r="E234" s="2" t="n">
        <v>5</v>
      </c>
      <c r="F234" s="2" t="inlineStr">
        <is>
          <t>Alta</t>
        </is>
      </c>
      <c r="G234" s="2" t="n">
        <v>14</v>
      </c>
      <c r="H234" s="2" t="inlineStr">
        <is>
          <t>2025/26</t>
        </is>
      </c>
      <c r="I234" s="2" t="inlineStr">
        <is>
          <t>confirmado_por_zerozero_screenshot</t>
        </is>
      </c>
      <c r="J234" s="2" t="inlineStr">
        <is>
          <t>ZeroZero screenshot enviado pelo utilizador - Premier League 2025/26</t>
        </is>
      </c>
      <c r="K234" s="2" t="inlineStr">
        <is>
          <t>Validado com a classificação visível no screenshot enviado. Clube normalizado: Leeds United -&gt; leeds united.</t>
        </is>
      </c>
    </row>
    <row r="235">
      <c r="A235" s="1" t="n">
        <v>234</v>
      </c>
      <c r="B235" s="2" t="inlineStr">
        <is>
          <t>Leicester City</t>
        </is>
      </c>
      <c r="C235" s="2" t="inlineStr">
        <is>
          <t>EFL Championship</t>
        </is>
      </c>
      <c r="D235" s="2" t="inlineStr">
        <is>
          <t>England</t>
        </is>
      </c>
      <c r="E235" s="2" t="n">
        <v>3</v>
      </c>
      <c r="F235" s="2" t="inlineStr">
        <is>
          <t>Alta</t>
        </is>
      </c>
      <c r="G235" s="2" t="n">
        <v>23</v>
      </c>
      <c r="H235" s="2" t="inlineStr">
        <is>
          <t>2025/26</t>
        </is>
      </c>
      <c r="I235" s="2" t="inlineStr">
        <is>
          <t>confirmado_por_zerozero_screenshot_v5</t>
        </is>
      </c>
      <c r="J235" s="2" t="inlineStr">
        <is>
          <t>ZeroZero screenshot enviado pelo utilizador - Championship 2025/26</t>
        </is>
      </c>
      <c r="K235" s="2" t="inlineStr">
        <is>
          <t>Validado com screenshot ZeroZero enviado nesta passagem. Clube normalizado: Leicester City -&gt; leicester city.</t>
        </is>
      </c>
    </row>
    <row r="236">
      <c r="A236" s="1" t="n">
        <v>235</v>
      </c>
      <c r="B236" s="2" t="inlineStr">
        <is>
          <t>Lens</t>
        </is>
      </c>
      <c r="C236" s="2" t="inlineStr">
        <is>
          <t>Ligue 1</t>
        </is>
      </c>
      <c r="D236" s="2" t="inlineStr">
        <is>
          <t>France</t>
        </is>
      </c>
      <c r="E236" s="2" t="n">
        <v>4</v>
      </c>
      <c r="F236" s="2" t="inlineStr">
        <is>
          <t>Alta</t>
        </is>
      </c>
      <c r="G236" s="2" t="n">
        <v>2</v>
      </c>
      <c r="H236" s="2" t="inlineStr">
        <is>
          <t>2025/26</t>
        </is>
      </c>
      <c r="I236" s="2" t="inlineStr">
        <is>
          <t>confirmado_por_zerozero_screenshot</t>
        </is>
      </c>
      <c r="J236" s="2" t="inlineStr">
        <is>
          <t>ZeroZero screenshot enviado pelo utilizador - Ligue 1 2025/26</t>
        </is>
      </c>
      <c r="K236" s="2" t="inlineStr">
        <is>
          <t>Validado com a classificação visível no screenshot enviado. Clube normalizado: Lens -&gt; lens.</t>
        </is>
      </c>
    </row>
    <row r="237">
      <c r="A237" s="1" t="n">
        <v>236</v>
      </c>
      <c r="B237" s="2" t="inlineStr">
        <is>
          <t>Levante</t>
        </is>
      </c>
      <c r="C237" s="2" t="inlineStr">
        <is>
          <t>LaLiga</t>
        </is>
      </c>
      <c r="D237" s="2" t="inlineStr">
        <is>
          <t>Spain</t>
        </is>
      </c>
      <c r="E237" s="2" t="n">
        <v>1</v>
      </c>
      <c r="F237" s="2" t="inlineStr">
        <is>
          <t>Alta</t>
        </is>
      </c>
      <c r="G237" s="2" t="n">
        <v>16</v>
      </c>
      <c r="H237" s="2" t="inlineStr">
        <is>
          <t>2025/26</t>
        </is>
      </c>
      <c r="I237" s="2" t="inlineStr">
        <is>
          <t>confirmado_por_zerozero_screenshot</t>
        </is>
      </c>
      <c r="J237" s="2" t="inlineStr">
        <is>
          <t>ZeroZero screenshot enviado pelo utilizador - LaLiga 2025/26</t>
        </is>
      </c>
      <c r="K237" s="2" t="inlineStr">
        <is>
          <t>Validado com a classificação visível no screenshot enviado. Clube normalizado: Levante -&gt; levante.</t>
        </is>
      </c>
    </row>
    <row r="238">
      <c r="A238" s="1" t="n">
        <v>237</v>
      </c>
      <c r="B238" s="2" t="inlineStr">
        <is>
          <t>Lille</t>
        </is>
      </c>
      <c r="C238" s="2" t="inlineStr">
        <is>
          <t>Ligue 1</t>
        </is>
      </c>
      <c r="D238" s="2" t="inlineStr">
        <is>
          <t>France</t>
        </is>
      </c>
      <c r="E238" s="2" t="n">
        <v>8</v>
      </c>
      <c r="F238" s="2" t="inlineStr">
        <is>
          <t>Alta</t>
        </is>
      </c>
      <c r="G238" s="2" t="n">
        <v>3</v>
      </c>
      <c r="H238" s="2" t="inlineStr">
        <is>
          <t>2025/26</t>
        </is>
      </c>
      <c r="I238" s="2" t="inlineStr">
        <is>
          <t>confirmado_por_zerozero_screenshot</t>
        </is>
      </c>
      <c r="J238" s="2" t="inlineStr">
        <is>
          <t>ZeroZero screenshot enviado pelo utilizador - Ligue 1 2025/26</t>
        </is>
      </c>
      <c r="K238" s="2" t="inlineStr">
        <is>
          <t>Validado com a classificação visível no screenshot enviado. Clube normalizado: Lille -&gt; lille.</t>
        </is>
      </c>
    </row>
    <row r="239">
      <c r="A239" s="1" t="n">
        <v>238</v>
      </c>
      <c r="B239" s="2" t="inlineStr">
        <is>
          <t>Liverpool</t>
        </is>
      </c>
      <c r="C239" s="2" t="inlineStr">
        <is>
          <t>Premier League</t>
        </is>
      </c>
      <c r="D239" s="2" t="inlineStr">
        <is>
          <t>England</t>
        </is>
      </c>
      <c r="E239" s="2" t="n">
        <v>15</v>
      </c>
      <c r="F239" s="2" t="inlineStr">
        <is>
          <t>Alta</t>
        </is>
      </c>
      <c r="G239" s="2" t="n">
        <v>5</v>
      </c>
      <c r="H239" s="2" t="inlineStr">
        <is>
          <t>2025/26</t>
        </is>
      </c>
      <c r="I239" s="2" t="inlineStr">
        <is>
          <t>confirmado_por_zerozero_screenshot</t>
        </is>
      </c>
      <c r="J239" s="2" t="inlineStr">
        <is>
          <t>ZeroZero screenshot enviado pelo utilizador - Premier League 2025/26</t>
        </is>
      </c>
      <c r="K239" s="2" t="inlineStr">
        <is>
          <t>Validado com a classificação visível no screenshot enviado. Clube normalizado: Liverpool -&gt; liverpool.</t>
        </is>
      </c>
    </row>
    <row r="240">
      <c r="A240" s="1" t="n">
        <v>239</v>
      </c>
      <c r="B240" s="2" t="inlineStr">
        <is>
          <t>Lokomotiv</t>
        </is>
      </c>
      <c r="C240" s="2" t="inlineStr">
        <is>
          <t>Russian Premier League</t>
        </is>
      </c>
      <c r="D240" s="2" t="inlineStr">
        <is>
          <t>Russia</t>
        </is>
      </c>
      <c r="E240" s="2" t="n">
        <v>1</v>
      </c>
      <c r="F240" s="2" t="inlineStr">
        <is>
          <t>Alta</t>
        </is>
      </c>
      <c r="G240" s="2" t="n">
        <v>3</v>
      </c>
      <c r="H240" s="2" t="inlineStr">
        <is>
          <t>2025/26</t>
        </is>
      </c>
      <c r="I240" s="2" t="inlineStr">
        <is>
          <t>confirmado_por_zerozero_screenshot_v5</t>
        </is>
      </c>
      <c r="J240" s="2" t="inlineStr">
        <is>
          <t>ZeroZero screenshot enviado pelo utilizador - Russian Premier League 2025/26</t>
        </is>
      </c>
      <c r="K240" s="2" t="inlineStr">
        <is>
          <t>Validado com screenshot ZeroZero enviado nesta passagem. Clube normalizado: Lokomotiv -&gt; lokomotiv.</t>
        </is>
      </c>
    </row>
    <row r="241">
      <c r="A241" s="1" t="n">
        <v>240</v>
      </c>
      <c r="B241" s="2" t="inlineStr">
        <is>
          <t>Los Angeles FC</t>
        </is>
      </c>
      <c r="C241" s="2" t="inlineStr">
        <is>
          <t>Major League Soccer</t>
        </is>
      </c>
      <c r="D241" s="2" t="inlineStr">
        <is>
          <t>United States/Canada</t>
        </is>
      </c>
      <c r="E241" s="2" t="n">
        <v>4</v>
      </c>
      <c r="F241" s="2" t="inlineStr">
        <is>
          <t>Alta</t>
        </is>
      </c>
      <c r="G241" s="2" t="n">
        <v>5</v>
      </c>
      <c r="H241" s="2" t="n">
        <v>2026</v>
      </c>
      <c r="I241" s="2" t="inlineStr">
        <is>
          <t>confirmado_por_zerozero_screenshot</t>
        </is>
      </c>
      <c r="J241" s="2" t="inlineStr">
        <is>
          <t>ZeroZero screenshot enviado pelo utilizador - MLS 2026, posição na conferência</t>
        </is>
      </c>
      <c r="K241" s="2" t="inlineStr">
        <is>
          <t>Validado com a classificação visível no screenshot enviado. Clube normalizado: Los Angeles FC -&gt; los angeles fc.</t>
        </is>
      </c>
    </row>
    <row r="242" ht="16" customHeight="1" s="25">
      <c r="A242" s="1" t="n">
        <v>241</v>
      </c>
      <c r="B242" s="2" t="inlineStr">
        <is>
          <t>Ludogorets Razgrad</t>
        </is>
      </c>
      <c r="C242" s="2" t="inlineStr">
        <is>
          <t>Bulgarian First League</t>
        </is>
      </c>
      <c r="D242" s="2" t="inlineStr">
        <is>
          <t>Bulgaria</t>
        </is>
      </c>
      <c r="E242" s="2" t="n">
        <v>1</v>
      </c>
      <c r="F242" s="2" t="inlineStr">
        <is>
          <t>Alta</t>
        </is>
      </c>
      <c r="G242" s="3" t="n">
        <v>2</v>
      </c>
      <c r="H242" s="2" t="inlineStr">
        <is>
          <t>2025/26</t>
        </is>
      </c>
      <c r="I242" s="2" t="inlineStr">
        <is>
          <t>por_validar_sem_screenshot_da_liga</t>
        </is>
      </c>
      <c r="J242" s="3" t="n"/>
      <c r="K242" s="2" t="inlineStr">
        <is>
          <t>Não preenchido: falta screenshot/tabela da liga Bulgarian First League na época 2025/26, ou clube não aparece na tabela enviada.</t>
        </is>
      </c>
    </row>
    <row r="243" ht="16" customHeight="1" s="25">
      <c r="A243" s="1" t="n">
        <v>242</v>
      </c>
      <c r="B243" s="2" t="inlineStr">
        <is>
          <t>Lusail SC</t>
        </is>
      </c>
      <c r="C243" s="2" t="inlineStr">
        <is>
          <t>Qatari Second Division</t>
        </is>
      </c>
      <c r="D243" s="2" t="inlineStr">
        <is>
          <t>Qatar</t>
        </is>
      </c>
      <c r="E243" s="2" t="n">
        <v>1</v>
      </c>
      <c r="F243" s="2" t="inlineStr">
        <is>
          <t>Alta</t>
        </is>
      </c>
      <c r="G243" s="3" t="n">
        <v>1</v>
      </c>
      <c r="H243" s="2" t="inlineStr">
        <is>
          <t>2025/26</t>
        </is>
      </c>
      <c r="I243" s="2" t="inlineStr">
        <is>
          <t>por_validar_sem_screenshot_da_liga</t>
        </is>
      </c>
      <c r="J243" s="3" t="n"/>
      <c r="K243" s="2" t="inlineStr">
        <is>
          <t>Não preenchido: falta screenshot/tabela da liga Qatari Second Division na época 2025/26, ou clube não aparece na tabela enviada.</t>
        </is>
      </c>
    </row>
    <row r="244" ht="16" customHeight="1" s="25">
      <c r="A244" s="1" t="n">
        <v>243</v>
      </c>
      <c r="B244" s="2" t="inlineStr">
        <is>
          <t>Luton Town</t>
        </is>
      </c>
      <c r="C244" s="2" t="inlineStr">
        <is>
          <t>EFL Championship</t>
        </is>
      </c>
      <c r="D244" s="2" t="inlineStr">
        <is>
          <t>England</t>
        </is>
      </c>
      <c r="E244" s="2" t="n">
        <v>1</v>
      </c>
      <c r="F244" s="2" t="inlineStr">
        <is>
          <t>Alta</t>
        </is>
      </c>
      <c r="G244" s="3" t="n">
        <v>7</v>
      </c>
      <c r="H244" s="2" t="inlineStr">
        <is>
          <t>2025/26</t>
        </is>
      </c>
      <c r="I244" s="2" t="inlineStr">
        <is>
          <t>por_validar_sem_screenshot_da_liga</t>
        </is>
      </c>
      <c r="J244" s="3" t="n"/>
      <c r="K244" s="2" t="inlineStr">
        <is>
          <t>Não preenchido: falta screenshot/tabela da liga EFL Championship na época 2025/26, ou clube não aparece na tabela enviada.</t>
        </is>
      </c>
    </row>
    <row r="245">
      <c r="A245" s="1" t="n">
        <v>244</v>
      </c>
      <c r="B245" s="2" t="inlineStr">
        <is>
          <t>Lyon</t>
        </is>
      </c>
      <c r="C245" s="2" t="inlineStr">
        <is>
          <t>Ligue 1</t>
        </is>
      </c>
      <c r="D245" s="2" t="inlineStr">
        <is>
          <t>France</t>
        </is>
      </c>
      <c r="E245" s="2" t="n">
        <v>5</v>
      </c>
      <c r="F245" s="2" t="inlineStr">
        <is>
          <t>Alta</t>
        </is>
      </c>
      <c r="G245" s="2" t="n">
        <v>4</v>
      </c>
      <c r="H245" s="2" t="inlineStr">
        <is>
          <t>2025/26</t>
        </is>
      </c>
      <c r="I245" s="2" t="inlineStr">
        <is>
          <t>confirmado_por_zerozero_screenshot</t>
        </is>
      </c>
      <c r="J245" s="2" t="inlineStr">
        <is>
          <t>ZeroZero screenshot enviado pelo utilizador - Ligue 1 2025/26</t>
        </is>
      </c>
      <c r="K245" s="2" t="inlineStr">
        <is>
          <t>Validado com a classificação visível no screenshot enviado. Clube normalizado: Lyon -&gt; lyon.</t>
        </is>
      </c>
    </row>
    <row r="246">
      <c r="A246" s="1" t="n">
        <v>245</v>
      </c>
      <c r="B246" s="2" t="inlineStr">
        <is>
          <t>Maccabi Haifa</t>
        </is>
      </c>
      <c r="C246" s="2" t="inlineStr">
        <is>
          <t>Israeli Premier League</t>
        </is>
      </c>
      <c r="D246" s="2" t="inlineStr">
        <is>
          <t>Israel</t>
        </is>
      </c>
      <c r="E246" s="2" t="n">
        <v>2</v>
      </c>
      <c r="F246" s="2" t="inlineStr">
        <is>
          <t>Alta</t>
        </is>
      </c>
      <c r="G246" s="2" t="n">
        <v>5</v>
      </c>
      <c r="H246" s="2" t="inlineStr">
        <is>
          <t>2025/26</t>
        </is>
      </c>
      <c r="I246" s="2" t="inlineStr">
        <is>
          <t>confirmado_por_screenshot_v10</t>
        </is>
      </c>
      <c r="J246" s="2" t="inlineStr">
        <is>
          <t>Screenshot ZeroZero enviado pelo utilizador - Ligat Ha'Al Regular Season 2025/26</t>
        </is>
      </c>
      <c r="K246" s="2" t="inlineStr">
        <is>
          <t>Validado com screenshot enviado nesta passagem.</t>
        </is>
      </c>
    </row>
    <row r="247">
      <c r="A247" s="1" t="n">
        <v>246</v>
      </c>
      <c r="B247" s="2" t="inlineStr">
        <is>
          <t>Maccabi Tel Aviv</t>
        </is>
      </c>
      <c r="C247" s="2" t="inlineStr">
        <is>
          <t>Israeli Premier League</t>
        </is>
      </c>
      <c r="D247" s="2" t="inlineStr">
        <is>
          <t>Israel</t>
        </is>
      </c>
      <c r="E247" s="2" t="n">
        <v>1</v>
      </c>
      <c r="F247" s="2" t="inlineStr">
        <is>
          <t>Alta</t>
        </is>
      </c>
      <c r="G247" s="2" t="n">
        <v>4</v>
      </c>
      <c r="H247" s="2" t="inlineStr">
        <is>
          <t>2025/26</t>
        </is>
      </c>
      <c r="I247" s="2" t="inlineStr">
        <is>
          <t>confirmado_por_screenshot_v10</t>
        </is>
      </c>
      <c r="J247" s="2" t="inlineStr">
        <is>
          <t>Screenshot ZeroZero enviado pelo utilizador - Ligat Ha'Al Regular Season 2025/26</t>
        </is>
      </c>
      <c r="K247" s="2" t="inlineStr">
        <is>
          <t>Validado com screenshot enviado nesta passagem.</t>
        </is>
      </c>
    </row>
    <row r="248">
      <c r="A248" s="1" t="n">
        <v>247</v>
      </c>
      <c r="B248" s="2" t="inlineStr">
        <is>
          <t>Machida Zelvia</t>
        </is>
      </c>
      <c r="C248" s="2" t="inlineStr">
        <is>
          <t>J1 League</t>
        </is>
      </c>
      <c r="D248" s="2" t="inlineStr">
        <is>
          <t>Japan</t>
        </is>
      </c>
      <c r="E248" s="2" t="n">
        <v>1</v>
      </c>
      <c r="F248" s="2" t="inlineStr">
        <is>
          <t>Alta</t>
        </is>
      </c>
      <c r="G248" s="2" t="n">
        <v>6</v>
      </c>
      <c r="H248" s="2" t="n">
        <v>2026</v>
      </c>
      <c r="I248" s="2" t="inlineStr">
        <is>
          <t>confirmado_por_zerozero_screenshot_v6</t>
        </is>
      </c>
      <c r="J248" s="2" t="inlineStr">
        <is>
          <t>ZeroZero screenshot enviado pelo utilizador - J1 League 2026</t>
        </is>
      </c>
      <c r="K248" s="2" t="inlineStr">
        <is>
          <t>Validado com screenshot ZeroZero enviado nesta passagem. Clube normalizado: Machida Zelvia -&gt; machida zelvia.</t>
        </is>
      </c>
    </row>
    <row r="249">
      <c r="A249" s="1" t="n">
        <v>248</v>
      </c>
      <c r="B249" s="2" t="inlineStr">
        <is>
          <t>Mainz</t>
        </is>
      </c>
      <c r="C249" s="2" t="inlineStr">
        <is>
          <t>Bundesliga</t>
        </is>
      </c>
      <c r="D249" s="2" t="inlineStr">
        <is>
          <t>Germany</t>
        </is>
      </c>
      <c r="E249" s="2" t="n">
        <v>6</v>
      </c>
      <c r="F249" s="2" t="inlineStr">
        <is>
          <t>Alta</t>
        </is>
      </c>
      <c r="G249" s="2" t="n">
        <v>10</v>
      </c>
      <c r="H249" s="2" t="inlineStr">
        <is>
          <t>2025/26</t>
        </is>
      </c>
      <c r="I249" s="2" t="inlineStr">
        <is>
          <t>confirmado_por_zerozero_screenshot</t>
        </is>
      </c>
      <c r="J249" s="2" t="inlineStr">
        <is>
          <t>ZeroZero screenshot enviado pelo utilizador - Bundesliga 2025/26</t>
        </is>
      </c>
      <c r="K249" s="2" t="inlineStr">
        <is>
          <t>Validado com a classificação visível no screenshot enviado. Clube normalizado: Mainz -&gt; mainz.</t>
        </is>
      </c>
    </row>
    <row r="250">
      <c r="A250" s="1" t="n">
        <v>249</v>
      </c>
      <c r="B250" s="2" t="inlineStr">
        <is>
          <t>Malavan FC</t>
        </is>
      </c>
      <c r="C250" s="2" t="inlineStr">
        <is>
          <t>Persian Gulf Pro League</t>
        </is>
      </c>
      <c r="D250" s="2" t="inlineStr">
        <is>
          <t>Iran</t>
        </is>
      </c>
      <c r="E250" s="2" t="n">
        <v>1</v>
      </c>
      <c r="F250" s="2" t="inlineStr">
        <is>
          <t>Alta</t>
        </is>
      </c>
      <c r="G250" s="2" t="n">
        <v>9</v>
      </c>
      <c r="H250" s="2" t="inlineStr">
        <is>
          <t>2025/26</t>
        </is>
      </c>
      <c r="I250" s="2" t="inlineStr">
        <is>
          <t>confirmado_por_zerozero_screenshot_v6</t>
        </is>
      </c>
      <c r="J250" s="2" t="inlineStr">
        <is>
          <t>ZeroZero screenshot enviado pelo utilizador - Persian Gulf Pro League 2025/26</t>
        </is>
      </c>
      <c r="K250" s="2" t="inlineStr">
        <is>
          <t>Validado com screenshot ZeroZero enviado nesta passagem. Clube normalizado: Malavan FC -&gt; malavan fc.</t>
        </is>
      </c>
    </row>
    <row r="251">
      <c r="A251" s="1" t="n">
        <v>250</v>
      </c>
      <c r="B251" s="2" t="inlineStr">
        <is>
          <t>Mallorca</t>
        </is>
      </c>
      <c r="C251" s="2" t="inlineStr">
        <is>
          <t>LaLiga</t>
        </is>
      </c>
      <c r="D251" s="2" t="inlineStr">
        <is>
          <t>Spain</t>
        </is>
      </c>
      <c r="E251" s="2" t="n">
        <v>2</v>
      </c>
      <c r="F251" s="2" t="inlineStr">
        <is>
          <t>Alta</t>
        </is>
      </c>
      <c r="G251" s="2" t="n">
        <v>18</v>
      </c>
      <c r="H251" s="2" t="inlineStr">
        <is>
          <t>2025/26</t>
        </is>
      </c>
      <c r="I251" s="2" t="inlineStr">
        <is>
          <t>confirmado_por_zerozero_screenshot</t>
        </is>
      </c>
      <c r="J251" s="2" t="inlineStr">
        <is>
          <t>ZeroZero screenshot enviado pelo utilizador - LaLiga 2025/26</t>
        </is>
      </c>
      <c r="K251" s="2" t="inlineStr">
        <is>
          <t>Validado com a classificação visível no screenshot enviado. Clube normalizado: Mallorca -&gt; mallorca.</t>
        </is>
      </c>
    </row>
    <row r="252">
      <c r="A252" s="1" t="n">
        <v>251</v>
      </c>
      <c r="B252" s="2" t="inlineStr">
        <is>
          <t>Malmö</t>
        </is>
      </c>
      <c r="C252" s="2" t="inlineStr">
        <is>
          <t>Allsvenskan</t>
        </is>
      </c>
      <c r="D252" s="2" t="inlineStr">
        <is>
          <t>Sweden</t>
        </is>
      </c>
      <c r="E252" s="2" t="n">
        <v>1</v>
      </c>
      <c r="F252" s="2" t="inlineStr">
        <is>
          <t>Alta</t>
        </is>
      </c>
      <c r="G252" s="2" t="n">
        <v>8</v>
      </c>
      <c r="H252" s="2" t="n">
        <v>2026</v>
      </c>
      <c r="I252" s="2" t="inlineStr">
        <is>
          <t>confirmado_por_zerozero_screenshot_v9</t>
        </is>
      </c>
      <c r="J252" s="2" t="inlineStr">
        <is>
          <t>ZeroZero screenshot enviado pelo utilizador - Allsvenskan 2026</t>
        </is>
      </c>
      <c r="K252" s="2" t="inlineStr">
        <is>
          <t>Validado com screenshot ZeroZero enviado nesta passagem. Clube normalizado: Malmö -&gt; malmo.</t>
        </is>
      </c>
    </row>
    <row r="253">
      <c r="A253" s="1" t="n">
        <v>252</v>
      </c>
      <c r="B253" s="2" t="inlineStr">
        <is>
          <t>Manchester City</t>
        </is>
      </c>
      <c r="C253" s="2" t="inlineStr">
        <is>
          <t>Premier League</t>
        </is>
      </c>
      <c r="D253" s="2" t="inlineStr">
        <is>
          <t>England</t>
        </is>
      </c>
      <c r="E253" s="2" t="n">
        <v>22</v>
      </c>
      <c r="F253" s="2" t="inlineStr">
        <is>
          <t>Alta</t>
        </is>
      </c>
      <c r="G253" s="2" t="n">
        <v>2</v>
      </c>
      <c r="H253" s="2" t="inlineStr">
        <is>
          <t>2025/26</t>
        </is>
      </c>
      <c r="I253" s="2" t="inlineStr">
        <is>
          <t>confirmado_por_zerozero_screenshot</t>
        </is>
      </c>
      <c r="J253" s="2" t="inlineStr">
        <is>
          <t>ZeroZero screenshot enviado pelo utilizador - Premier League 2025/26</t>
        </is>
      </c>
      <c r="K253" s="2" t="inlineStr">
        <is>
          <t>Validado com a classificação visível no screenshot enviado. Clube normalizado: Manchester City -&gt; manchester city.</t>
        </is>
      </c>
    </row>
    <row r="254">
      <c r="A254" s="1" t="n">
        <v>253</v>
      </c>
      <c r="B254" s="2" t="inlineStr">
        <is>
          <t>Manchester United</t>
        </is>
      </c>
      <c r="C254" s="2" t="inlineStr">
        <is>
          <t>Premier League</t>
        </is>
      </c>
      <c r="D254" s="2" t="inlineStr">
        <is>
          <t>England</t>
        </is>
      </c>
      <c r="E254" s="2" t="n">
        <v>13</v>
      </c>
      <c r="F254" s="2" t="inlineStr">
        <is>
          <t>Alta</t>
        </is>
      </c>
      <c r="G254" s="2" t="n">
        <v>3</v>
      </c>
      <c r="H254" s="2" t="inlineStr">
        <is>
          <t>2025/26</t>
        </is>
      </c>
      <c r="I254" s="2" t="inlineStr">
        <is>
          <t>confirmado_por_zerozero_screenshot</t>
        </is>
      </c>
      <c r="J254" s="2" t="inlineStr">
        <is>
          <t>ZeroZero screenshot enviado pelo utilizador - Premier League 2025/26</t>
        </is>
      </c>
      <c r="K254" s="2" t="inlineStr">
        <is>
          <t>Validado com a classificação visível no screenshot enviado. Clube normalizado: Manchester United -&gt; manchester united.</t>
        </is>
      </c>
    </row>
    <row r="255" ht="16" customHeight="1" s="25">
      <c r="A255" s="1" t="n">
        <v>254</v>
      </c>
      <c r="B255" s="2" t="inlineStr">
        <is>
          <t>Maribor</t>
        </is>
      </c>
      <c r="C255" s="2" t="inlineStr">
        <is>
          <t>Slovenian PrvaLiga</t>
        </is>
      </c>
      <c r="D255" s="2" t="inlineStr">
        <is>
          <t>Slovenia</t>
        </is>
      </c>
      <c r="E255" s="2" t="n">
        <v>2</v>
      </c>
      <c r="F255" s="2" t="inlineStr">
        <is>
          <t>Alta</t>
        </is>
      </c>
      <c r="G255" s="3" t="n">
        <v>5</v>
      </c>
      <c r="H255" s="2" t="inlineStr">
        <is>
          <t>2025/26</t>
        </is>
      </c>
      <c r="I255" s="2" t="inlineStr">
        <is>
          <t>por_validar_sem_screenshot_da_liga</t>
        </is>
      </c>
      <c r="J255" s="3" t="n"/>
      <c r="K255" s="2" t="inlineStr">
        <is>
          <t>Não preenchido: falta screenshot/tabela da liga Slovenian PrvaLiga na época 2025/26, ou clube não aparece na tabela enviada.</t>
        </is>
      </c>
    </row>
    <row r="256">
      <c r="A256" s="1" t="n">
        <v>255</v>
      </c>
      <c r="B256" s="2" t="inlineStr">
        <is>
          <t>Marseille</t>
        </is>
      </c>
      <c r="C256" s="2" t="inlineStr">
        <is>
          <t>Ligue 1</t>
        </is>
      </c>
      <c r="D256" s="2" t="inlineStr">
        <is>
          <t>France</t>
        </is>
      </c>
      <c r="E256" s="2" t="n">
        <v>9</v>
      </c>
      <c r="F256" s="2" t="inlineStr">
        <is>
          <t>Alta</t>
        </is>
      </c>
      <c r="G256" s="2" t="n">
        <v>5</v>
      </c>
      <c r="H256" s="2" t="inlineStr">
        <is>
          <t>2025/26</t>
        </is>
      </c>
      <c r="I256" s="2" t="inlineStr">
        <is>
          <t>confirmado_por_zerozero_screenshot</t>
        </is>
      </c>
      <c r="J256" s="2" t="inlineStr">
        <is>
          <t>ZeroZero screenshot enviado pelo utilizador - Ligue 1 2025/26</t>
        </is>
      </c>
      <c r="K256" s="2" t="inlineStr">
        <is>
          <t>Validado com a classificação visível no screenshot enviado. Clube normalizado: Marseille -&gt; marseille.</t>
        </is>
      </c>
    </row>
    <row r="257">
      <c r="A257" s="1" t="n">
        <v>256</v>
      </c>
      <c r="B257" s="2" t="inlineStr">
        <is>
          <t>Melbourne City</t>
        </is>
      </c>
      <c r="C257" s="2" t="inlineStr">
        <is>
          <t>A-League Men</t>
        </is>
      </c>
      <c r="D257" s="2" t="inlineStr">
        <is>
          <t>Australia/New Zealand</t>
        </is>
      </c>
      <c r="E257" s="2" t="n">
        <v>3</v>
      </c>
      <c r="F257" s="2" t="inlineStr">
        <is>
          <t>Alta</t>
        </is>
      </c>
      <c r="G257" s="2" t="n">
        <v>6</v>
      </c>
      <c r="H257" s="2" t="inlineStr">
        <is>
          <t>2025/26</t>
        </is>
      </c>
      <c r="I257" s="2" t="inlineStr">
        <is>
          <t>confirmado_por_zerozero_screenshot_v6</t>
        </is>
      </c>
      <c r="J257" s="2" t="inlineStr">
        <is>
          <t>ZeroZero screenshot enviado pelo utilizador - A-League Men 2025/26</t>
        </is>
      </c>
      <c r="K257" s="2" t="inlineStr">
        <is>
          <t>Validado com screenshot ZeroZero enviado nesta passagem. Clube normalizado: Melbourne City -&gt; melbourne city.</t>
        </is>
      </c>
    </row>
    <row r="258">
      <c r="A258" s="1" t="n">
        <v>257</v>
      </c>
      <c r="B258" s="2" t="inlineStr">
        <is>
          <t>Melbourne Victory</t>
        </is>
      </c>
      <c r="C258" s="2" t="inlineStr">
        <is>
          <t>A-League Men</t>
        </is>
      </c>
      <c r="D258" s="2" t="inlineStr">
        <is>
          <t>Australia/New Zealand</t>
        </is>
      </c>
      <c r="E258" s="2" t="n">
        <v>1</v>
      </c>
      <c r="F258" s="2" t="inlineStr">
        <is>
          <t>Alta</t>
        </is>
      </c>
      <c r="G258" s="2" t="n">
        <v>4</v>
      </c>
      <c r="H258" s="2" t="inlineStr">
        <is>
          <t>2025/26</t>
        </is>
      </c>
      <c r="I258" s="2" t="inlineStr">
        <is>
          <t>confirmado_por_zerozero_screenshot_v6</t>
        </is>
      </c>
      <c r="J258" s="2" t="inlineStr">
        <is>
          <t>ZeroZero screenshot enviado pelo utilizador - A-League Men 2025/26</t>
        </is>
      </c>
      <c r="K258" s="2" t="inlineStr">
        <is>
          <t>Validado com screenshot ZeroZero enviado nesta passagem. Clube normalizado: Melbourne Victory -&gt; melbourne victory.</t>
        </is>
      </c>
    </row>
    <row r="259">
      <c r="A259" s="1" t="n">
        <v>258</v>
      </c>
      <c r="B259" s="2" t="inlineStr">
        <is>
          <t>Miami FC</t>
        </is>
      </c>
      <c r="C259" s="2" t="inlineStr">
        <is>
          <t>USL Championship</t>
        </is>
      </c>
      <c r="D259" s="2" t="inlineStr">
        <is>
          <t>United States</t>
        </is>
      </c>
      <c r="E259" s="2" t="n">
        <v>2</v>
      </c>
      <c r="F259" s="2" t="inlineStr">
        <is>
          <t>Alta</t>
        </is>
      </c>
      <c r="G259" s="2" t="n">
        <v>7</v>
      </c>
      <c r="H259" s="2" t="n">
        <v>2026</v>
      </c>
      <c r="I259" s="2" t="inlineStr">
        <is>
          <t>confirmado_por_zerozero_screenshot_v9</t>
        </is>
      </c>
      <c r="J259" s="2" t="inlineStr">
        <is>
          <t>ZeroZero screenshot enviado pelo utilizador - USL Championship 2026 Grupo Este/Oeste</t>
        </is>
      </c>
      <c r="K259" s="2" t="inlineStr">
        <is>
          <t>Validado com screenshot ZeroZero enviado nesta passagem. Clube normalizado: Miami FC -&gt; miami fc.</t>
        </is>
      </c>
    </row>
    <row r="260">
      <c r="A260" s="1" t="n">
        <v>259</v>
      </c>
      <c r="B260" s="2" t="inlineStr">
        <is>
          <t>Middlesbrough</t>
        </is>
      </c>
      <c r="C260" s="2" t="inlineStr">
        <is>
          <t>EFL Championship</t>
        </is>
      </c>
      <c r="D260" s="2" t="inlineStr">
        <is>
          <t>England</t>
        </is>
      </c>
      <c r="E260" s="2" t="n">
        <v>2</v>
      </c>
      <c r="F260" s="2" t="inlineStr">
        <is>
          <t>Alta</t>
        </is>
      </c>
      <c r="G260" s="2" t="n">
        <v>5</v>
      </c>
      <c r="H260" s="2" t="inlineStr">
        <is>
          <t>2025/26</t>
        </is>
      </c>
      <c r="I260" s="2" t="inlineStr">
        <is>
          <t>confirmado_por_zerozero_screenshot_v5</t>
        </is>
      </c>
      <c r="J260" s="2" t="inlineStr">
        <is>
          <t>ZeroZero screenshot enviado pelo utilizador - Championship 2025/26</t>
        </is>
      </c>
      <c r="K260" s="2" t="inlineStr">
        <is>
          <t>Validado com screenshot ZeroZero enviado nesta passagem. Clube normalizado: Middlesbrough -&gt; middlesbrough.</t>
        </is>
      </c>
    </row>
    <row r="261">
      <c r="A261" s="1" t="n">
        <v>260</v>
      </c>
      <c r="B261" s="2" t="inlineStr">
        <is>
          <t>Midtjylland</t>
        </is>
      </c>
      <c r="C261" s="2" t="inlineStr">
        <is>
          <t>Danish Superliga</t>
        </is>
      </c>
      <c r="D261" s="2" t="inlineStr">
        <is>
          <t>Denmark</t>
        </is>
      </c>
      <c r="E261" s="2" t="n">
        <v>4</v>
      </c>
      <c r="F261" s="2" t="inlineStr">
        <is>
          <t>Alta</t>
        </is>
      </c>
      <c r="G261" s="2" t="n">
        <v>2</v>
      </c>
      <c r="H261" s="2" t="inlineStr">
        <is>
          <t>2025/26</t>
        </is>
      </c>
      <c r="I261" s="2" t="inlineStr">
        <is>
          <t>confirmado_por_zerozero_screenshot</t>
        </is>
      </c>
      <c r="J261" s="2" t="inlineStr">
        <is>
          <t>ZeroZero screenshot enviado pelo utilizador - Superligaen fase regular 2025/26</t>
        </is>
      </c>
      <c r="K261" s="2" t="inlineStr">
        <is>
          <t>Validado com a classificação visível no screenshot enviado. Clube normalizado: Midtjylland -&gt; midtjylland.</t>
        </is>
      </c>
    </row>
    <row r="262">
      <c r="A262" s="1" t="n">
        <v>261</v>
      </c>
      <c r="B262" s="2" t="inlineStr">
        <is>
          <t>Milan</t>
        </is>
      </c>
      <c r="C262" s="2" t="inlineStr">
        <is>
          <t>Serie A</t>
        </is>
      </c>
      <c r="D262" s="2" t="inlineStr">
        <is>
          <t>Italy</t>
        </is>
      </c>
      <c r="E262" s="2" t="n">
        <v>11</v>
      </c>
      <c r="F262" s="2" t="inlineStr">
        <is>
          <t>Alta</t>
        </is>
      </c>
      <c r="G262" s="2" t="n">
        <v>5</v>
      </c>
      <c r="H262" s="2" t="inlineStr">
        <is>
          <t>2025/26</t>
        </is>
      </c>
      <c r="I262" s="2" t="inlineStr">
        <is>
          <t>confirmado_por_zerozero_screenshot</t>
        </is>
      </c>
      <c r="J262" s="2" t="inlineStr">
        <is>
          <t>ZeroZero screenshot enviado pelo utilizador - Serie A 2025/26</t>
        </is>
      </c>
      <c r="K262" s="2" t="inlineStr">
        <is>
          <t>Validado com a classificação visível no screenshot enviado. Clube normalizado: Milan -&gt; milan.</t>
        </is>
      </c>
    </row>
    <row r="263">
      <c r="A263" s="1" t="n">
        <v>262</v>
      </c>
      <c r="B263" s="2" t="inlineStr">
        <is>
          <t>Millwall</t>
        </is>
      </c>
      <c r="C263" s="2" t="inlineStr">
        <is>
          <t>EFL Championship</t>
        </is>
      </c>
      <c r="D263" s="2" t="inlineStr">
        <is>
          <t>England</t>
        </is>
      </c>
      <c r="E263" s="2" t="n">
        <v>1</v>
      </c>
      <c r="F263" s="2" t="inlineStr">
        <is>
          <t>Alta</t>
        </is>
      </c>
      <c r="G263" s="2" t="n">
        <v>3</v>
      </c>
      <c r="H263" s="2" t="inlineStr">
        <is>
          <t>2025/26</t>
        </is>
      </c>
      <c r="I263" s="2" t="inlineStr">
        <is>
          <t>confirmado_por_zerozero_screenshot_v5</t>
        </is>
      </c>
      <c r="J263" s="2" t="inlineStr">
        <is>
          <t>ZeroZero screenshot enviado pelo utilizador - Championship 2025/26</t>
        </is>
      </c>
      <c r="K263" s="2" t="inlineStr">
        <is>
          <t>Validado com screenshot ZeroZero enviado nesta passagem. Clube normalizado: Millwall -&gt; millwall.</t>
        </is>
      </c>
    </row>
    <row r="264">
      <c r="A264" s="1" t="n">
        <v>263</v>
      </c>
      <c r="B264" s="2" t="inlineStr">
        <is>
          <t>Minnesota United</t>
        </is>
      </c>
      <c r="C264" s="2" t="inlineStr">
        <is>
          <t>Major League Soccer</t>
        </is>
      </c>
      <c r="D264" s="2" t="inlineStr">
        <is>
          <t>United States/Canada</t>
        </is>
      </c>
      <c r="E264" s="2" t="n">
        <v>2</v>
      </c>
      <c r="F264" s="2" t="inlineStr">
        <is>
          <t>Alta</t>
        </is>
      </c>
      <c r="G264" s="2" t="n">
        <v>8</v>
      </c>
      <c r="H264" s="2" t="n">
        <v>2026</v>
      </c>
      <c r="I264" s="2" t="inlineStr">
        <is>
          <t>confirmado_por_zerozero_screenshot</t>
        </is>
      </c>
      <c r="J264" s="2" t="inlineStr">
        <is>
          <t>ZeroZero screenshot enviado pelo utilizador - MLS 2026, posição na conferência</t>
        </is>
      </c>
      <c r="K264" s="2" t="inlineStr">
        <is>
          <t>Validado com a classificação visível no screenshot enviado. Clube normalizado: Minnesota United -&gt; minnesota united.</t>
        </is>
      </c>
    </row>
    <row r="265">
      <c r="A265" s="1" t="n">
        <v>264</v>
      </c>
      <c r="B265" s="2" t="inlineStr">
        <is>
          <t>Mjallby</t>
        </is>
      </c>
      <c r="C265" s="2" t="inlineStr">
        <is>
          <t>Allsvenskan</t>
        </is>
      </c>
      <c r="D265" s="2" t="inlineStr">
        <is>
          <t>Sweden</t>
        </is>
      </c>
      <c r="E265" s="2" t="n">
        <v>1</v>
      </c>
      <c r="F265" s="2" t="inlineStr">
        <is>
          <t>Alta</t>
        </is>
      </c>
      <c r="G265" s="2" t="n">
        <v>5</v>
      </c>
      <c r="H265" s="2" t="n">
        <v>2026</v>
      </c>
      <c r="I265" s="2" t="inlineStr">
        <is>
          <t>confirmado_por_zerozero_screenshot_v9</t>
        </is>
      </c>
      <c r="J265" s="2" t="inlineStr">
        <is>
          <t>ZeroZero screenshot enviado pelo utilizador - Allsvenskan 2026</t>
        </is>
      </c>
      <c r="K265" s="2" t="inlineStr">
        <is>
          <t>Validado com screenshot ZeroZero enviado nesta passagem. Clube normalizado: Mjallby -&gt; mjallby.</t>
        </is>
      </c>
    </row>
    <row r="266">
      <c r="A266" s="1" t="n">
        <v>265</v>
      </c>
      <c r="B266" s="2" t="inlineStr">
        <is>
          <t>Molde</t>
        </is>
      </c>
      <c r="C266" s="2" t="inlineStr">
        <is>
          <t>Eliteserien</t>
        </is>
      </c>
      <c r="D266" s="2" t="inlineStr">
        <is>
          <t>Norway</t>
        </is>
      </c>
      <c r="E266" s="2" t="n">
        <v>1</v>
      </c>
      <c r="F266" s="2" t="inlineStr">
        <is>
          <t>Alta</t>
        </is>
      </c>
      <c r="G266" s="2" t="n">
        <v>5</v>
      </c>
      <c r="H266" s="2" t="n">
        <v>2026</v>
      </c>
      <c r="I266" s="2" t="inlineStr">
        <is>
          <t>confirmado_por_zerozero_screenshot_v7</t>
        </is>
      </c>
      <c r="J266" s="2" t="inlineStr">
        <is>
          <t>ZeroZero screenshot enviado pelo utilizador - Eliteserien 2026</t>
        </is>
      </c>
      <c r="K266" s="2" t="inlineStr">
        <is>
          <t>Validado com screenshot ZeroZero enviado nesta passagem. Clube normalizado: Molde -&gt; molde.</t>
        </is>
      </c>
    </row>
    <row r="267">
      <c r="A267" s="1" t="n">
        <v>266</v>
      </c>
      <c r="B267" s="2" t="inlineStr">
        <is>
          <t>Monaco</t>
        </is>
      </c>
      <c r="C267" s="2" t="inlineStr">
        <is>
          <t>Ligue 1</t>
        </is>
      </c>
      <c r="D267" s="2" t="inlineStr">
        <is>
          <t>France</t>
        </is>
      </c>
      <c r="E267" s="2" t="n">
        <v>6</v>
      </c>
      <c r="F267" s="2" t="inlineStr">
        <is>
          <t>Alta</t>
        </is>
      </c>
      <c r="G267" s="2" t="n">
        <v>7</v>
      </c>
      <c r="H267" s="2" t="inlineStr">
        <is>
          <t>2025/26</t>
        </is>
      </c>
      <c r="I267" s="2" t="inlineStr">
        <is>
          <t>confirmado_por_zerozero_screenshot</t>
        </is>
      </c>
      <c r="J267" s="2" t="inlineStr">
        <is>
          <t>ZeroZero screenshot enviado pelo utilizador - Ligue 1 2025/26</t>
        </is>
      </c>
      <c r="K267" s="2" t="inlineStr">
        <is>
          <t>Validado com a classificação visível no screenshot enviado. Clube normalizado: Monaco -&gt; monaco.</t>
        </is>
      </c>
    </row>
    <row r="268" ht="16" customHeight="1" s="25">
      <c r="A268" s="1" t="n">
        <v>267</v>
      </c>
      <c r="B268" s="2" t="inlineStr">
        <is>
          <t>Montana</t>
        </is>
      </c>
      <c r="C268" s="2" t="inlineStr">
        <is>
          <t>Bulgarian First League</t>
        </is>
      </c>
      <c r="D268" s="2" t="inlineStr">
        <is>
          <t>Bulgaria</t>
        </is>
      </c>
      <c r="E268" s="2" t="n">
        <v>1</v>
      </c>
      <c r="F268" s="2" t="inlineStr">
        <is>
          <t>Alta</t>
        </is>
      </c>
      <c r="G268" s="3" t="n">
        <v>8</v>
      </c>
      <c r="H268" s="2" t="inlineStr">
        <is>
          <t>2025/26</t>
        </is>
      </c>
      <c r="I268" s="2" t="inlineStr">
        <is>
          <t>por_validar_sem_screenshot_da_liga</t>
        </is>
      </c>
      <c r="J268" s="3" t="n"/>
      <c r="K268" s="2" t="inlineStr">
        <is>
          <t>Não preenchido: falta screenshot/tabela da liga Bulgarian First League na época 2025/26, ou clube não aparece na tabela enviada.</t>
        </is>
      </c>
    </row>
    <row r="269">
      <c r="A269" s="1" t="n">
        <v>268</v>
      </c>
      <c r="B269" s="2" t="inlineStr">
        <is>
          <t>Monterrey</t>
        </is>
      </c>
      <c r="C269" s="2" t="inlineStr">
        <is>
          <t>Liga MX</t>
        </is>
      </c>
      <c r="D269" s="2" t="inlineStr">
        <is>
          <t>Mexico</t>
        </is>
      </c>
      <c r="E269" s="2" t="n">
        <v>1</v>
      </c>
      <c r="F269" s="2" t="inlineStr">
        <is>
          <t>Alta</t>
        </is>
      </c>
      <c r="G269" s="2" t="n">
        <v>13</v>
      </c>
      <c r="H269" s="2" t="n">
        <v>2026</v>
      </c>
      <c r="I269" s="2" t="inlineStr">
        <is>
          <t>confirmado_por_zerozero_screenshot_v6</t>
        </is>
      </c>
      <c r="J269" s="2" t="inlineStr">
        <is>
          <t>ZeroZero screenshot enviado pelo utilizador - Liga MX Clausura 2026 aplicado a Liga MX</t>
        </is>
      </c>
      <c r="K269" s="2" t="inlineStr">
        <is>
          <t>Validado com screenshot ZeroZero enviado nesta passagem. Clube normalizado: Monterrey -&gt; monterrey.</t>
        </is>
      </c>
    </row>
    <row r="270">
      <c r="A270" s="1" t="n">
        <v>269</v>
      </c>
      <c r="B270" s="2" t="inlineStr">
        <is>
          <t>Montpellier</t>
        </is>
      </c>
      <c r="C270" s="2" t="inlineStr">
        <is>
          <t>Ligue 2</t>
        </is>
      </c>
      <c r="D270" s="2" t="inlineStr">
        <is>
          <t>France</t>
        </is>
      </c>
      <c r="E270" s="2" t="n">
        <v>1</v>
      </c>
      <c r="F270" s="2" t="inlineStr">
        <is>
          <t>Alta</t>
        </is>
      </c>
      <c r="G270" s="2" t="n">
        <v>8</v>
      </c>
      <c r="H270" s="2" t="inlineStr">
        <is>
          <t>2025/26</t>
        </is>
      </c>
      <c r="I270" s="2" t="inlineStr">
        <is>
          <t>confirmado_por_zerozero_screenshot_v6</t>
        </is>
      </c>
      <c r="J270" s="2" t="inlineStr">
        <is>
          <t>ZeroZero screenshot enviado pelo utilizador - Ligue 2 2025/26</t>
        </is>
      </c>
      <c r="K270" s="2" t="inlineStr">
        <is>
          <t>Validado com screenshot ZeroZero enviado nesta passagem. Clube normalizado: Montpellier -&gt; montpellier.</t>
        </is>
      </c>
    </row>
    <row r="271">
      <c r="A271" s="1" t="n">
        <v>270</v>
      </c>
      <c r="B271" s="2" t="inlineStr">
        <is>
          <t>Motherwell</t>
        </is>
      </c>
      <c r="C271" s="2" t="inlineStr">
        <is>
          <t>Scottish Premiership</t>
        </is>
      </c>
      <c r="D271" s="2" t="inlineStr">
        <is>
          <t>Scotland</t>
        </is>
      </c>
      <c r="E271" s="2" t="n">
        <v>1</v>
      </c>
      <c r="F271" s="2" t="inlineStr">
        <is>
          <t>Alta</t>
        </is>
      </c>
      <c r="G271" s="2" t="n">
        <v>4</v>
      </c>
      <c r="H271" s="2" t="inlineStr">
        <is>
          <t>2025/26</t>
        </is>
      </c>
      <c r="I271" s="2" t="inlineStr">
        <is>
          <t>confirmado_por_zerozero_screenshot_v6</t>
        </is>
      </c>
      <c r="J271" s="2" t="inlineStr">
        <is>
          <t>ZeroZero screenshot enviado pelo utilizador - Scottish Premiership 2025/26</t>
        </is>
      </c>
      <c r="K271" s="2" t="inlineStr">
        <is>
          <t>Validado com screenshot ZeroZero enviado nesta passagem. Clube normalizado: Motherwell -&gt; motherwell.</t>
        </is>
      </c>
    </row>
    <row r="272">
      <c r="A272" s="1" t="n">
        <v>271</v>
      </c>
      <c r="B272" s="2" t="inlineStr">
        <is>
          <t>NEC</t>
        </is>
      </c>
      <c r="C272" s="2" t="inlineStr">
        <is>
          <t>Eredivisie</t>
        </is>
      </c>
      <c r="D272" s="2" t="inlineStr">
        <is>
          <t>Netherlands</t>
        </is>
      </c>
      <c r="E272" s="2" t="n">
        <v>2</v>
      </c>
      <c r="F272" s="2" t="inlineStr">
        <is>
          <t>Alta</t>
        </is>
      </c>
      <c r="G272" s="2" t="n">
        <v>3</v>
      </c>
      <c r="H272" s="2" t="inlineStr">
        <is>
          <t>2025/26</t>
        </is>
      </c>
      <c r="I272" s="2" t="inlineStr">
        <is>
          <t>confirmado_por_zerozero_screenshot</t>
        </is>
      </c>
      <c r="J272" s="2" t="inlineStr">
        <is>
          <t>ZeroZero screenshot enviado pelo utilizador - Eredivisie 2025/26</t>
        </is>
      </c>
      <c r="K272" s="2" t="inlineStr">
        <is>
          <t>Validado com a classificação visível no screenshot enviado. Clube normalizado: NEC -&gt; nec.</t>
        </is>
      </c>
    </row>
    <row r="273">
      <c r="A273" s="1" t="n">
        <v>272</v>
      </c>
      <c r="B273" s="2" t="inlineStr">
        <is>
          <t>Nancy</t>
        </is>
      </c>
      <c r="C273" s="2" t="inlineStr">
        <is>
          <t>Ligue 2</t>
        </is>
      </c>
      <c r="D273" s="2" t="inlineStr">
        <is>
          <t>France</t>
        </is>
      </c>
      <c r="E273" s="2" t="n">
        <v>1</v>
      </c>
      <c r="F273" s="2" t="inlineStr">
        <is>
          <t>Alta</t>
        </is>
      </c>
      <c r="G273" s="2" t="n">
        <v>14</v>
      </c>
      <c r="H273" s="2" t="inlineStr">
        <is>
          <t>2025/26</t>
        </is>
      </c>
      <c r="I273" s="2" t="inlineStr">
        <is>
          <t>confirmado_por_zerozero_screenshot_v6</t>
        </is>
      </c>
      <c r="J273" s="2" t="inlineStr">
        <is>
          <t>ZeroZero screenshot enviado pelo utilizador - Ligue 2 2025/26</t>
        </is>
      </c>
      <c r="K273" s="2" t="inlineStr">
        <is>
          <t>Validado com screenshot ZeroZero enviado nesta passagem. Clube normalizado: Nancy -&gt; nancy.</t>
        </is>
      </c>
    </row>
    <row r="274">
      <c r="A274" s="1" t="n">
        <v>273</v>
      </c>
      <c r="B274" s="2" t="inlineStr">
        <is>
          <t>Nantes</t>
        </is>
      </c>
      <c r="C274" s="2" t="inlineStr">
        <is>
          <t>Ligue 1</t>
        </is>
      </c>
      <c r="D274" s="2" t="inlineStr">
        <is>
          <t>France</t>
        </is>
      </c>
      <c r="E274" s="2" t="n">
        <v>1</v>
      </c>
      <c r="F274" s="2" t="inlineStr">
        <is>
          <t>Alta</t>
        </is>
      </c>
      <c r="G274" s="2" t="n">
        <v>17</v>
      </c>
      <c r="H274" s="2" t="inlineStr">
        <is>
          <t>2025/26</t>
        </is>
      </c>
      <c r="I274" s="2" t="inlineStr">
        <is>
          <t>confirmado_por_zerozero_screenshot</t>
        </is>
      </c>
      <c r="J274" s="2" t="inlineStr">
        <is>
          <t>ZeroZero screenshot enviado pelo utilizador - Ligue 1 2025/26</t>
        </is>
      </c>
      <c r="K274" s="2" t="inlineStr">
        <is>
          <t>Validado com a classificação visível no screenshot enviado. Clube normalizado: Nantes -&gt; nantes.</t>
        </is>
      </c>
    </row>
    <row r="275">
      <c r="A275" s="1" t="n">
        <v>274</v>
      </c>
      <c r="B275" s="2" t="inlineStr">
        <is>
          <t>Napoli</t>
        </is>
      </c>
      <c r="C275" s="2" t="inlineStr">
        <is>
          <t>Serie A</t>
        </is>
      </c>
      <c r="D275" s="2" t="inlineStr">
        <is>
          <t>Italy</t>
        </is>
      </c>
      <c r="E275" s="2" t="n">
        <v>4</v>
      </c>
      <c r="F275" s="2" t="inlineStr">
        <is>
          <t>Alta</t>
        </is>
      </c>
      <c r="G275" s="2" t="n">
        <v>2</v>
      </c>
      <c r="H275" s="2" t="inlineStr">
        <is>
          <t>2025/26</t>
        </is>
      </c>
      <c r="I275" s="2" t="inlineStr">
        <is>
          <t>confirmado_por_zerozero_screenshot</t>
        </is>
      </c>
      <c r="J275" s="2" t="inlineStr">
        <is>
          <t>ZeroZero screenshot enviado pelo utilizador - Serie A 2025/26</t>
        </is>
      </c>
      <c r="K275" s="2" t="inlineStr">
        <is>
          <t>Validado com a classificação visível no screenshot enviado. Clube normalizado: Napoli -&gt; napoli.</t>
        </is>
      </c>
    </row>
    <row r="276">
      <c r="A276" s="1" t="n">
        <v>275</v>
      </c>
      <c r="B276" s="2" t="inlineStr">
        <is>
          <t>Nasaf Qarshi</t>
        </is>
      </c>
      <c r="C276" s="2" t="inlineStr">
        <is>
          <t>Uzbekistan Super League</t>
        </is>
      </c>
      <c r="D276" s="2" t="inlineStr">
        <is>
          <t>Uzbekistan</t>
        </is>
      </c>
      <c r="E276" s="2" t="n">
        <v>2</v>
      </c>
      <c r="F276" s="2" t="inlineStr">
        <is>
          <t>Alta</t>
        </is>
      </c>
      <c r="G276" s="2" t="n">
        <v>9</v>
      </c>
      <c r="H276" s="2" t="n">
        <v>2026</v>
      </c>
      <c r="I276" s="2" t="inlineStr">
        <is>
          <t>confirmado_por_zerozero_screenshot_v5</t>
        </is>
      </c>
      <c r="J276" s="2" t="inlineStr">
        <is>
          <t>ZeroZero screenshot enviado pelo utilizador - Uzbekistan Super League 2026</t>
        </is>
      </c>
      <c r="K276" s="2" t="inlineStr">
        <is>
          <t>Validado com screenshot ZeroZero enviado nesta passagem. Clube normalizado: Nasaf Qarshi -&gt; nasaf qarshi.</t>
        </is>
      </c>
    </row>
    <row r="277">
      <c r="A277" s="1" t="n">
        <v>276</v>
      </c>
      <c r="B277" s="2" t="inlineStr">
        <is>
          <t>Nashville SC</t>
        </is>
      </c>
      <c r="C277" s="2" t="inlineStr">
        <is>
          <t>Major League Soccer</t>
        </is>
      </c>
      <c r="D277" s="2" t="inlineStr">
        <is>
          <t>United States/Canada</t>
        </is>
      </c>
      <c r="E277" s="2" t="n">
        <v>1</v>
      </c>
      <c r="F277" s="2" t="inlineStr">
        <is>
          <t>Alta</t>
        </is>
      </c>
      <c r="G277" s="2" t="n">
        <v>1</v>
      </c>
      <c r="H277" s="2" t="n">
        <v>2026</v>
      </c>
      <c r="I277" s="2" t="inlineStr">
        <is>
          <t>confirmado_por_zerozero_screenshot</t>
        </is>
      </c>
      <c r="J277" s="2" t="inlineStr">
        <is>
          <t>ZeroZero screenshot enviado pelo utilizador - MLS 2026, posição na conferência</t>
        </is>
      </c>
      <c r="K277" s="2" t="inlineStr">
        <is>
          <t>Validado com a classificação visível no screenshot enviado. Clube normalizado: Nashville SC -&gt; nashville sc.</t>
        </is>
      </c>
    </row>
    <row r="278">
      <c r="A278" s="1" t="n">
        <v>277</v>
      </c>
      <c r="B278" s="2" t="inlineStr">
        <is>
          <t>Navbahor Namangan</t>
        </is>
      </c>
      <c r="C278" s="2" t="inlineStr">
        <is>
          <t>Uzbekistan Super League</t>
        </is>
      </c>
      <c r="D278" s="2" t="inlineStr">
        <is>
          <t>Uzbekistan</t>
        </is>
      </c>
      <c r="E278" s="2" t="n">
        <v>1</v>
      </c>
      <c r="F278" s="2" t="inlineStr">
        <is>
          <t>Alta</t>
        </is>
      </c>
      <c r="G278" s="2" t="n">
        <v>4</v>
      </c>
      <c r="H278" s="2" t="n">
        <v>2026</v>
      </c>
      <c r="I278" s="2" t="inlineStr">
        <is>
          <t>confirmado_por_zerozero_screenshot_v5</t>
        </is>
      </c>
      <c r="J278" s="2" t="inlineStr">
        <is>
          <t>ZeroZero screenshot enviado pelo utilizador - Uzbekistan Super League 2026</t>
        </is>
      </c>
      <c r="K278" s="2" t="inlineStr">
        <is>
          <t>Validado com screenshot ZeroZero enviado nesta passagem. Clube normalizado: Navbahor Namangan -&gt; navbahor namangan.</t>
        </is>
      </c>
    </row>
    <row r="279">
      <c r="A279" s="1" t="n">
        <v>278</v>
      </c>
      <c r="B279" s="2" t="inlineStr">
        <is>
          <t>Neftchi</t>
        </is>
      </c>
      <c r="C279" s="2" t="inlineStr">
        <is>
          <t>Uzbekistan Super League</t>
        </is>
      </c>
      <c r="D279" s="2" t="inlineStr">
        <is>
          <t>Uzbekistan</t>
        </is>
      </c>
      <c r="E279" s="2" t="n">
        <v>3</v>
      </c>
      <c r="F279" s="2" t="inlineStr">
        <is>
          <t>Alta</t>
        </is>
      </c>
      <c r="G279" s="2" t="n">
        <v>1</v>
      </c>
      <c r="H279" s="2" t="n">
        <v>2026</v>
      </c>
      <c r="I279" s="2" t="inlineStr">
        <is>
          <t>confirmado_por_zerozero_screenshot_v5</t>
        </is>
      </c>
      <c r="J279" s="2" t="inlineStr">
        <is>
          <t>ZeroZero screenshot enviado pelo utilizador - Uzbekistan Super League 2026</t>
        </is>
      </c>
      <c r="K279" s="2" t="inlineStr">
        <is>
          <t>Validado com screenshot ZeroZero enviado nesta passagem. Clube normalizado: Neftchi -&gt; neftchi.</t>
        </is>
      </c>
    </row>
    <row r="280">
      <c r="A280" s="1" t="n">
        <v>279</v>
      </c>
      <c r="B280" s="2" t="inlineStr">
        <is>
          <t>Neom SC</t>
        </is>
      </c>
      <c r="C280" s="2" t="inlineStr">
        <is>
          <t>Saudi Pro League</t>
        </is>
      </c>
      <c r="D280" s="2" t="inlineStr">
        <is>
          <t>Saudi Arabia</t>
        </is>
      </c>
      <c r="E280" s="2" t="n">
        <v>3</v>
      </c>
      <c r="F280" s="2" t="inlineStr">
        <is>
          <t>Alta</t>
        </is>
      </c>
      <c r="G280" s="2" t="n">
        <v>8</v>
      </c>
      <c r="H280" s="2" t="inlineStr">
        <is>
          <t>2025/26</t>
        </is>
      </c>
      <c r="I280" s="2" t="inlineStr">
        <is>
          <t>confirmado_por_zerozero_screenshot</t>
        </is>
      </c>
      <c r="J280" s="2" t="inlineStr">
        <is>
          <t>ZeroZero screenshot enviado pelo utilizador - Saudi Premier League 2025/26</t>
        </is>
      </c>
      <c r="K280" s="2" t="inlineStr">
        <is>
          <t>Validado com a classificação visível no screenshot enviado. Clube normalizado: Neom SC -&gt; neom sc.</t>
        </is>
      </c>
    </row>
    <row r="281">
      <c r="A281" s="1" t="n">
        <v>280</v>
      </c>
      <c r="B281" s="2" t="inlineStr">
        <is>
          <t>New England Revolution</t>
        </is>
      </c>
      <c r="C281" s="2" t="inlineStr">
        <is>
          <t>Major League Soccer</t>
        </is>
      </c>
      <c r="D281" s="2" t="inlineStr">
        <is>
          <t>United States/Canada</t>
        </is>
      </c>
      <c r="E281" s="2" t="n">
        <v>1</v>
      </c>
      <c r="F281" s="2" t="inlineStr">
        <is>
          <t>Alta</t>
        </is>
      </c>
      <c r="G281" s="2" t="n">
        <v>4</v>
      </c>
      <c r="H281" s="2" t="n">
        <v>2026</v>
      </c>
      <c r="I281" s="2" t="inlineStr">
        <is>
          <t>confirmado_por_zerozero_screenshot</t>
        </is>
      </c>
      <c r="J281" s="2" t="inlineStr">
        <is>
          <t>ZeroZero screenshot enviado pelo utilizador - MLS 2026, posição na conferência</t>
        </is>
      </c>
      <c r="K281" s="2" t="inlineStr">
        <is>
          <t>Validado com a classificação visível no screenshot enviado. Clube normalizado: New England Revolution -&gt; new england revolution.</t>
        </is>
      </c>
    </row>
    <row r="282">
      <c r="A282" s="1" t="n">
        <v>281</v>
      </c>
      <c r="B282" s="2" t="inlineStr">
        <is>
          <t>New York City FC</t>
        </is>
      </c>
      <c r="C282" s="2" t="inlineStr">
        <is>
          <t>Major League Soccer</t>
        </is>
      </c>
      <c r="D282" s="2" t="inlineStr">
        <is>
          <t>United States/Canada</t>
        </is>
      </c>
      <c r="E282" s="2" t="n">
        <v>3</v>
      </c>
      <c r="F282" s="2" t="inlineStr">
        <is>
          <t>Alta</t>
        </is>
      </c>
      <c r="G282" s="2" t="n">
        <v>8</v>
      </c>
      <c r="H282" s="2" t="n">
        <v>2026</v>
      </c>
      <c r="I282" s="2" t="inlineStr">
        <is>
          <t>confirmado_por_zerozero_screenshot</t>
        </is>
      </c>
      <c r="J282" s="2" t="inlineStr">
        <is>
          <t>ZeroZero screenshot enviado pelo utilizador - MLS 2026, posição na conferência</t>
        </is>
      </c>
      <c r="K282" s="2" t="inlineStr">
        <is>
          <t>Validado com a classificação visível no screenshot enviado. Clube normalizado: New York City FC -&gt; new york city fc.</t>
        </is>
      </c>
    </row>
    <row r="283">
      <c r="A283" s="1" t="n">
        <v>282</v>
      </c>
      <c r="B283" s="2" t="inlineStr">
        <is>
          <t>Newcastle</t>
        </is>
      </c>
      <c r="C283" s="2" t="inlineStr">
        <is>
          <t>Premier League</t>
        </is>
      </c>
      <c r="D283" s="2" t="inlineStr">
        <is>
          <t>England</t>
        </is>
      </c>
      <c r="E283" s="2" t="n">
        <v>11</v>
      </c>
      <c r="F283" s="2" t="inlineStr">
        <is>
          <t>Alta</t>
        </is>
      </c>
      <c r="G283" s="2" t="n">
        <v>12</v>
      </c>
      <c r="H283" s="2" t="inlineStr">
        <is>
          <t>2025/26</t>
        </is>
      </c>
      <c r="I283" s="2" t="inlineStr">
        <is>
          <t>confirmado_por_zerozero_screenshot</t>
        </is>
      </c>
      <c r="J283" s="2" t="inlineStr">
        <is>
          <t>ZeroZero screenshot enviado pelo utilizador - Premier League 2025/26</t>
        </is>
      </c>
      <c r="K283" s="2" t="inlineStr">
        <is>
          <t>Validado com a classificação visível no screenshot enviado. Clube normalizado: Newcastle -&gt; newcastle.</t>
        </is>
      </c>
    </row>
    <row r="284">
      <c r="A284" s="1" t="n">
        <v>283</v>
      </c>
      <c r="B284" s="2" t="inlineStr">
        <is>
          <t>Newcastle Jets</t>
        </is>
      </c>
      <c r="C284" s="2" t="inlineStr">
        <is>
          <t>A-League Men</t>
        </is>
      </c>
      <c r="D284" s="2" t="inlineStr">
        <is>
          <t>Australia/New Zealand</t>
        </is>
      </c>
      <c r="E284" s="2" t="n">
        <v>1</v>
      </c>
      <c r="F284" s="2" t="inlineStr">
        <is>
          <t>Alta</t>
        </is>
      </c>
      <c r="G284" s="2" t="n">
        <v>1</v>
      </c>
      <c r="H284" s="2" t="inlineStr">
        <is>
          <t>2025/26</t>
        </is>
      </c>
      <c r="I284" s="2" t="inlineStr">
        <is>
          <t>confirmado_por_zerozero_screenshot_v6</t>
        </is>
      </c>
      <c r="J284" s="2" t="inlineStr">
        <is>
          <t>ZeroZero screenshot enviado pelo utilizador - A-League Men 2025/26</t>
        </is>
      </c>
      <c r="K284" s="2" t="inlineStr">
        <is>
          <t>Validado com screenshot ZeroZero enviado nesta passagem. Clube normalizado: Newcastle Jets -&gt; newcastle jets.</t>
        </is>
      </c>
    </row>
    <row r="285">
      <c r="A285" s="1" t="n">
        <v>284</v>
      </c>
      <c r="B285" s="2" t="inlineStr">
        <is>
          <t>Nice</t>
        </is>
      </c>
      <c r="C285" s="2" t="inlineStr">
        <is>
          <t>Ligue 1</t>
        </is>
      </c>
      <c r="D285" s="2" t="inlineStr">
        <is>
          <t>France</t>
        </is>
      </c>
      <c r="E285" s="2" t="n">
        <v>8</v>
      </c>
      <c r="F285" s="2" t="inlineStr">
        <is>
          <t>Alta</t>
        </is>
      </c>
      <c r="G285" s="2" t="n">
        <v>16</v>
      </c>
      <c r="H285" s="2" t="inlineStr">
        <is>
          <t>2025/26</t>
        </is>
      </c>
      <c r="I285" s="2" t="inlineStr">
        <is>
          <t>confirmado_por_zerozero_screenshot</t>
        </is>
      </c>
      <c r="J285" s="2" t="inlineStr">
        <is>
          <t>ZeroZero screenshot enviado pelo utilizador - Ligue 1 2025/26</t>
        </is>
      </c>
      <c r="K285" s="2" t="inlineStr">
        <is>
          <t>Validado com a classificação visível no screenshot enviado. Clube normalizado: Nice -&gt; nice.</t>
        </is>
      </c>
    </row>
    <row r="286">
      <c r="A286" s="1" t="n">
        <v>285</v>
      </c>
      <c r="B286" s="2" t="inlineStr">
        <is>
          <t>Nordsjaelland</t>
        </is>
      </c>
      <c r="C286" s="2" t="inlineStr">
        <is>
          <t>Danish Superliga</t>
        </is>
      </c>
      <c r="D286" s="2" t="inlineStr">
        <is>
          <t>Denmark</t>
        </is>
      </c>
      <c r="E286" s="2" t="n">
        <v>2</v>
      </c>
      <c r="F286" s="2" t="inlineStr">
        <is>
          <t>Alta</t>
        </is>
      </c>
      <c r="G286" s="2" t="n">
        <v>6</v>
      </c>
      <c r="H286" s="2" t="inlineStr">
        <is>
          <t>2025/26</t>
        </is>
      </c>
      <c r="I286" s="2" t="inlineStr">
        <is>
          <t>confirmado_por_zerozero_screenshot</t>
        </is>
      </c>
      <c r="J286" s="2" t="inlineStr">
        <is>
          <t>ZeroZero screenshot enviado pelo utilizador - Superligaen fase regular 2025/26</t>
        </is>
      </c>
      <c r="K286" s="2" t="inlineStr">
        <is>
          <t>Validado com a classificação visível no screenshot enviado. Clube normalizado: Nordsjaelland -&gt; nordsjaelland.</t>
        </is>
      </c>
    </row>
    <row r="287">
      <c r="A287" s="1" t="n">
        <v>286</v>
      </c>
      <c r="B287" s="2" t="inlineStr">
        <is>
          <t>Norwich City</t>
        </is>
      </c>
      <c r="C287" s="2" t="inlineStr">
        <is>
          <t>EFL Championship</t>
        </is>
      </c>
      <c r="D287" s="2" t="inlineStr">
        <is>
          <t>England</t>
        </is>
      </c>
      <c r="E287" s="2" t="n">
        <v>4</v>
      </c>
      <c r="F287" s="2" t="inlineStr">
        <is>
          <t>Alta</t>
        </is>
      </c>
      <c r="G287" s="2" t="n">
        <v>9</v>
      </c>
      <c r="H287" s="2" t="inlineStr">
        <is>
          <t>2025/26</t>
        </is>
      </c>
      <c r="I287" s="2" t="inlineStr">
        <is>
          <t>confirmado_por_zerozero_screenshot_v5</t>
        </is>
      </c>
      <c r="J287" s="2" t="inlineStr">
        <is>
          <t>ZeroZero screenshot enviado pelo utilizador - Championship 2025/26</t>
        </is>
      </c>
      <c r="K287" s="2" t="inlineStr">
        <is>
          <t>Validado com screenshot ZeroZero enviado nesta passagem. Clube normalizado: Norwich City -&gt; norwich city.</t>
        </is>
      </c>
    </row>
    <row r="288">
      <c r="A288" s="1" t="n">
        <v>287</v>
      </c>
      <c r="B288" s="2" t="inlineStr">
        <is>
          <t>Nottingham Forest</t>
        </is>
      </c>
      <c r="C288" s="2" t="inlineStr">
        <is>
          <t>Premier League</t>
        </is>
      </c>
      <c r="D288" s="2" t="inlineStr">
        <is>
          <t>England</t>
        </is>
      </c>
      <c r="E288" s="2" t="n">
        <v>5</v>
      </c>
      <c r="F288" s="2" t="inlineStr">
        <is>
          <t>Alta</t>
        </is>
      </c>
      <c r="G288" s="2" t="n">
        <v>16</v>
      </c>
      <c r="H288" s="2" t="inlineStr">
        <is>
          <t>2025/26</t>
        </is>
      </c>
      <c r="I288" s="2" t="inlineStr">
        <is>
          <t>confirmado_por_zerozero_screenshot</t>
        </is>
      </c>
      <c r="J288" s="2" t="inlineStr">
        <is>
          <t>ZeroZero screenshot enviado pelo utilizador - Premier League 2025/26</t>
        </is>
      </c>
      <c r="K288" s="2" t="inlineStr">
        <is>
          <t>Validado com a classificação visível no screenshot enviado. Clube normalizado: Nottingham Forest -&gt; nottingham forest.</t>
        </is>
      </c>
    </row>
    <row r="289">
      <c r="A289" s="1" t="n">
        <v>288</v>
      </c>
      <c r="B289" s="2" t="inlineStr">
        <is>
          <t>Olimpia</t>
        </is>
      </c>
      <c r="C289" s="2" t="inlineStr">
        <is>
          <t>Paraguayan Primera División</t>
        </is>
      </c>
      <c r="D289" s="2" t="inlineStr">
        <is>
          <t>Paraguay</t>
        </is>
      </c>
      <c r="E289" s="2" t="n">
        <v>1</v>
      </c>
      <c r="F289" s="2" t="inlineStr">
        <is>
          <t>Alta</t>
        </is>
      </c>
      <c r="G289" s="2" t="n">
        <v>1</v>
      </c>
      <c r="H289" s="2" t="n">
        <v>2026</v>
      </c>
      <c r="I289" s="2" t="inlineStr">
        <is>
          <t>confirmado_por_zerozero_screenshot_v9</t>
        </is>
      </c>
      <c r="J289" s="2" t="inlineStr">
        <is>
          <t>ZeroZero screenshot enviado pelo utilizador - Liga Paraguaia Apertura 2026</t>
        </is>
      </c>
      <c r="K289" s="2" t="inlineStr">
        <is>
          <t>Validado com screenshot ZeroZero enviado nesta passagem. Clube normalizado: Olimpia -&gt; olimpia.</t>
        </is>
      </c>
    </row>
    <row r="290">
      <c r="A290" s="1" t="n">
        <v>289</v>
      </c>
      <c r="B290" s="2" t="inlineStr">
        <is>
          <t>Olmaliq FK</t>
        </is>
      </c>
      <c r="C290" s="2" t="inlineStr">
        <is>
          <t>Uzbekistan Super League</t>
        </is>
      </c>
      <c r="D290" s="2" t="inlineStr">
        <is>
          <t>Uzbekistan</t>
        </is>
      </c>
      <c r="E290" s="2" t="n">
        <v>1</v>
      </c>
      <c r="F290" s="2" t="inlineStr">
        <is>
          <t>Alta</t>
        </is>
      </c>
      <c r="G290" s="2" t="n">
        <v>7</v>
      </c>
      <c r="H290" s="2" t="n">
        <v>2026</v>
      </c>
      <c r="I290" s="2" t="inlineStr">
        <is>
          <t>confirmado_por_zerozero_screenshot_v5</t>
        </is>
      </c>
      <c r="J290" s="2" t="inlineStr">
        <is>
          <t>ZeroZero screenshot enviado pelo utilizador - Uzbekistan Super League 2026</t>
        </is>
      </c>
      <c r="K290" s="2" t="inlineStr">
        <is>
          <t>Validado com screenshot ZeroZero enviado nesta passagem. Clube normalizado: Olmaliq FK -&gt; olmaliq fk.</t>
        </is>
      </c>
    </row>
    <row r="291">
      <c r="A291" s="1" t="n">
        <v>290</v>
      </c>
      <c r="B291" s="2" t="inlineStr">
        <is>
          <t>Olympiacos</t>
        </is>
      </c>
      <c r="C291" s="2" t="inlineStr">
        <is>
          <t>Super League Greece</t>
        </is>
      </c>
      <c r="D291" s="2" t="inlineStr">
        <is>
          <t>Greece</t>
        </is>
      </c>
      <c r="E291" s="2" t="n">
        <v>2</v>
      </c>
      <c r="F291" s="2" t="inlineStr">
        <is>
          <t>Alta</t>
        </is>
      </c>
      <c r="G291" s="2" t="n">
        <v>2</v>
      </c>
      <c r="H291" s="2" t="inlineStr">
        <is>
          <t>2025/26</t>
        </is>
      </c>
      <c r="I291" s="2" t="inlineStr">
        <is>
          <t>confirmado_por_zerozero_screenshot_v5</t>
        </is>
      </c>
      <c r="J291" s="2" t="inlineStr">
        <is>
          <t>ZeroZero screenshot enviado pelo utilizador - Super League Greece 2025/26</t>
        </is>
      </c>
      <c r="K291" s="2" t="inlineStr">
        <is>
          <t>Validado com screenshot ZeroZero enviado nesta passagem. Clube normalizado: Olympiacos -&gt; olympiacos.</t>
        </is>
      </c>
    </row>
    <row r="292">
      <c r="A292" s="1" t="n">
        <v>291</v>
      </c>
      <c r="B292" s="2" t="inlineStr">
        <is>
          <t>Omonia</t>
        </is>
      </c>
      <c r="C292" s="2" t="inlineStr">
        <is>
          <t>Cypriot First Division</t>
        </is>
      </c>
      <c r="D292" s="2" t="inlineStr">
        <is>
          <t>Cyprus</t>
        </is>
      </c>
      <c r="E292" s="2" t="n">
        <v>1</v>
      </c>
      <c r="F292" s="2" t="inlineStr">
        <is>
          <t>Alta</t>
        </is>
      </c>
      <c r="G292" s="2" t="n">
        <v>1</v>
      </c>
      <c r="H292" s="2" t="inlineStr">
        <is>
          <t>2025/26</t>
        </is>
      </c>
      <c r="I292" s="2" t="inlineStr">
        <is>
          <t>confirmado_por_zerozero_screenshot_v5</t>
        </is>
      </c>
      <c r="J292" s="2" t="inlineStr">
        <is>
          <t>ZeroZero screenshot enviado pelo utilizador - Cypriot First Division 2025/26</t>
        </is>
      </c>
      <c r="K292" s="2" t="inlineStr">
        <is>
          <t>Validado com screenshot ZeroZero enviado nesta passagem. Clube normalizado: Omonia -&gt; omonia.</t>
        </is>
      </c>
    </row>
    <row r="293">
      <c r="A293" s="1" t="n">
        <v>292</v>
      </c>
      <c r="B293" s="2" t="inlineStr">
        <is>
          <t>Orlando City</t>
        </is>
      </c>
      <c r="C293" s="2" t="inlineStr">
        <is>
          <t>Major League Soccer</t>
        </is>
      </c>
      <c r="D293" s="2" t="inlineStr">
        <is>
          <t>United States/Canada</t>
        </is>
      </c>
      <c r="E293" s="2" t="n">
        <v>3</v>
      </c>
      <c r="F293" s="2" t="inlineStr">
        <is>
          <t>Alta</t>
        </is>
      </c>
      <c r="G293" s="2" t="n">
        <v>12</v>
      </c>
      <c r="H293" s="2" t="n">
        <v>2026</v>
      </c>
      <c r="I293" s="2" t="inlineStr">
        <is>
          <t>confirmado_por_zerozero_screenshot</t>
        </is>
      </c>
      <c r="J293" s="2" t="inlineStr">
        <is>
          <t>ZeroZero screenshot enviado pelo utilizador - MLS 2026, posição na conferência</t>
        </is>
      </c>
      <c r="K293" s="2" t="inlineStr">
        <is>
          <t>Validado com a classificação visível no screenshot enviado. Clube normalizado: Orlando City -&gt; orlando city.</t>
        </is>
      </c>
    </row>
    <row r="294">
      <c r="A294" s="1" t="n">
        <v>293</v>
      </c>
      <c r="B294" s="2" t="inlineStr">
        <is>
          <t>Orlando Pirates</t>
        </is>
      </c>
      <c r="C294" s="2" t="inlineStr">
        <is>
          <t>South African Premiership</t>
        </is>
      </c>
      <c r="D294" s="2" t="inlineStr">
        <is>
          <t>South Africa</t>
        </is>
      </c>
      <c r="E294" s="2" t="n">
        <v>8</v>
      </c>
      <c r="F294" s="2" t="inlineStr">
        <is>
          <t>Alta</t>
        </is>
      </c>
      <c r="G294" s="2" t="n">
        <v>1</v>
      </c>
      <c r="H294" s="2" t="inlineStr">
        <is>
          <t>2025/26</t>
        </is>
      </c>
      <c r="I294" s="2" t="inlineStr">
        <is>
          <t>confirmado_por_zerozero_screenshot_v7</t>
        </is>
      </c>
      <c r="J294" s="2" t="inlineStr">
        <is>
          <t>ZeroZero screenshot enviado pelo utilizador - Liga Sul-Africana 2025/26</t>
        </is>
      </c>
      <c r="K294" s="2" t="inlineStr">
        <is>
          <t>Validado com screenshot ZeroZero enviado nesta passagem. Clube normalizado: Orlando Pirates -&gt; orlando pirates.</t>
        </is>
      </c>
    </row>
    <row r="295">
      <c r="A295" s="1" t="n">
        <v>294</v>
      </c>
      <c r="B295" s="2" t="inlineStr">
        <is>
          <t>Osasuna</t>
        </is>
      </c>
      <c r="C295" s="2" t="inlineStr">
        <is>
          <t>LaLiga</t>
        </is>
      </c>
      <c r="D295" s="2" t="inlineStr">
        <is>
          <t>Spain</t>
        </is>
      </c>
      <c r="E295" s="2" t="n">
        <v>2</v>
      </c>
      <c r="F295" s="2" t="inlineStr">
        <is>
          <t>Alta</t>
        </is>
      </c>
      <c r="G295" s="2" t="n">
        <v>17</v>
      </c>
      <c r="H295" s="2" t="inlineStr">
        <is>
          <t>2025/26</t>
        </is>
      </c>
      <c r="I295" s="2" t="inlineStr">
        <is>
          <t>confirmado_por_zerozero_screenshot</t>
        </is>
      </c>
      <c r="J295" s="2" t="inlineStr">
        <is>
          <t>ZeroZero screenshot enviado pelo utilizador - LaLiga 2025/26</t>
        </is>
      </c>
      <c r="K295" s="2" t="inlineStr">
        <is>
          <t>Validado com a classificação visível no screenshot enviado. Clube normalizado: Osasuna -&gt; osasuna.</t>
        </is>
      </c>
    </row>
    <row r="296">
      <c r="A296" s="1" t="n">
        <v>295</v>
      </c>
      <c r="B296" s="2" t="inlineStr">
        <is>
          <t>PAOK</t>
        </is>
      </c>
      <c r="C296" s="2" t="inlineStr">
        <is>
          <t>Super League Greece</t>
        </is>
      </c>
      <c r="D296" s="2" t="inlineStr">
        <is>
          <t>Greece</t>
        </is>
      </c>
      <c r="E296" s="2" t="n">
        <v>2</v>
      </c>
      <c r="F296" s="2" t="inlineStr">
        <is>
          <t>Alta</t>
        </is>
      </c>
      <c r="G296" s="2" t="n">
        <v>3</v>
      </c>
      <c r="H296" s="2" t="inlineStr">
        <is>
          <t>2025/26</t>
        </is>
      </c>
      <c r="I296" s="2" t="inlineStr">
        <is>
          <t>confirmado_por_zerozero_screenshot_v5</t>
        </is>
      </c>
      <c r="J296" s="2" t="inlineStr">
        <is>
          <t>ZeroZero screenshot enviado pelo utilizador - Super League Greece 2025/26</t>
        </is>
      </c>
      <c r="K296" s="2" t="inlineStr">
        <is>
          <t>Validado com screenshot ZeroZero enviado nesta passagem. Clube normalizado: PAOK -&gt; paok.</t>
        </is>
      </c>
    </row>
    <row r="297">
      <c r="A297" s="1" t="n">
        <v>296</v>
      </c>
      <c r="B297" s="2" t="inlineStr">
        <is>
          <t>PSG</t>
        </is>
      </c>
      <c r="C297" s="2" t="inlineStr">
        <is>
          <t>Ligue 1</t>
        </is>
      </c>
      <c r="D297" s="2" t="inlineStr">
        <is>
          <t>France</t>
        </is>
      </c>
      <c r="E297" s="2" t="n">
        <v>16</v>
      </c>
      <c r="F297" s="2" t="inlineStr">
        <is>
          <t>Alta</t>
        </is>
      </c>
      <c r="G297" s="2" t="n">
        <v>1</v>
      </c>
      <c r="H297" s="2" t="inlineStr">
        <is>
          <t>2025/26</t>
        </is>
      </c>
      <c r="I297" s="2" t="inlineStr">
        <is>
          <t>confirmado_por_zerozero_screenshot</t>
        </is>
      </c>
      <c r="J297" s="2" t="inlineStr">
        <is>
          <t>ZeroZero screenshot enviado pelo utilizador - Ligue 1 2025/26</t>
        </is>
      </c>
      <c r="K297" s="2" t="inlineStr">
        <is>
          <t>Validado com a classificação visível no screenshot enviado. Clube normalizado: PSG -&gt; psg.</t>
        </is>
      </c>
    </row>
    <row r="298">
      <c r="A298" s="1" t="n">
        <v>297</v>
      </c>
      <c r="B298" s="2" t="inlineStr">
        <is>
          <t>PSV</t>
        </is>
      </c>
      <c r="C298" s="2" t="inlineStr">
        <is>
          <t>Eredivisie</t>
        </is>
      </c>
      <c r="D298" s="2" t="inlineStr">
        <is>
          <t>Netherlands</t>
        </is>
      </c>
      <c r="E298" s="2" t="n">
        <v>11</v>
      </c>
      <c r="F298" s="2" t="inlineStr">
        <is>
          <t>Alta</t>
        </is>
      </c>
      <c r="G298" s="2" t="n">
        <v>1</v>
      </c>
      <c r="H298" s="2" t="inlineStr">
        <is>
          <t>2025/26</t>
        </is>
      </c>
      <c r="I298" s="2" t="inlineStr">
        <is>
          <t>confirmado_por_zerozero_screenshot</t>
        </is>
      </c>
      <c r="J298" s="2" t="inlineStr">
        <is>
          <t>ZeroZero screenshot enviado pelo utilizador - Eredivisie 2025/26</t>
        </is>
      </c>
      <c r="K298" s="2" t="inlineStr">
        <is>
          <t>Validado com a classificação visível no screenshot enviado. Clube normalizado: PSV -&gt; psv.</t>
        </is>
      </c>
    </row>
    <row r="299">
      <c r="A299" s="1" t="n">
        <v>298</v>
      </c>
      <c r="B299" s="2" t="inlineStr">
        <is>
          <t>Pachuca</t>
        </is>
      </c>
      <c r="C299" s="2" t="inlineStr">
        <is>
          <t>Liga MX</t>
        </is>
      </c>
      <c r="D299" s="2" t="inlineStr">
        <is>
          <t>Mexico</t>
        </is>
      </c>
      <c r="E299" s="2" t="n">
        <v>1</v>
      </c>
      <c r="F299" s="2" t="inlineStr">
        <is>
          <t>Alta</t>
        </is>
      </c>
      <c r="G299" s="2" t="n">
        <v>4</v>
      </c>
      <c r="H299" s="2" t="n">
        <v>2026</v>
      </c>
      <c r="I299" s="2" t="inlineStr">
        <is>
          <t>confirmado_por_zerozero_screenshot_v6</t>
        </is>
      </c>
      <c r="J299" s="2" t="inlineStr">
        <is>
          <t>ZeroZero screenshot enviado pelo utilizador - Liga MX Clausura 2026 aplicado a Liga MX</t>
        </is>
      </c>
      <c r="K299" s="2" t="inlineStr">
        <is>
          <t>Validado com screenshot ZeroZero enviado nesta passagem. Clube normalizado: Pachuca -&gt; pachuca.</t>
        </is>
      </c>
    </row>
    <row r="300">
      <c r="A300" s="1" t="n">
        <v>299</v>
      </c>
      <c r="B300" s="2" t="inlineStr">
        <is>
          <t>Pafos FC</t>
        </is>
      </c>
      <c r="C300" s="2" t="inlineStr">
        <is>
          <t>Cypriot First Division</t>
        </is>
      </c>
      <c r="D300" s="2" t="inlineStr">
        <is>
          <t>Cyprus</t>
        </is>
      </c>
      <c r="E300" s="2" t="n">
        <v>3</v>
      </c>
      <c r="F300" s="2" t="inlineStr">
        <is>
          <t>Alta</t>
        </is>
      </c>
      <c r="G300" s="2" t="n">
        <v>4</v>
      </c>
      <c r="H300" s="2" t="inlineStr">
        <is>
          <t>2025/26</t>
        </is>
      </c>
      <c r="I300" s="2" t="inlineStr">
        <is>
          <t>confirmado_por_zerozero_screenshot_v5</t>
        </is>
      </c>
      <c r="J300" s="2" t="inlineStr">
        <is>
          <t>ZeroZero screenshot enviado pelo utilizador - Cypriot First Division 2025/26</t>
        </is>
      </c>
      <c r="K300" s="2" t="inlineStr">
        <is>
          <t>Validado com screenshot ZeroZero enviado nesta passagem. Clube normalizado: Pafos FC -&gt; pafos fc.</t>
        </is>
      </c>
    </row>
    <row r="301">
      <c r="A301" s="1" t="n">
        <v>300</v>
      </c>
      <c r="B301" s="2" t="inlineStr">
        <is>
          <t>Pakhtakor</t>
        </is>
      </c>
      <c r="C301" s="2" t="inlineStr">
        <is>
          <t>Uzbekistan Super League</t>
        </is>
      </c>
      <c r="D301" s="2" t="inlineStr">
        <is>
          <t>Uzbekistan</t>
        </is>
      </c>
      <c r="E301" s="2" t="n">
        <v>4</v>
      </c>
      <c r="F301" s="2" t="inlineStr">
        <is>
          <t>Alta</t>
        </is>
      </c>
      <c r="G301" s="2" t="n">
        <v>2</v>
      </c>
      <c r="H301" s="2" t="n">
        <v>2026</v>
      </c>
      <c r="I301" s="2" t="inlineStr">
        <is>
          <t>confirmado_por_zerozero_screenshot_v5</t>
        </is>
      </c>
      <c r="J301" s="2" t="inlineStr">
        <is>
          <t>ZeroZero screenshot enviado pelo utilizador - Uzbekistan Super League 2026</t>
        </is>
      </c>
      <c r="K301" s="2" t="inlineStr">
        <is>
          <t>Validado com screenshot ZeroZero enviado nesta passagem. Clube normalizado: Pakhtakor -&gt; pakhtakor.</t>
        </is>
      </c>
    </row>
    <row r="302">
      <c r="A302" s="1" t="n">
        <v>301</v>
      </c>
      <c r="B302" s="2" t="inlineStr">
        <is>
          <t>Palmeiras</t>
        </is>
      </c>
      <c r="C302" s="2" t="inlineStr">
        <is>
          <t>Campeonato Brasileiro Série A</t>
        </is>
      </c>
      <c r="D302" s="2" t="inlineStr">
        <is>
          <t>Brazil</t>
        </is>
      </c>
      <c r="E302" s="2" t="n">
        <v>8</v>
      </c>
      <c r="F302" s="2" t="inlineStr">
        <is>
          <t>Alta</t>
        </is>
      </c>
      <c r="G302" s="2" t="n">
        <v>1</v>
      </c>
      <c r="H302" s="2" t="n">
        <v>2026</v>
      </c>
      <c r="I302" s="2" t="inlineStr">
        <is>
          <t>confirmado_por_zerozero_screenshot</t>
        </is>
      </c>
      <c r="J302" s="2" t="inlineStr">
        <is>
          <t>ZeroZero screenshot enviado pelo utilizador - Brasileirão Série A 2026</t>
        </is>
      </c>
      <c r="K302" s="2" t="inlineStr">
        <is>
          <t>Validado com a classificação visível no screenshot enviado. Clube normalizado: Palmeiras -&gt; palmeiras.</t>
        </is>
      </c>
    </row>
    <row r="303">
      <c r="A303" s="1" t="n">
        <v>302</v>
      </c>
      <c r="B303" s="2" t="inlineStr">
        <is>
          <t>Panathinaikos</t>
        </is>
      </c>
      <c r="C303" s="2" t="inlineStr">
        <is>
          <t>Super League Greece</t>
        </is>
      </c>
      <c r="D303" s="2" t="inlineStr">
        <is>
          <t>Greece</t>
        </is>
      </c>
      <c r="E303" s="2" t="n">
        <v>2</v>
      </c>
      <c r="F303" s="2" t="inlineStr">
        <is>
          <t>Alta</t>
        </is>
      </c>
      <c r="G303" s="2" t="n">
        <v>4</v>
      </c>
      <c r="H303" s="2" t="inlineStr">
        <is>
          <t>2025/26</t>
        </is>
      </c>
      <c r="I303" s="2" t="inlineStr">
        <is>
          <t>confirmado_por_zerozero_screenshot_v5</t>
        </is>
      </c>
      <c r="J303" s="2" t="inlineStr">
        <is>
          <t>ZeroZero screenshot enviado pelo utilizador - Super League Greece 2025/26</t>
        </is>
      </c>
      <c r="K303" s="2" t="inlineStr">
        <is>
          <t>Validado com screenshot ZeroZero enviado nesta passagem. Clube normalizado: Panathinaikos -&gt; panathinaikos.</t>
        </is>
      </c>
    </row>
    <row r="304">
      <c r="A304" s="1" t="n">
        <v>303</v>
      </c>
      <c r="B304" s="2" t="inlineStr">
        <is>
          <t>Paris FC</t>
        </is>
      </c>
      <c r="C304" s="2" t="inlineStr">
        <is>
          <t>Ligue 1</t>
        </is>
      </c>
      <c r="D304" s="2" t="inlineStr">
        <is>
          <t>France</t>
        </is>
      </c>
      <c r="E304" s="2" t="n">
        <v>1</v>
      </c>
      <c r="F304" s="2" t="inlineStr">
        <is>
          <t>Alta</t>
        </is>
      </c>
      <c r="G304" s="2" t="n">
        <v>11</v>
      </c>
      <c r="H304" s="2" t="inlineStr">
        <is>
          <t>2025/26</t>
        </is>
      </c>
      <c r="I304" s="2" t="inlineStr">
        <is>
          <t>confirmado_por_zerozero_screenshot</t>
        </is>
      </c>
      <c r="J304" s="2" t="inlineStr">
        <is>
          <t>ZeroZero screenshot enviado pelo utilizador - Ligue 1 2025/26</t>
        </is>
      </c>
      <c r="K304" s="2" t="inlineStr">
        <is>
          <t>Validado com a classificação visível no screenshot enviado. Clube normalizado: Paris FC -&gt; paris fc.</t>
        </is>
      </c>
    </row>
    <row r="305">
      <c r="A305" s="1" t="n">
        <v>304</v>
      </c>
      <c r="B305" s="2" t="inlineStr">
        <is>
          <t>Parma</t>
        </is>
      </c>
      <c r="C305" s="2" t="inlineStr">
        <is>
          <t>Serie A</t>
        </is>
      </c>
      <c r="D305" s="2" t="inlineStr">
        <is>
          <t>Italy</t>
        </is>
      </c>
      <c r="E305" s="2" t="n">
        <v>2</v>
      </c>
      <c r="F305" s="2" t="inlineStr">
        <is>
          <t>Alta</t>
        </is>
      </c>
      <c r="G305" s="2" t="n">
        <v>12</v>
      </c>
      <c r="H305" s="2" t="inlineStr">
        <is>
          <t>2025/26</t>
        </is>
      </c>
      <c r="I305" s="2" t="inlineStr">
        <is>
          <t>confirmado_por_zerozero_screenshot</t>
        </is>
      </c>
      <c r="J305" s="2" t="inlineStr">
        <is>
          <t>ZeroZero screenshot enviado pelo utilizador - Serie A 2025/26</t>
        </is>
      </c>
      <c r="K305" s="2" t="inlineStr">
        <is>
          <t>Validado com a classificação visível no screenshot enviado. Clube normalizado: Parma -&gt; parma.</t>
        </is>
      </c>
    </row>
    <row r="306">
      <c r="A306" s="1" t="n">
        <v>305</v>
      </c>
      <c r="B306" s="2" t="inlineStr">
        <is>
          <t>Persepolis FC</t>
        </is>
      </c>
      <c r="C306" s="2" t="inlineStr">
        <is>
          <t>Persian Gulf Pro League</t>
        </is>
      </c>
      <c r="D306" s="2" t="inlineStr">
        <is>
          <t>Iran</t>
        </is>
      </c>
      <c r="E306" s="2" t="n">
        <v>6</v>
      </c>
      <c r="F306" s="2" t="inlineStr">
        <is>
          <t>Alta</t>
        </is>
      </c>
      <c r="G306" s="2" t="n">
        <v>6</v>
      </c>
      <c r="H306" s="2" t="inlineStr">
        <is>
          <t>2025/26</t>
        </is>
      </c>
      <c r="I306" s="2" t="inlineStr">
        <is>
          <t>confirmado_por_zerozero_screenshot_v6</t>
        </is>
      </c>
      <c r="J306" s="2" t="inlineStr">
        <is>
          <t>ZeroZero screenshot enviado pelo utilizador - Persian Gulf Pro League 2025/26</t>
        </is>
      </c>
      <c r="K306" s="2" t="inlineStr">
        <is>
          <t>Validado com screenshot ZeroZero enviado nesta passagem. Clube normalizado: Persepolis FC -&gt; persepolis fc.</t>
        </is>
      </c>
    </row>
    <row r="307" ht="16" customHeight="1" s="25">
      <c r="A307" s="1" t="n">
        <v>306</v>
      </c>
      <c r="B307" s="2" t="inlineStr">
        <is>
          <t>Persib Bandung</t>
        </is>
      </c>
      <c r="C307" s="2" t="inlineStr">
        <is>
          <t>Liga 1</t>
        </is>
      </c>
      <c r="D307" s="2" t="inlineStr">
        <is>
          <t>Indonesia</t>
        </is>
      </c>
      <c r="E307" s="2" t="n">
        <v>1</v>
      </c>
      <c r="F307" s="2" t="inlineStr">
        <is>
          <t>Alta</t>
        </is>
      </c>
      <c r="G307" s="3" t="n">
        <v>1</v>
      </c>
      <c r="H307" s="2" t="inlineStr">
        <is>
          <t>2025/26</t>
        </is>
      </c>
      <c r="I307" s="2" t="inlineStr">
        <is>
          <t>por_validar_sem_screenshot_da_liga</t>
        </is>
      </c>
      <c r="J307" s="3" t="n"/>
      <c r="K307" s="2" t="inlineStr">
        <is>
          <t>Não preenchido: falta screenshot/tabela da liga Liga 1 na época 2025/26, ou clube não aparece na tabela enviada.</t>
        </is>
      </c>
    </row>
    <row r="308">
      <c r="A308" s="1" t="n">
        <v>307</v>
      </c>
      <c r="B308" s="2" t="inlineStr">
        <is>
          <t>Peterborough United</t>
        </is>
      </c>
      <c r="C308" s="2" t="inlineStr">
        <is>
          <t>EFL League One</t>
        </is>
      </c>
      <c r="D308" s="2" t="inlineStr">
        <is>
          <t>England</t>
        </is>
      </c>
      <c r="E308" s="2" t="n">
        <v>1</v>
      </c>
      <c r="F308" s="2" t="inlineStr">
        <is>
          <t>Alta</t>
        </is>
      </c>
      <c r="G308" s="2" t="n">
        <v>18</v>
      </c>
      <c r="H308" s="2" t="inlineStr">
        <is>
          <t>2025/26</t>
        </is>
      </c>
      <c r="I308" s="2" t="inlineStr">
        <is>
          <t>confirmado_por_zerozero_screenshot_v8</t>
        </is>
      </c>
      <c r="J308" s="2" t="inlineStr">
        <is>
          <t>ZeroZero screenshot enviado pelo utilizador - EFL League One 2025/26</t>
        </is>
      </c>
      <c r="K308" s="2" t="inlineStr">
        <is>
          <t>Validado com screenshot ZeroZero enviado nesta passagem. Clube normalizado: Peterborough United -&gt; peterborough united.</t>
        </is>
      </c>
    </row>
    <row r="309">
      <c r="A309" s="1" t="n">
        <v>308</v>
      </c>
      <c r="B309" s="2" t="inlineStr">
        <is>
          <t>Philadelphia Union</t>
        </is>
      </c>
      <c r="C309" s="2" t="inlineStr">
        <is>
          <t>Major League Soccer</t>
        </is>
      </c>
      <c r="D309" s="2" t="inlineStr">
        <is>
          <t>United States/Canada</t>
        </is>
      </c>
      <c r="E309" s="2" t="n">
        <v>2</v>
      </c>
      <c r="F309" s="2" t="inlineStr">
        <is>
          <t>Alta</t>
        </is>
      </c>
      <c r="G309" s="2" t="n">
        <v>15</v>
      </c>
      <c r="H309" s="2" t="n">
        <v>2026</v>
      </c>
      <c r="I309" s="2" t="inlineStr">
        <is>
          <t>confirmado_por_zerozero_screenshot</t>
        </is>
      </c>
      <c r="J309" s="2" t="inlineStr">
        <is>
          <t>ZeroZero screenshot enviado pelo utilizador - MLS 2026, posição na conferência</t>
        </is>
      </c>
      <c r="K309" s="2" t="inlineStr">
        <is>
          <t>Validado com a classificação visível no screenshot enviado. Clube normalizado: Philadelphia Union -&gt; philadelphia union.</t>
        </is>
      </c>
    </row>
    <row r="310">
      <c r="A310" s="1" t="n">
        <v>309</v>
      </c>
      <c r="B310" s="2" t="inlineStr">
        <is>
          <t>Pisa</t>
        </is>
      </c>
      <c r="C310" s="2" t="inlineStr">
        <is>
          <t>Serie A</t>
        </is>
      </c>
      <c r="D310" s="2" t="inlineStr">
        <is>
          <t>Italy</t>
        </is>
      </c>
      <c r="E310" s="2" t="n">
        <v>1</v>
      </c>
      <c r="F310" s="2" t="inlineStr">
        <is>
          <t>Alta</t>
        </is>
      </c>
      <c r="G310" s="2" t="n">
        <v>20</v>
      </c>
      <c r="H310" s="2" t="inlineStr">
        <is>
          <t>2025/26</t>
        </is>
      </c>
      <c r="I310" s="2" t="inlineStr">
        <is>
          <t>confirmado_por_zerozero_screenshot</t>
        </is>
      </c>
      <c r="J310" s="2" t="inlineStr">
        <is>
          <t>ZeroZero screenshot enviado pelo utilizador - Serie A 2025/26</t>
        </is>
      </c>
      <c r="K310" s="2" t="inlineStr">
        <is>
          <t>Validado com a classificação visível no screenshot enviado. Clube normalizado: Pisa -&gt; pisa.</t>
        </is>
      </c>
    </row>
    <row r="311">
      <c r="A311" s="1" t="n">
        <v>310</v>
      </c>
      <c r="B311" s="2" t="inlineStr">
        <is>
          <t>Pogon Szczecin</t>
        </is>
      </c>
      <c r="C311" s="2" t="inlineStr">
        <is>
          <t>Ekstraklasa</t>
        </is>
      </c>
      <c r="D311" s="2" t="inlineStr">
        <is>
          <t>Poland</t>
        </is>
      </c>
      <c r="E311" s="2" t="n">
        <v>1</v>
      </c>
      <c r="F311" s="2" t="inlineStr">
        <is>
          <t>Alta</t>
        </is>
      </c>
      <c r="G311" s="2" t="n">
        <v>9</v>
      </c>
      <c r="H311" s="2" t="inlineStr">
        <is>
          <t>2025/26</t>
        </is>
      </c>
      <c r="I311" s="2" t="inlineStr">
        <is>
          <t>confirmado_por_zerozero_screenshot_v9</t>
        </is>
      </c>
      <c r="J311" s="2" t="inlineStr">
        <is>
          <t>ZeroZero screenshot enviado pelo utilizador - Ekstraklasa 2025/26 tabela correta</t>
        </is>
      </c>
      <c r="K311" s="2" t="inlineStr">
        <is>
          <t>Validado com screenshot ZeroZero enviado nesta passagem. Clube normalizado: Pogon Szczecin -&gt; pogon szczecin.</t>
        </is>
      </c>
    </row>
    <row r="312">
      <c r="A312" s="1" t="n">
        <v>311</v>
      </c>
      <c r="B312" s="2" t="inlineStr">
        <is>
          <t>Polokwane City</t>
        </is>
      </c>
      <c r="C312" s="2" t="inlineStr">
        <is>
          <t>South African Premiership</t>
        </is>
      </c>
      <c r="D312" s="2" t="inlineStr">
        <is>
          <t>South Africa</t>
        </is>
      </c>
      <c r="E312" s="2" t="n">
        <v>1</v>
      </c>
      <c r="F312" s="2" t="inlineStr">
        <is>
          <t>Alta</t>
        </is>
      </c>
      <c r="G312" s="2" t="n">
        <v>7</v>
      </c>
      <c r="H312" s="2" t="inlineStr">
        <is>
          <t>2025/26</t>
        </is>
      </c>
      <c r="I312" s="2" t="inlineStr">
        <is>
          <t>confirmado_por_zerozero_screenshot_v7</t>
        </is>
      </c>
      <c r="J312" s="2" t="inlineStr">
        <is>
          <t>ZeroZero screenshot enviado pelo utilizador - Liga Sul-Africana 2025/26</t>
        </is>
      </c>
      <c r="K312" s="2" t="inlineStr">
        <is>
          <t>Validado com screenshot ZeroZero enviado nesta passagem. Clube normalizado: Polokwane City -&gt; polokwane city.</t>
        </is>
      </c>
    </row>
    <row r="313" ht="16" customHeight="1" s="25">
      <c r="A313" s="1" t="n">
        <v>312</v>
      </c>
      <c r="B313" s="2" t="inlineStr">
        <is>
          <t>Port FC</t>
        </is>
      </c>
      <c r="C313" s="2" t="inlineStr">
        <is>
          <t>Thai League 1</t>
        </is>
      </c>
      <c r="D313" s="2" t="inlineStr">
        <is>
          <t>Thailand</t>
        </is>
      </c>
      <c r="E313" s="2" t="n">
        <v>1</v>
      </c>
      <c r="F313" s="2" t="inlineStr">
        <is>
          <t>Alta</t>
        </is>
      </c>
      <c r="G313" s="3" t="n">
        <v>2</v>
      </c>
      <c r="H313" s="2" t="inlineStr">
        <is>
          <t>2025/26</t>
        </is>
      </c>
      <c r="I313" s="2" t="inlineStr">
        <is>
          <t>por_validar_sem_screenshot_da_liga</t>
        </is>
      </c>
      <c r="J313" s="3" t="n"/>
      <c r="K313" s="2" t="inlineStr">
        <is>
          <t>Não preenchido: falta screenshot/tabela da liga Thai League 1 na época 2025/26, ou clube não aparece na tabela enviada.</t>
        </is>
      </c>
    </row>
    <row r="314">
      <c r="A314" s="1" t="n">
        <v>313</v>
      </c>
      <c r="B314" s="2" t="inlineStr">
        <is>
          <t>Port Vale</t>
        </is>
      </c>
      <c r="C314" s="2" t="inlineStr">
        <is>
          <t>EFL League One</t>
        </is>
      </c>
      <c r="D314" s="2" t="inlineStr">
        <is>
          <t>England</t>
        </is>
      </c>
      <c r="E314" s="2" t="n">
        <v>1</v>
      </c>
      <c r="F314" s="2" t="inlineStr">
        <is>
          <t>Alta</t>
        </is>
      </c>
      <c r="G314" s="2" t="n">
        <v>22</v>
      </c>
      <c r="H314" s="2" t="inlineStr">
        <is>
          <t>2025/26</t>
        </is>
      </c>
      <c r="I314" s="2" t="inlineStr">
        <is>
          <t>confirmado_por_zerozero_screenshot_v8</t>
        </is>
      </c>
      <c r="J314" s="2" t="inlineStr">
        <is>
          <t>ZeroZero screenshot enviado pelo utilizador - EFL League One 2025/26</t>
        </is>
      </c>
      <c r="K314" s="2" t="inlineStr">
        <is>
          <t>Validado com screenshot ZeroZero enviado nesta passagem. Clube normalizado: Port Vale -&gt; port vale.</t>
        </is>
      </c>
    </row>
    <row r="315">
      <c r="A315" s="1" t="n">
        <v>314</v>
      </c>
      <c r="B315" s="2" t="inlineStr">
        <is>
          <t>Portland Timbers</t>
        </is>
      </c>
      <c r="C315" s="2" t="inlineStr">
        <is>
          <t>Major League Soccer</t>
        </is>
      </c>
      <c r="D315" s="2" t="inlineStr">
        <is>
          <t>United States/Canada</t>
        </is>
      </c>
      <c r="E315" s="2" t="n">
        <v>1</v>
      </c>
      <c r="F315" s="2" t="inlineStr">
        <is>
          <t>Alta</t>
        </is>
      </c>
      <c r="G315" s="2" t="n">
        <v>13</v>
      </c>
      <c r="H315" s="2" t="n">
        <v>2026</v>
      </c>
      <c r="I315" s="2" t="inlineStr">
        <is>
          <t>confirmado_por_zerozero_screenshot</t>
        </is>
      </c>
      <c r="J315" s="2" t="inlineStr">
        <is>
          <t>ZeroZero screenshot enviado pelo utilizador - MLS 2026, posição na conferência</t>
        </is>
      </c>
      <c r="K315" s="2" t="inlineStr">
        <is>
          <t>Validado com a classificação visível no screenshot enviado. Clube normalizado: Portland Timbers -&gt; portland timbers.</t>
        </is>
      </c>
    </row>
    <row r="316">
      <c r="A316" s="1" t="n">
        <v>315</v>
      </c>
      <c r="B316" s="2" t="inlineStr">
        <is>
          <t>Portsmouth</t>
        </is>
      </c>
      <c r="C316" s="2" t="inlineStr">
        <is>
          <t>EFL Championship</t>
        </is>
      </c>
      <c r="D316" s="2" t="inlineStr">
        <is>
          <t>England</t>
        </is>
      </c>
      <c r="E316" s="2" t="n">
        <v>1</v>
      </c>
      <c r="F316" s="2" t="inlineStr">
        <is>
          <t>Alta</t>
        </is>
      </c>
      <c r="G316" s="2" t="n">
        <v>18</v>
      </c>
      <c r="H316" s="2" t="inlineStr">
        <is>
          <t>2025/26</t>
        </is>
      </c>
      <c r="I316" s="2" t="inlineStr">
        <is>
          <t>confirmado_por_zerozero_screenshot_v5</t>
        </is>
      </c>
      <c r="J316" s="2" t="inlineStr">
        <is>
          <t>ZeroZero screenshot enviado pelo utilizador - Championship 2025/26</t>
        </is>
      </c>
      <c r="K316" s="2" t="inlineStr">
        <is>
          <t>Validado com screenshot ZeroZero enviado nesta passagem. Clube normalizado: Portsmouth -&gt; portsmouth.</t>
        </is>
      </c>
    </row>
    <row r="317">
      <c r="A317" s="1" t="n">
        <v>316</v>
      </c>
      <c r="B317" s="2" t="inlineStr">
        <is>
          <t>Pumas</t>
        </is>
      </c>
      <c r="C317" s="2" t="inlineStr">
        <is>
          <t>Liga MX</t>
        </is>
      </c>
      <c r="D317" s="2" t="inlineStr">
        <is>
          <t>Mexico</t>
        </is>
      </c>
      <c r="E317" s="2" t="n">
        <v>2</v>
      </c>
      <c r="F317" s="2" t="inlineStr">
        <is>
          <t>Alta</t>
        </is>
      </c>
      <c r="G317" s="2" t="n">
        <v>1</v>
      </c>
      <c r="H317" s="2" t="n">
        <v>2026</v>
      </c>
      <c r="I317" s="2" t="inlineStr">
        <is>
          <t>confirmado_por_zerozero_screenshot_v6</t>
        </is>
      </c>
      <c r="J317" s="2" t="inlineStr">
        <is>
          <t>ZeroZero screenshot enviado pelo utilizador - Liga MX Clausura 2026 aplicado a Liga MX</t>
        </is>
      </c>
      <c r="K317" s="2" t="inlineStr">
        <is>
          <t>Validado com screenshot ZeroZero enviado nesta passagem. Clube normalizado: Pumas -&gt; pumas.</t>
        </is>
      </c>
    </row>
    <row r="318">
      <c r="A318" s="1" t="n">
        <v>317</v>
      </c>
      <c r="B318" s="2" t="inlineStr">
        <is>
          <t>Puskás Akadémia FC</t>
        </is>
      </c>
      <c r="C318" s="2" t="inlineStr">
        <is>
          <t>Nemzeti Bajnokság I</t>
        </is>
      </c>
      <c r="D318" s="2" t="inlineStr">
        <is>
          <t>Hungary</t>
        </is>
      </c>
      <c r="E318" s="2" t="n">
        <v>1</v>
      </c>
      <c r="F318" s="2" t="inlineStr">
        <is>
          <t>Alta</t>
        </is>
      </c>
      <c r="G318" s="2" t="n">
        <v>6</v>
      </c>
      <c r="H318" s="2" t="inlineStr">
        <is>
          <t>2025/26</t>
        </is>
      </c>
      <c r="I318" s="2" t="inlineStr">
        <is>
          <t>confirmado_por_zerozero_screenshot_v9</t>
        </is>
      </c>
      <c r="J318" s="2" t="inlineStr">
        <is>
          <t>ZeroZero screenshot enviado pelo utilizador - Fizz Liga 2025/26</t>
        </is>
      </c>
      <c r="K318" s="2" t="inlineStr">
        <is>
          <t>Validado com screenshot ZeroZero enviado nesta passagem. Clube normalizado: Puskás Akadémia FC -&gt; puskas akademia fc.</t>
        </is>
      </c>
    </row>
    <row r="319">
      <c r="A319" s="1" t="n">
        <v>318</v>
      </c>
      <c r="B319" s="2" t="inlineStr">
        <is>
          <t>Pyramids FC</t>
        </is>
      </c>
      <c r="C319" s="2" t="inlineStr">
        <is>
          <t>Egyptian Premier League</t>
        </is>
      </c>
      <c r="D319" s="2" t="inlineStr">
        <is>
          <t>Egypt</t>
        </is>
      </c>
      <c r="E319" s="2" t="n">
        <v>4</v>
      </c>
      <c r="F319" s="2" t="inlineStr">
        <is>
          <t>Alta</t>
        </is>
      </c>
      <c r="G319" s="2" t="n">
        <v>2</v>
      </c>
      <c r="H319" s="2" t="inlineStr">
        <is>
          <t>2025/26</t>
        </is>
      </c>
      <c r="I319" s="2" t="inlineStr">
        <is>
          <t>confirmado_por_zerozero_screenshot_v6</t>
        </is>
      </c>
      <c r="J319" s="2" t="inlineStr">
        <is>
          <t>ZeroZero screenshot enviado pelo utilizador - Egyptian Premier League 2025/26</t>
        </is>
      </c>
      <c r="K319" s="2" t="inlineStr">
        <is>
          <t>Validado com screenshot ZeroZero enviado nesta passagem. Clube normalizado: Pyramids FC -&gt; pyramids fc.</t>
        </is>
      </c>
    </row>
    <row r="320">
      <c r="A320" s="1" t="n">
        <v>319</v>
      </c>
      <c r="B320" s="2" t="inlineStr">
        <is>
          <t>RB Leipzig</t>
        </is>
      </c>
      <c r="C320" s="2" t="inlineStr">
        <is>
          <t>Bundesliga</t>
        </is>
      </c>
      <c r="D320" s="2" t="inlineStr">
        <is>
          <t>Germany</t>
        </is>
      </c>
      <c r="E320" s="2" t="n">
        <v>6</v>
      </c>
      <c r="F320" s="2" t="inlineStr">
        <is>
          <t>Alta</t>
        </is>
      </c>
      <c r="G320" s="2" t="n">
        <v>3</v>
      </c>
      <c r="H320" s="2" t="inlineStr">
        <is>
          <t>2025/26</t>
        </is>
      </c>
      <c r="I320" s="2" t="inlineStr">
        <is>
          <t>confirmado_por_zerozero_screenshot</t>
        </is>
      </c>
      <c r="J320" s="2" t="inlineStr">
        <is>
          <t>ZeroZero screenshot enviado pelo utilizador - Bundesliga 2025/26</t>
        </is>
      </c>
      <c r="K320" s="2" t="inlineStr">
        <is>
          <t>Validado com a classificação visível no screenshot enviado. Clube normalizado: RB Leipzig -&gt; rb leipzig.</t>
        </is>
      </c>
    </row>
    <row r="321">
      <c r="A321" s="1" t="n">
        <v>320</v>
      </c>
      <c r="B321" s="2" t="inlineStr">
        <is>
          <t>RKC Waalwijk</t>
        </is>
      </c>
      <c r="C321" s="2" t="inlineStr">
        <is>
          <t>Eerste Divisie</t>
        </is>
      </c>
      <c r="D321" s="2" t="inlineStr">
        <is>
          <t>Netherlands</t>
        </is>
      </c>
      <c r="E321" s="2" t="n">
        <v>2</v>
      </c>
      <c r="F321" s="2" t="inlineStr">
        <is>
          <t>Alta</t>
        </is>
      </c>
      <c r="G321" s="2" t="n">
        <v>6</v>
      </c>
      <c r="H321" s="2" t="inlineStr">
        <is>
          <t>2025/26</t>
        </is>
      </c>
      <c r="I321" s="2" t="inlineStr">
        <is>
          <t>confirmado_por_zerozero_screenshot_v9</t>
        </is>
      </c>
      <c r="J321" s="2" t="inlineStr">
        <is>
          <t>ZeroZero screenshot enviado pelo utilizador - Eerste Divisie 2025/26</t>
        </is>
      </c>
      <c r="K321" s="2" t="inlineStr">
        <is>
          <t>Validado com screenshot ZeroZero enviado nesta passagem. Clube normalizado: RKC Waalwijk -&gt; rkc waalwijk.</t>
        </is>
      </c>
    </row>
    <row r="322">
      <c r="A322" s="1" t="n">
        <v>321</v>
      </c>
      <c r="B322" s="2" t="inlineStr">
        <is>
          <t>RS Berkane</t>
        </is>
      </c>
      <c r="C322" s="2" t="inlineStr">
        <is>
          <t>Botola Pro</t>
        </is>
      </c>
      <c r="D322" s="2" t="inlineStr">
        <is>
          <t>Morocco</t>
        </is>
      </c>
      <c r="E322" s="2" t="n">
        <v>1</v>
      </c>
      <c r="F322" s="2" t="inlineStr">
        <is>
          <t>Alta</t>
        </is>
      </c>
      <c r="G322" s="2" t="n">
        <v>3</v>
      </c>
      <c r="H322" s="2" t="inlineStr">
        <is>
          <t>2025/26</t>
        </is>
      </c>
      <c r="I322" s="2" t="inlineStr">
        <is>
          <t>confirmado_por_zerozero_screenshot_v9</t>
        </is>
      </c>
      <c r="J322" s="2" t="inlineStr">
        <is>
          <t>ZeroZero screenshot enviado pelo utilizador - Botola Pro 2025/26</t>
        </is>
      </c>
      <c r="K322" s="2" t="inlineStr">
        <is>
          <t>Validado com screenshot ZeroZero enviado nesta passagem. Clube normalizado: RS Berkane -&gt; rs berkane.</t>
        </is>
      </c>
    </row>
    <row r="323">
      <c r="A323" s="1" t="n">
        <v>322</v>
      </c>
      <c r="B323" s="2" t="inlineStr">
        <is>
          <t>Racing Club</t>
        </is>
      </c>
      <c r="C323" s="2" t="inlineStr">
        <is>
          <t>Argentine Primera División</t>
        </is>
      </c>
      <c r="D323" s="2" t="inlineStr">
        <is>
          <t>Argentina</t>
        </is>
      </c>
      <c r="E323" s="2" t="n">
        <v>1</v>
      </c>
      <c r="F323" s="2" t="inlineStr">
        <is>
          <t>Alta</t>
        </is>
      </c>
      <c r="G323" s="2" t="n">
        <v>8</v>
      </c>
      <c r="H323" s="2" t="n">
        <v>2026</v>
      </c>
      <c r="I323" s="2" t="inlineStr">
        <is>
          <t>confirmado_por_zerozero_screenshot_v5</t>
        </is>
      </c>
      <c r="J323" s="2" t="inlineStr">
        <is>
          <t>ZeroZero screenshot enviado pelo utilizador - Torneo Apertura 2026, 1.ª fase/grupos</t>
        </is>
      </c>
      <c r="K323" s="2" t="inlineStr">
        <is>
          <t>Validado com screenshot ZeroZero enviado nesta passagem. Clube normalizado: Racing Club -&gt; racing club.</t>
        </is>
      </c>
    </row>
    <row r="324">
      <c r="A324" s="1" t="n">
        <v>323</v>
      </c>
      <c r="B324" s="2" t="inlineStr">
        <is>
          <t>Racing Santander</t>
        </is>
      </c>
      <c r="C324" s="2" t="inlineStr">
        <is>
          <t>LaLiga 2</t>
        </is>
      </c>
      <c r="D324" s="2" t="inlineStr">
        <is>
          <t>Spain</t>
        </is>
      </c>
      <c r="E324" s="2" t="n">
        <v>1</v>
      </c>
      <c r="F324" s="2" t="inlineStr">
        <is>
          <t>Alta</t>
        </is>
      </c>
      <c r="G324" s="2" t="n">
        <v>1</v>
      </c>
      <c r="H324" s="2" t="inlineStr">
        <is>
          <t>2025/26</t>
        </is>
      </c>
      <c r="I324" s="2" t="inlineStr">
        <is>
          <t>confirmado_por_zerozero_screenshot_v8</t>
        </is>
      </c>
      <c r="J324" s="2" t="inlineStr">
        <is>
          <t>ZeroZero screenshot enviado pelo utilizador - LaLiga Hypermotion 2025/26</t>
        </is>
      </c>
      <c r="K324" s="2" t="inlineStr">
        <is>
          <t>Validado com screenshot ZeroZero enviado nesta passagem. Clube normalizado: Racing Santander -&gt; racing santander.</t>
        </is>
      </c>
    </row>
    <row r="325">
      <c r="A325" s="1" t="n">
        <v>324</v>
      </c>
      <c r="B325" s="2" t="inlineStr">
        <is>
          <t>Randers</t>
        </is>
      </c>
      <c r="C325" s="2" t="inlineStr">
        <is>
          <t>Danish Superliga</t>
        </is>
      </c>
      <c r="D325" s="2" t="inlineStr">
        <is>
          <t>Denmark</t>
        </is>
      </c>
      <c r="E325" s="2" t="n">
        <v>1</v>
      </c>
      <c r="F325" s="2" t="inlineStr">
        <is>
          <t>Alta</t>
        </is>
      </c>
      <c r="G325" s="2" t="n">
        <v>9</v>
      </c>
      <c r="H325" s="2" t="inlineStr">
        <is>
          <t>2025/26</t>
        </is>
      </c>
      <c r="I325" s="2" t="inlineStr">
        <is>
          <t>confirmado_por_zerozero_screenshot</t>
        </is>
      </c>
      <c r="J325" s="2" t="inlineStr">
        <is>
          <t>ZeroZero screenshot enviado pelo utilizador - Superligaen fase regular 2025/26</t>
        </is>
      </c>
      <c r="K325" s="2" t="inlineStr">
        <is>
          <t>Validado com a classificação visível no screenshot enviado. Clube normalizado: Randers -&gt; randers.</t>
        </is>
      </c>
    </row>
    <row r="326">
      <c r="A326" s="1" t="n">
        <v>325</v>
      </c>
      <c r="B326" s="2" t="inlineStr">
        <is>
          <t>Rangers</t>
        </is>
      </c>
      <c r="C326" s="2" t="inlineStr">
        <is>
          <t>Scottish Premiership</t>
        </is>
      </c>
      <c r="D326" s="2" t="inlineStr">
        <is>
          <t>Scotland</t>
        </is>
      </c>
      <c r="E326" s="2" t="n">
        <v>5</v>
      </c>
      <c r="F326" s="2" t="inlineStr">
        <is>
          <t>Alta</t>
        </is>
      </c>
      <c r="G326" s="2" t="n">
        <v>2</v>
      </c>
      <c r="H326" s="2" t="inlineStr">
        <is>
          <t>2025/26</t>
        </is>
      </c>
      <c r="I326" s="2" t="inlineStr">
        <is>
          <t>confirmado_por_zerozero_screenshot_v6</t>
        </is>
      </c>
      <c r="J326" s="2" t="inlineStr">
        <is>
          <t>ZeroZero screenshot enviado pelo utilizador - Scottish Premiership 2025/26</t>
        </is>
      </c>
      <c r="K326" s="2" t="inlineStr">
        <is>
          <t>Validado com screenshot ZeroZero enviado nesta passagem. Clube normalizado: Rangers -&gt; rangers.</t>
        </is>
      </c>
    </row>
    <row r="327">
      <c r="A327" s="1" t="n">
        <v>326</v>
      </c>
      <c r="B327" s="2" t="inlineStr">
        <is>
          <t>Rayo Vallecano</t>
        </is>
      </c>
      <c r="C327" s="2" t="inlineStr">
        <is>
          <t>LaLiga</t>
        </is>
      </c>
      <c r="D327" s="2" t="inlineStr">
        <is>
          <t>Spain</t>
        </is>
      </c>
      <c r="E327" s="2" t="n">
        <v>2</v>
      </c>
      <c r="F327" s="2" t="inlineStr">
        <is>
          <t>Alta</t>
        </is>
      </c>
      <c r="G327" s="2" t="n">
        <v>8</v>
      </c>
      <c r="H327" s="2" t="inlineStr">
        <is>
          <t>2025/26</t>
        </is>
      </c>
      <c r="I327" s="2" t="inlineStr">
        <is>
          <t>confirmado_por_zerozero_screenshot</t>
        </is>
      </c>
      <c r="J327" s="2" t="inlineStr">
        <is>
          <t>ZeroZero screenshot enviado pelo utilizador - LaLiga 2025/26</t>
        </is>
      </c>
      <c r="K327" s="2" t="inlineStr">
        <is>
          <t>Validado com a classificação visível no screenshot enviado. Clube normalizado: Rayo Vallecano -&gt; rayo vallecano.</t>
        </is>
      </c>
    </row>
    <row r="328">
      <c r="A328" s="1" t="n">
        <v>327</v>
      </c>
      <c r="B328" s="2" t="inlineStr">
        <is>
          <t>Real Betis</t>
        </is>
      </c>
      <c r="C328" s="2" t="inlineStr">
        <is>
          <t>LaLiga</t>
        </is>
      </c>
      <c r="D328" s="2" t="inlineStr">
        <is>
          <t>Spain</t>
        </is>
      </c>
      <c r="E328" s="2" t="n">
        <v>7</v>
      </c>
      <c r="F328" s="2" t="inlineStr">
        <is>
          <t>Alta</t>
        </is>
      </c>
      <c r="G328" s="2" t="n">
        <v>5</v>
      </c>
      <c r="H328" s="2" t="inlineStr">
        <is>
          <t>2025/26</t>
        </is>
      </c>
      <c r="I328" s="2" t="inlineStr">
        <is>
          <t>confirmado_por_zerozero_screenshot</t>
        </is>
      </c>
      <c r="J328" s="2" t="inlineStr">
        <is>
          <t>ZeroZero screenshot enviado pelo utilizador - LaLiga 2025/26</t>
        </is>
      </c>
      <c r="K328" s="2" t="inlineStr">
        <is>
          <t>Validado com a classificação visível no screenshot enviado. Clube normalizado: Real Betis -&gt; real betis.</t>
        </is>
      </c>
    </row>
    <row r="329">
      <c r="A329" s="1" t="n">
        <v>328</v>
      </c>
      <c r="B329" s="2" t="inlineStr">
        <is>
          <t>Real Madrid</t>
        </is>
      </c>
      <c r="C329" s="2" t="inlineStr">
        <is>
          <t>LaLiga</t>
        </is>
      </c>
      <c r="D329" s="2" t="inlineStr">
        <is>
          <t>Spain</t>
        </is>
      </c>
      <c r="E329" s="2" t="n">
        <v>11</v>
      </c>
      <c r="F329" s="2" t="inlineStr">
        <is>
          <t>Alta</t>
        </is>
      </c>
      <c r="G329" s="2" t="n">
        <v>2</v>
      </c>
      <c r="H329" s="2" t="inlineStr">
        <is>
          <t>2025/26</t>
        </is>
      </c>
      <c r="I329" s="2" t="inlineStr">
        <is>
          <t>confirmado_por_zerozero_screenshot</t>
        </is>
      </c>
      <c r="J329" s="2" t="inlineStr">
        <is>
          <t>ZeroZero screenshot enviado pelo utilizador - LaLiga 2025/26</t>
        </is>
      </c>
      <c r="K329" s="2" t="inlineStr">
        <is>
          <t>Validado com a classificação visível no screenshot enviado. Clube normalizado: Real Madrid -&gt; real madrid.</t>
        </is>
      </c>
    </row>
    <row r="330">
      <c r="A330" s="1" t="n">
        <v>329</v>
      </c>
      <c r="B330" s="2" t="inlineStr">
        <is>
          <t>Real Oviedo</t>
        </is>
      </c>
      <c r="C330" s="2" t="inlineStr">
        <is>
          <t>LaLiga</t>
        </is>
      </c>
      <c r="D330" s="2" t="inlineStr">
        <is>
          <t>Spain</t>
        </is>
      </c>
      <c r="E330" s="2" t="n">
        <v>3</v>
      </c>
      <c r="F330" s="2" t="inlineStr">
        <is>
          <t>Alta</t>
        </is>
      </c>
      <c r="G330" s="2" t="n">
        <v>20</v>
      </c>
      <c r="H330" s="2" t="inlineStr">
        <is>
          <t>2025/26</t>
        </is>
      </c>
      <c r="I330" s="2" t="inlineStr">
        <is>
          <t>confirmado_por_zerozero_screenshot</t>
        </is>
      </c>
      <c r="J330" s="2" t="inlineStr">
        <is>
          <t>ZeroZero screenshot enviado pelo utilizador - LaLiga 2025/26</t>
        </is>
      </c>
      <c r="K330" s="2" t="inlineStr">
        <is>
          <t>Validado com a classificação visível no screenshot enviado. Clube normalizado: Real Oviedo -&gt; real oviedo.</t>
        </is>
      </c>
    </row>
    <row r="331">
      <c r="A331" s="1" t="n">
        <v>330</v>
      </c>
      <c r="B331" s="2" t="inlineStr">
        <is>
          <t>Real Salt Lake</t>
        </is>
      </c>
      <c r="C331" s="2" t="inlineStr">
        <is>
          <t>Major League Soccer</t>
        </is>
      </c>
      <c r="D331" s="2" t="inlineStr">
        <is>
          <t>United States/Canada</t>
        </is>
      </c>
      <c r="E331" s="2" t="n">
        <v>1</v>
      </c>
      <c r="F331" s="2" t="inlineStr">
        <is>
          <t>Alta</t>
        </is>
      </c>
      <c r="G331" s="2" t="n">
        <v>3</v>
      </c>
      <c r="H331" s="2" t="n">
        <v>2026</v>
      </c>
      <c r="I331" s="2" t="inlineStr">
        <is>
          <t>confirmado_por_zerozero_screenshot</t>
        </is>
      </c>
      <c r="J331" s="2" t="inlineStr">
        <is>
          <t>ZeroZero screenshot enviado pelo utilizador - MLS 2026, posição na conferência</t>
        </is>
      </c>
      <c r="K331" s="2" t="inlineStr">
        <is>
          <t>Validado com a classificação visível no screenshot enviado. Clube normalizado: Real Salt Lake -&gt; real salt lake.</t>
        </is>
      </c>
    </row>
    <row r="332">
      <c r="A332" s="1" t="n">
        <v>331</v>
      </c>
      <c r="B332" s="2" t="inlineStr">
        <is>
          <t>Real Sociedad</t>
        </is>
      </c>
      <c r="C332" s="2" t="inlineStr">
        <is>
          <t>LaLiga</t>
        </is>
      </c>
      <c r="D332" s="2" t="inlineStr">
        <is>
          <t>Spain</t>
        </is>
      </c>
      <c r="E332" s="2" t="n">
        <v>5</v>
      </c>
      <c r="F332" s="2" t="inlineStr">
        <is>
          <t>Alta</t>
        </is>
      </c>
      <c r="G332" s="2" t="n">
        <v>10</v>
      </c>
      <c r="H332" s="2" t="inlineStr">
        <is>
          <t>2025/26</t>
        </is>
      </c>
      <c r="I332" s="2" t="inlineStr">
        <is>
          <t>confirmado_por_zerozero_screenshot</t>
        </is>
      </c>
      <c r="J332" s="2" t="inlineStr">
        <is>
          <t>ZeroZero screenshot enviado pelo utilizador - LaLiga 2025/26</t>
        </is>
      </c>
      <c r="K332" s="2" t="inlineStr">
        <is>
          <t>Validado com a classificação visível no screenshot enviado. Clube normalizado: Real Sociedad -&gt; real sociedad.</t>
        </is>
      </c>
    </row>
    <row r="333">
      <c r="A333" s="1" t="n">
        <v>332</v>
      </c>
      <c r="B333" s="2" t="inlineStr">
        <is>
          <t>Red Bull Bragantino</t>
        </is>
      </c>
      <c r="C333" s="2" t="inlineStr">
        <is>
          <t>Campeonato Brasileiro Série A</t>
        </is>
      </c>
      <c r="D333" s="2" t="inlineStr">
        <is>
          <t>Brazil</t>
        </is>
      </c>
      <c r="E333" s="2" t="n">
        <v>1</v>
      </c>
      <c r="F333" s="2" t="inlineStr">
        <is>
          <t>Alta</t>
        </is>
      </c>
      <c r="G333" s="2" t="n">
        <v>5</v>
      </c>
      <c r="H333" s="2" t="n">
        <v>2026</v>
      </c>
      <c r="I333" s="2" t="inlineStr">
        <is>
          <t>confirmado_por_zerozero_screenshot</t>
        </is>
      </c>
      <c r="J333" s="2" t="inlineStr">
        <is>
          <t>ZeroZero screenshot enviado pelo utilizador - Brasileirão Série A 2026</t>
        </is>
      </c>
      <c r="K333" s="2" t="inlineStr">
        <is>
          <t>Validado com a classificação visível no screenshot enviado. Clube normalizado: Red Bull Bragantino -&gt; red bull bragantino.</t>
        </is>
      </c>
    </row>
    <row r="334">
      <c r="A334" s="1" t="n">
        <v>333</v>
      </c>
      <c r="B334" s="2" t="inlineStr">
        <is>
          <t>Red Bull Salzburg</t>
        </is>
      </c>
      <c r="C334" s="2" t="inlineStr">
        <is>
          <t>Austrian Bundesliga</t>
        </is>
      </c>
      <c r="D334" s="2" t="inlineStr">
        <is>
          <t>Austria</t>
        </is>
      </c>
      <c r="E334" s="2" t="n">
        <v>2</v>
      </c>
      <c r="F334" s="2" t="inlineStr">
        <is>
          <t>Alta</t>
        </is>
      </c>
      <c r="G334" s="2" t="n">
        <v>3</v>
      </c>
      <c r="H334" s="2" t="inlineStr">
        <is>
          <t>2025/26</t>
        </is>
      </c>
      <c r="I334" s="2" t="inlineStr">
        <is>
          <t>confirmado_por_zerozero_screenshot_v7</t>
        </is>
      </c>
      <c r="J334" s="2" t="inlineStr">
        <is>
          <t>ZeroZero screenshots enviados pelo utilizador - Austrian Bundesliga 2025/26 Meistergruppe + regular</t>
        </is>
      </c>
      <c r="K334" s="2" t="inlineStr">
        <is>
          <t>Validado com screenshot ZeroZero enviado nesta passagem. Clube normalizado: Red Bull Salzburg -&gt; red bull salzburg.</t>
        </is>
      </c>
    </row>
    <row r="335">
      <c r="A335" s="1" t="n">
        <v>334</v>
      </c>
      <c r="B335" s="2" t="inlineStr">
        <is>
          <t>Rennes</t>
        </is>
      </c>
      <c r="C335" s="2" t="inlineStr">
        <is>
          <t>Ligue 1</t>
        </is>
      </c>
      <c r="D335" s="2" t="inlineStr">
        <is>
          <t>France</t>
        </is>
      </c>
      <c r="E335" s="2" t="n">
        <v>4</v>
      </c>
      <c r="F335" s="2" t="inlineStr">
        <is>
          <t>Alta</t>
        </is>
      </c>
      <c r="G335" s="2" t="n">
        <v>6</v>
      </c>
      <c r="H335" s="2" t="inlineStr">
        <is>
          <t>2025/26</t>
        </is>
      </c>
      <c r="I335" s="2" t="inlineStr">
        <is>
          <t>confirmado_por_zerozero_screenshot</t>
        </is>
      </c>
      <c r="J335" s="2" t="inlineStr">
        <is>
          <t>ZeroZero screenshot enviado pelo utilizador - Ligue 1 2025/26</t>
        </is>
      </c>
      <c r="K335" s="2" t="inlineStr">
        <is>
          <t>Validado com a classificação visível no screenshot enviado. Clube normalizado: Rennes -&gt; rennes.</t>
        </is>
      </c>
    </row>
    <row r="336">
      <c r="A336" s="1" t="n">
        <v>335</v>
      </c>
      <c r="B336" s="2" t="inlineStr">
        <is>
          <t>River Plate</t>
        </is>
      </c>
      <c r="C336" s="2" t="inlineStr">
        <is>
          <t>Argentine Primera División</t>
        </is>
      </c>
      <c r="D336" s="2" t="inlineStr">
        <is>
          <t>Argentina</t>
        </is>
      </c>
      <c r="E336" s="2" t="n">
        <v>8</v>
      </c>
      <c r="F336" s="2" t="inlineStr">
        <is>
          <t>Alta</t>
        </is>
      </c>
      <c r="G336" s="2" t="n">
        <v>3</v>
      </c>
      <c r="H336" s="2" t="n">
        <v>2026</v>
      </c>
      <c r="I336" s="2" t="inlineStr">
        <is>
          <t>confirmado_por_zerozero_screenshot_v5</t>
        </is>
      </c>
      <c r="J336" s="2" t="inlineStr">
        <is>
          <t>ZeroZero screenshot enviado pelo utilizador - Torneo Apertura 2026, 1.ª fase/grupos</t>
        </is>
      </c>
      <c r="K336" s="2" t="inlineStr">
        <is>
          <t>Validado com screenshot ZeroZero enviado nesta passagem. Clube normalizado: River Plate -&gt; river plate.</t>
        </is>
      </c>
    </row>
    <row r="337">
      <c r="A337" s="1" t="n">
        <v>336</v>
      </c>
      <c r="B337" s="2" t="inlineStr">
        <is>
          <t>Roma</t>
        </is>
      </c>
      <c r="C337" s="2" t="inlineStr">
        <is>
          <t>Serie A</t>
        </is>
      </c>
      <c r="D337" s="2" t="inlineStr">
        <is>
          <t>Italy</t>
        </is>
      </c>
      <c r="E337" s="2" t="n">
        <v>6</v>
      </c>
      <c r="F337" s="2" t="inlineStr">
        <is>
          <t>Alta</t>
        </is>
      </c>
      <c r="G337" s="2" t="n">
        <v>3</v>
      </c>
      <c r="H337" s="2" t="inlineStr">
        <is>
          <t>2025/26</t>
        </is>
      </c>
      <c r="I337" s="2" t="inlineStr">
        <is>
          <t>confirmado_por_zerozero_screenshot</t>
        </is>
      </c>
      <c r="J337" s="2" t="inlineStr">
        <is>
          <t>ZeroZero screenshot enviado pelo utilizador - Serie A 2025/26</t>
        </is>
      </c>
      <c r="K337" s="2" t="inlineStr">
        <is>
          <t>Validado com a classificação visível no screenshot enviado. Clube normalizado: Roma -&gt; roma.</t>
        </is>
      </c>
    </row>
    <row r="338">
      <c r="A338" s="1" t="n">
        <v>337</v>
      </c>
      <c r="B338" s="2" t="inlineStr">
        <is>
          <t>Rosario Central</t>
        </is>
      </c>
      <c r="C338" s="2" t="inlineStr">
        <is>
          <t>Argentine Primera División</t>
        </is>
      </c>
      <c r="D338" s="2" t="inlineStr">
        <is>
          <t>Argentina</t>
        </is>
      </c>
      <c r="E338" s="2" t="n">
        <v>2</v>
      </c>
      <c r="F338" s="2" t="inlineStr">
        <is>
          <t>Alta</t>
        </is>
      </c>
      <c r="G338" s="2" t="n">
        <v>4</v>
      </c>
      <c r="H338" s="2" t="n">
        <v>2026</v>
      </c>
      <c r="I338" s="2" t="inlineStr">
        <is>
          <t>confirmado_por_zerozero_screenshot_v5</t>
        </is>
      </c>
      <c r="J338" s="2" t="inlineStr">
        <is>
          <t>ZeroZero screenshot enviado pelo utilizador - Torneo Apertura 2026, 1.ª fase/grupos</t>
        </is>
      </c>
      <c r="K338" s="2" t="inlineStr">
        <is>
          <t>Validado com screenshot ZeroZero enviado nesta passagem. Clube normalizado: Rosario Central -&gt; rosario central.</t>
        </is>
      </c>
    </row>
    <row r="339">
      <c r="A339" s="1" t="n">
        <v>338</v>
      </c>
      <c r="B339" s="2" t="inlineStr">
        <is>
          <t>Rosenborg</t>
        </is>
      </c>
      <c r="C339" s="2" t="inlineStr">
        <is>
          <t>Eliteserien</t>
        </is>
      </c>
      <c r="D339" s="2" t="inlineStr">
        <is>
          <t>Norway</t>
        </is>
      </c>
      <c r="E339" s="2" t="n">
        <v>1</v>
      </c>
      <c r="F339" s="2" t="inlineStr">
        <is>
          <t>Alta</t>
        </is>
      </c>
      <c r="G339" s="2" t="n">
        <v>15</v>
      </c>
      <c r="H339" s="2" t="n">
        <v>2026</v>
      </c>
      <c r="I339" s="2" t="inlineStr">
        <is>
          <t>confirmado_por_zerozero_screenshot_v7</t>
        </is>
      </c>
      <c r="J339" s="2" t="inlineStr">
        <is>
          <t>ZeroZero screenshot enviado pelo utilizador - Eliteserien 2026</t>
        </is>
      </c>
      <c r="K339" s="2" t="inlineStr">
        <is>
          <t>Validado com screenshot ZeroZero enviado nesta passagem. Clube normalizado: Rosenborg -&gt; rosenborg.</t>
        </is>
      </c>
    </row>
    <row r="340">
      <c r="A340" s="1" t="n">
        <v>339</v>
      </c>
      <c r="B340" s="2" t="inlineStr">
        <is>
          <t>Rotherham</t>
        </is>
      </c>
      <c r="C340" s="2" t="inlineStr">
        <is>
          <t>EFL League One</t>
        </is>
      </c>
      <c r="D340" s="2" t="inlineStr">
        <is>
          <t>England</t>
        </is>
      </c>
      <c r="E340" s="2" t="n">
        <v>1</v>
      </c>
      <c r="F340" s="2" t="inlineStr">
        <is>
          <t>Alta</t>
        </is>
      </c>
      <c r="G340" s="2" t="n">
        <v>23</v>
      </c>
      <c r="H340" s="2" t="inlineStr">
        <is>
          <t>2025/26</t>
        </is>
      </c>
      <c r="I340" s="2" t="inlineStr">
        <is>
          <t>confirmado_por_zerozero_screenshot_v8</t>
        </is>
      </c>
      <c r="J340" s="2" t="inlineStr">
        <is>
          <t>ZeroZero screenshot enviado pelo utilizador - EFL League One 2025/26</t>
        </is>
      </c>
      <c r="K340" s="2" t="inlineStr">
        <is>
          <t>Validado com screenshot ZeroZero enviado nesta passagem. Clube normalizado: Rotherham -&gt; rotherham.</t>
        </is>
      </c>
    </row>
    <row r="341">
      <c r="A341" s="1" t="n">
        <v>340</v>
      </c>
      <c r="B341" s="2" t="inlineStr">
        <is>
          <t>Royal Antwerp</t>
        </is>
      </c>
      <c r="C341" s="2" t="inlineStr">
        <is>
          <t>Belgian Pro League</t>
        </is>
      </c>
      <c r="D341" s="2" t="inlineStr">
        <is>
          <t>Belgium</t>
        </is>
      </c>
      <c r="E341" s="2" t="n">
        <v>2</v>
      </c>
      <c r="F341" s="2" t="inlineStr">
        <is>
          <t>Alta</t>
        </is>
      </c>
      <c r="G341" s="2" t="n">
        <v>10</v>
      </c>
      <c r="H341" s="2" t="inlineStr">
        <is>
          <t>2025/26</t>
        </is>
      </c>
      <c r="I341" s="2" t="inlineStr">
        <is>
          <t>confirmado_por_zerozero_screenshot</t>
        </is>
      </c>
      <c r="J341" s="2" t="inlineStr">
        <is>
          <t>ZeroZero screenshot enviado pelo utilizador - Jupiler Pro League fase regular 2025/26</t>
        </is>
      </c>
      <c r="K341" s="2" t="inlineStr">
        <is>
          <t>Validado com a classificação visível no screenshot enviado. Clube normalizado: Royal Antwerp -&gt; royal antwerp.</t>
        </is>
      </c>
    </row>
    <row r="342">
      <c r="A342" s="1" t="n">
        <v>341</v>
      </c>
      <c r="B342" s="2" t="inlineStr">
        <is>
          <t>SC Braga</t>
        </is>
      </c>
      <c r="C342" s="2" t="inlineStr">
        <is>
          <t>Primeira Liga</t>
        </is>
      </c>
      <c r="D342" s="2" t="inlineStr">
        <is>
          <t>Portugal</t>
        </is>
      </c>
      <c r="E342" s="2" t="n">
        <v>5</v>
      </c>
      <c r="F342" s="2" t="inlineStr">
        <is>
          <t>Alta</t>
        </is>
      </c>
      <c r="G342" s="2" t="n">
        <v>4</v>
      </c>
      <c r="H342" s="2" t="inlineStr">
        <is>
          <t>2025/26</t>
        </is>
      </c>
      <c r="I342" s="2" t="inlineStr">
        <is>
          <t>confirmado_por_zerozero_screenshot</t>
        </is>
      </c>
      <c r="J342" s="2" t="inlineStr">
        <is>
          <t>ZeroZero screenshot enviado pelo utilizador - Liga Portugal Betclic 2025/26</t>
        </is>
      </c>
      <c r="K342" s="2" t="inlineStr">
        <is>
          <t>Validado com a classificação visível no screenshot enviado. Clube normalizado: SC Braga -&gt; sc braga.</t>
        </is>
      </c>
    </row>
    <row r="343">
      <c r="A343" s="1" t="n">
        <v>342</v>
      </c>
      <c r="B343" s="2" t="inlineStr">
        <is>
          <t>SC Freiburg</t>
        </is>
      </c>
      <c r="C343" s="2" t="inlineStr">
        <is>
          <t>Bundesliga</t>
        </is>
      </c>
      <c r="D343" s="2" t="inlineStr">
        <is>
          <t>Germany</t>
        </is>
      </c>
      <c r="E343" s="2" t="n">
        <v>4</v>
      </c>
      <c r="F343" s="2" t="inlineStr">
        <is>
          <t>Alta</t>
        </is>
      </c>
      <c r="G343" s="2" t="n">
        <v>7</v>
      </c>
      <c r="H343" s="2" t="inlineStr">
        <is>
          <t>2025/26</t>
        </is>
      </c>
      <c r="I343" s="2" t="inlineStr">
        <is>
          <t>confirmado_por_zerozero_screenshot</t>
        </is>
      </c>
      <c r="J343" s="2" t="inlineStr">
        <is>
          <t>ZeroZero screenshot enviado pelo utilizador - Bundesliga 2025/26</t>
        </is>
      </c>
      <c r="K343" s="2" t="inlineStr">
        <is>
          <t>Validado com a classificação visível no screenshot enviado. Clube normalizado: SC Freiburg -&gt; sc freiburg.</t>
        </is>
      </c>
    </row>
    <row r="344" ht="16" customHeight="1" s="25">
      <c r="A344" s="1" t="n">
        <v>343</v>
      </c>
      <c r="B344" s="2" t="inlineStr">
        <is>
          <t>SJK</t>
        </is>
      </c>
      <c r="C344" s="2" t="inlineStr">
        <is>
          <t>Veikkausliiga</t>
        </is>
      </c>
      <c r="D344" s="2" t="inlineStr">
        <is>
          <t>Finland</t>
        </is>
      </c>
      <c r="E344" s="2" t="n">
        <v>1</v>
      </c>
      <c r="F344" s="2" t="inlineStr">
        <is>
          <t>Alta</t>
        </is>
      </c>
      <c r="G344" s="3" t="n">
        <v>11</v>
      </c>
      <c r="H344" s="2" t="inlineStr">
        <is>
          <t>2025/26</t>
        </is>
      </c>
      <c r="I344" s="2" t="inlineStr">
        <is>
          <t>por_validar_sem_screenshot_da_liga</t>
        </is>
      </c>
      <c r="J344" s="3" t="n"/>
      <c r="K344" s="2" t="inlineStr">
        <is>
          <t>Não preenchido: falta screenshot/tabela da liga Veikkausliiga na época 2025/26, ou clube não aparece na tabela enviada.</t>
        </is>
      </c>
    </row>
    <row r="345" ht="16" customHeight="1" s="25">
      <c r="A345" s="1" t="n">
        <v>344</v>
      </c>
      <c r="B345" s="2" t="inlineStr">
        <is>
          <t>SV Ried</t>
        </is>
      </c>
      <c r="C345" s="2" t="inlineStr">
        <is>
          <t>Austrian 2. Liga</t>
        </is>
      </c>
      <c r="D345" s="2" t="inlineStr">
        <is>
          <t>Austria</t>
        </is>
      </c>
      <c r="E345" s="2" t="n">
        <v>1</v>
      </c>
      <c r="F345" s="2" t="inlineStr">
        <is>
          <t>Média</t>
        </is>
      </c>
      <c r="G345" s="3" t="n">
        <v>9</v>
      </c>
      <c r="H345" s="2" t="inlineStr">
        <is>
          <t>2025/26</t>
        </is>
      </c>
      <c r="I345" s="2" t="inlineStr">
        <is>
          <t>por_validar_sem_screenshot_da_liga</t>
        </is>
      </c>
      <c r="J345" s="3" t="n"/>
      <c r="K345" s="2" t="inlineStr">
        <is>
          <t>Não preenchido: falta screenshot/tabela da liga Austrian 2. Liga na época 2025/26, ou clube não aparece na tabela enviada.</t>
        </is>
      </c>
    </row>
    <row r="346">
      <c r="A346" s="1" t="n">
        <v>345</v>
      </c>
      <c r="B346" s="2" t="inlineStr">
        <is>
          <t>Saint-Étienne</t>
        </is>
      </c>
      <c r="C346" s="2" t="inlineStr">
        <is>
          <t>Ligue 2</t>
        </is>
      </c>
      <c r="D346" s="2" t="inlineStr">
        <is>
          <t>France</t>
        </is>
      </c>
      <c r="E346" s="2" t="n">
        <v>2</v>
      </c>
      <c r="F346" s="2" t="inlineStr">
        <is>
          <t>Alta</t>
        </is>
      </c>
      <c r="G346" s="2" t="n">
        <v>3</v>
      </c>
      <c r="H346" s="2" t="inlineStr">
        <is>
          <t>2025/26</t>
        </is>
      </c>
      <c r="I346" s="2" t="inlineStr">
        <is>
          <t>confirmado_por_zerozero_screenshot_v6</t>
        </is>
      </c>
      <c r="J346" s="2" t="inlineStr">
        <is>
          <t>ZeroZero screenshot enviado pelo utilizador - Ligue 2 2025/26</t>
        </is>
      </c>
      <c r="K346" s="2" t="inlineStr">
        <is>
          <t>Validado com screenshot ZeroZero enviado nesta passagem. Clube normalizado: Saint-Étienne -&gt; saint etienne.</t>
        </is>
      </c>
    </row>
    <row r="347">
      <c r="A347" s="1" t="n">
        <v>346</v>
      </c>
      <c r="B347" s="2" t="inlineStr">
        <is>
          <t>Sampdoria</t>
        </is>
      </c>
      <c r="C347" s="2" t="inlineStr">
        <is>
          <t>Serie B</t>
        </is>
      </c>
      <c r="D347" s="2" t="inlineStr">
        <is>
          <t>Italy</t>
        </is>
      </c>
      <c r="E347" s="2" t="n">
        <v>1</v>
      </c>
      <c r="F347" s="2" t="inlineStr">
        <is>
          <t>Alta</t>
        </is>
      </c>
      <c r="G347" s="2" t="n">
        <v>13</v>
      </c>
      <c r="H347" s="2" t="inlineStr">
        <is>
          <t>2025/26</t>
        </is>
      </c>
      <c r="I347" s="2" t="inlineStr">
        <is>
          <t>confirmado_por_zerozero_screenshot_v8</t>
        </is>
      </c>
      <c r="J347" s="2" t="inlineStr">
        <is>
          <t>ZeroZero screenshot enviado pelo utilizador - Serie B 2025/26</t>
        </is>
      </c>
      <c r="K347" s="2" t="inlineStr">
        <is>
          <t>Validado com screenshot ZeroZero enviado nesta passagem. Clube normalizado: Sampdoria -&gt; sampdoria.</t>
        </is>
      </c>
    </row>
    <row r="348">
      <c r="A348" s="1" t="n">
        <v>347</v>
      </c>
      <c r="B348" s="2" t="inlineStr">
        <is>
          <t>Samsunspor</t>
        </is>
      </c>
      <c r="C348" s="2" t="inlineStr">
        <is>
          <t>Süper Lig</t>
        </is>
      </c>
      <c r="D348" s="2" t="inlineStr">
        <is>
          <t>Turkey</t>
        </is>
      </c>
      <c r="E348" s="2" t="n">
        <v>1</v>
      </c>
      <c r="F348" s="2" t="inlineStr">
        <is>
          <t>Alta</t>
        </is>
      </c>
      <c r="G348" s="2" t="n">
        <v>7</v>
      </c>
      <c r="H348" s="2" t="inlineStr">
        <is>
          <t>2025/26</t>
        </is>
      </c>
      <c r="I348" s="2" t="inlineStr">
        <is>
          <t>confirmado_por_zerozero_screenshot</t>
        </is>
      </c>
      <c r="J348" s="2" t="inlineStr">
        <is>
          <t>ZeroZero screenshot enviado pelo utilizador - Süper Lig 2025/26</t>
        </is>
      </c>
      <c r="K348" s="2" t="inlineStr">
        <is>
          <t>Validado com a classificação visível no screenshot enviado. Clube normalizado: Samsunspor -&gt; samsunspor.</t>
        </is>
      </c>
    </row>
    <row r="349">
      <c r="A349" s="1" t="n">
        <v>348</v>
      </c>
      <c r="B349" s="2" t="inlineStr">
        <is>
          <t>San Diego FC</t>
        </is>
      </c>
      <c r="C349" s="2" t="inlineStr">
        <is>
          <t>Major League Soccer</t>
        </is>
      </c>
      <c r="D349" s="2" t="inlineStr">
        <is>
          <t>United States/Canada</t>
        </is>
      </c>
      <c r="E349" s="2" t="n">
        <v>1</v>
      </c>
      <c r="F349" s="2" t="inlineStr">
        <is>
          <t>Alta</t>
        </is>
      </c>
      <c r="G349" s="2" t="n">
        <v>10</v>
      </c>
      <c r="H349" s="2" t="n">
        <v>2026</v>
      </c>
      <c r="I349" s="2" t="inlineStr">
        <is>
          <t>confirmado_por_zerozero_screenshot</t>
        </is>
      </c>
      <c r="J349" s="2" t="inlineStr">
        <is>
          <t>ZeroZero screenshot enviado pelo utilizador - MLS 2026, posição na conferência</t>
        </is>
      </c>
      <c r="K349" s="2" t="inlineStr">
        <is>
          <t>Validado com a classificação visível no screenshot enviado. Clube normalizado: San Diego FC -&gt; san diego fc.</t>
        </is>
      </c>
    </row>
    <row r="350">
      <c r="A350" s="1" t="n">
        <v>349</v>
      </c>
      <c r="B350" s="2" t="inlineStr">
        <is>
          <t>San Lorenzo</t>
        </is>
      </c>
      <c r="C350" s="2" t="inlineStr">
        <is>
          <t>Argentine Primera División</t>
        </is>
      </c>
      <c r="D350" s="2" t="inlineStr">
        <is>
          <t>Argentina</t>
        </is>
      </c>
      <c r="E350" s="2" t="n">
        <v>1</v>
      </c>
      <c r="F350" s="2" t="inlineStr">
        <is>
          <t>Alta</t>
        </is>
      </c>
      <c r="G350" s="2" t="n">
        <v>7</v>
      </c>
      <c r="H350" s="2" t="n">
        <v>2026</v>
      </c>
      <c r="I350" s="2" t="inlineStr">
        <is>
          <t>confirmado_por_zerozero_screenshot_v5</t>
        </is>
      </c>
      <c r="J350" s="2" t="inlineStr">
        <is>
          <t>ZeroZero screenshot enviado pelo utilizador - Torneo Apertura 2026, 1.ª fase/grupos</t>
        </is>
      </c>
      <c r="K350" s="2" t="inlineStr">
        <is>
          <t>Validado com screenshot ZeroZero enviado nesta passagem. Clube normalizado: San Lorenzo -&gt; san lorenzo.</t>
        </is>
      </c>
    </row>
    <row r="351">
      <c r="A351" s="1" t="n">
        <v>350</v>
      </c>
      <c r="B351" s="2" t="inlineStr">
        <is>
          <t>Sanfrecce Hiroshima</t>
        </is>
      </c>
      <c r="C351" s="2" t="inlineStr">
        <is>
          <t>J1 League</t>
        </is>
      </c>
      <c r="D351" s="2" t="inlineStr">
        <is>
          <t>Japan</t>
        </is>
      </c>
      <c r="E351" s="2" t="n">
        <v>1</v>
      </c>
      <c r="F351" s="2" t="inlineStr">
        <is>
          <t>Alta</t>
        </is>
      </c>
      <c r="G351" s="2" t="n">
        <v>4</v>
      </c>
      <c r="H351" s="2" t="n">
        <v>2026</v>
      </c>
      <c r="I351" s="2" t="inlineStr">
        <is>
          <t>confirmado_por_zerozero_screenshot_v6</t>
        </is>
      </c>
      <c r="J351" s="2" t="inlineStr">
        <is>
          <t>ZeroZero screenshot enviado pelo utilizador - J1 League 2026</t>
        </is>
      </c>
      <c r="K351" s="2" t="inlineStr">
        <is>
          <t>Validado com screenshot ZeroZero enviado nesta passagem. Clube normalizado: Sanfrecce Hiroshima -&gt; sanfrecce hiroshima.</t>
        </is>
      </c>
    </row>
    <row r="352">
      <c r="A352" s="1" t="n">
        <v>351</v>
      </c>
      <c r="B352" s="2" t="inlineStr">
        <is>
          <t>Santos</t>
        </is>
      </c>
      <c r="C352" s="2" t="inlineStr">
        <is>
          <t>Campeonato Brasileiro Série A</t>
        </is>
      </c>
      <c r="D352" s="2" t="inlineStr">
        <is>
          <t>Brazil</t>
        </is>
      </c>
      <c r="E352" s="2" t="n">
        <v>1</v>
      </c>
      <c r="F352" s="2" t="inlineStr">
        <is>
          <t>Alta</t>
        </is>
      </c>
      <c r="G352" s="2" t="n">
        <v>15</v>
      </c>
      <c r="H352" s="2" t="n">
        <v>2026</v>
      </c>
      <c r="I352" s="2" t="inlineStr">
        <is>
          <t>confirmado_por_zerozero_screenshot</t>
        </is>
      </c>
      <c r="J352" s="2" t="inlineStr">
        <is>
          <t>ZeroZero screenshot enviado pelo utilizador - Brasileirão Série A 2026</t>
        </is>
      </c>
      <c r="K352" s="2" t="inlineStr">
        <is>
          <t>Validado com a classificação visível no screenshot enviado. Clube normalizado: Santos -&gt; santos.</t>
        </is>
      </c>
    </row>
    <row r="353">
      <c r="A353" s="1" t="n">
        <v>352</v>
      </c>
      <c r="B353" s="2" t="inlineStr">
        <is>
          <t>Santos Laguna</t>
        </is>
      </c>
      <c r="C353" s="2" t="inlineStr">
        <is>
          <t>Liga MX</t>
        </is>
      </c>
      <c r="D353" s="2" t="inlineStr">
        <is>
          <t>Mexico</t>
        </is>
      </c>
      <c r="E353" s="2" t="n">
        <v>1</v>
      </c>
      <c r="F353" s="2" t="inlineStr">
        <is>
          <t>Alta</t>
        </is>
      </c>
      <c r="G353" s="2" t="n">
        <v>18</v>
      </c>
      <c r="H353" s="2" t="n">
        <v>2026</v>
      </c>
      <c r="I353" s="2" t="inlineStr">
        <is>
          <t>confirmado_por_zerozero_screenshot_v6</t>
        </is>
      </c>
      <c r="J353" s="2" t="inlineStr">
        <is>
          <t>ZeroZero screenshot enviado pelo utilizador - Liga MX Clausura 2026 aplicado a Liga MX</t>
        </is>
      </c>
      <c r="K353" s="2" t="inlineStr">
        <is>
          <t>Validado com screenshot ZeroZero enviado nesta passagem. Clube normalizado: Santos Laguna -&gt; santos laguna.</t>
        </is>
      </c>
    </row>
    <row r="354">
      <c r="A354" s="1" t="n">
        <v>353</v>
      </c>
      <c r="B354" s="2" t="inlineStr">
        <is>
          <t>Sarpsborg 08</t>
        </is>
      </c>
      <c r="C354" s="2" t="inlineStr">
        <is>
          <t>Eliteserien</t>
        </is>
      </c>
      <c r="D354" s="2" t="inlineStr">
        <is>
          <t>Norway</t>
        </is>
      </c>
      <c r="E354" s="2" t="n">
        <v>1</v>
      </c>
      <c r="F354" s="2" t="inlineStr">
        <is>
          <t>Alta</t>
        </is>
      </c>
      <c r="G354" s="2" t="n">
        <v>8</v>
      </c>
      <c r="H354" s="2" t="n">
        <v>2026</v>
      </c>
      <c r="I354" s="2" t="inlineStr">
        <is>
          <t>confirmado_por_zerozero_screenshot_v7</t>
        </is>
      </c>
      <c r="J354" s="2" t="inlineStr">
        <is>
          <t>ZeroZero screenshot enviado pelo utilizador - Eliteserien 2026</t>
        </is>
      </c>
      <c r="K354" s="2" t="inlineStr">
        <is>
          <t>Validado com screenshot ZeroZero enviado nesta passagem. Clube normalizado: Sarpsborg 08 -&gt; sarpsborg 08.</t>
        </is>
      </c>
    </row>
    <row r="355">
      <c r="A355" s="1" t="n">
        <v>354</v>
      </c>
      <c r="B355" s="2" t="inlineStr">
        <is>
          <t>Sassuolo</t>
        </is>
      </c>
      <c r="C355" s="2" t="inlineStr">
        <is>
          <t>Serie A</t>
        </is>
      </c>
      <c r="D355" s="2" t="inlineStr">
        <is>
          <t>Italy</t>
        </is>
      </c>
      <c r="E355" s="2" t="n">
        <v>4</v>
      </c>
      <c r="F355" s="2" t="inlineStr">
        <is>
          <t>Alta</t>
        </is>
      </c>
      <c r="G355" s="2" t="n">
        <v>11</v>
      </c>
      <c r="H355" s="2" t="inlineStr">
        <is>
          <t>2025/26</t>
        </is>
      </c>
      <c r="I355" s="2" t="inlineStr">
        <is>
          <t>confirmado_por_zerozero_screenshot</t>
        </is>
      </c>
      <c r="J355" s="2" t="inlineStr">
        <is>
          <t>ZeroZero screenshot enviado pelo utilizador - Serie A 2025/26</t>
        </is>
      </c>
      <c r="K355" s="2" t="inlineStr">
        <is>
          <t>Validado com a classificação visível no screenshot enviado. Clube normalizado: Sassuolo -&gt; sassuolo.</t>
        </is>
      </c>
    </row>
    <row r="356">
      <c r="A356" s="1" t="n">
        <v>355</v>
      </c>
      <c r="B356" s="2" t="inlineStr">
        <is>
          <t>Schalke 04</t>
        </is>
      </c>
      <c r="C356" s="2" t="inlineStr">
        <is>
          <t>2. Bundesliga</t>
        </is>
      </c>
      <c r="D356" s="2" t="inlineStr">
        <is>
          <t>Germany</t>
        </is>
      </c>
      <c r="E356" s="2" t="n">
        <v>3</v>
      </c>
      <c r="F356" s="2" t="inlineStr">
        <is>
          <t>Alta</t>
        </is>
      </c>
      <c r="G356" s="2" t="n">
        <v>1</v>
      </c>
      <c r="H356" s="2" t="inlineStr">
        <is>
          <t>2025/26</t>
        </is>
      </c>
      <c r="I356" s="2" t="inlineStr">
        <is>
          <t>confirmado_por_zerozero_screenshot_v7</t>
        </is>
      </c>
      <c r="J356" s="2" t="inlineStr">
        <is>
          <t>ZeroZero screenshot enviado pelo utilizador - 2. Bundesliga 2025/26</t>
        </is>
      </c>
      <c r="K356" s="2" t="inlineStr">
        <is>
          <t>Validado com screenshot ZeroZero enviado nesta passagem. Clube normalizado: Schalke 04 -&gt; schalke 04.</t>
        </is>
      </c>
    </row>
    <row r="357">
      <c r="A357" s="1" t="n">
        <v>356</v>
      </c>
      <c r="B357" s="2" t="inlineStr">
        <is>
          <t>Seattle Sounders</t>
        </is>
      </c>
      <c r="C357" s="2" t="inlineStr">
        <is>
          <t>Major League Soccer</t>
        </is>
      </c>
      <c r="D357" s="2" t="inlineStr">
        <is>
          <t>United States/Canada</t>
        </is>
      </c>
      <c r="E357" s="2" t="n">
        <v>1</v>
      </c>
      <c r="F357" s="2" t="inlineStr">
        <is>
          <t>Alta</t>
        </is>
      </c>
      <c r="G357" s="2" t="n">
        <v>6</v>
      </c>
      <c r="H357" s="2" t="n">
        <v>2026</v>
      </c>
      <c r="I357" s="2" t="inlineStr">
        <is>
          <t>confirmado_por_zerozero_screenshot</t>
        </is>
      </c>
      <c r="J357" s="2" t="inlineStr">
        <is>
          <t>ZeroZero screenshot enviado pelo utilizador - MLS 2026, posição na conferência</t>
        </is>
      </c>
      <c r="K357" s="2" t="inlineStr">
        <is>
          <t>Validado com a classificação visível no screenshot enviado. Clube normalizado: Seattle Sounders -&gt; seattle sounders.</t>
        </is>
      </c>
    </row>
    <row r="358">
      <c r="A358" s="1" t="n">
        <v>357</v>
      </c>
      <c r="B358" s="2" t="inlineStr">
        <is>
          <t>Sepahan</t>
        </is>
      </c>
      <c r="C358" s="2" t="inlineStr">
        <is>
          <t>Persian Gulf Pro League</t>
        </is>
      </c>
      <c r="D358" s="2" t="inlineStr">
        <is>
          <t>Iran</t>
        </is>
      </c>
      <c r="E358" s="2" t="n">
        <v>3</v>
      </c>
      <c r="F358" s="2" t="inlineStr">
        <is>
          <t>Alta</t>
        </is>
      </c>
      <c r="G358" s="2" t="n">
        <v>2</v>
      </c>
      <c r="H358" s="2" t="inlineStr">
        <is>
          <t>2025/26</t>
        </is>
      </c>
      <c r="I358" s="2" t="inlineStr">
        <is>
          <t>confirmado_por_zerozero_screenshot_v6</t>
        </is>
      </c>
      <c r="J358" s="2" t="inlineStr">
        <is>
          <t>ZeroZero screenshot enviado pelo utilizador - Persian Gulf Pro League 2025/26</t>
        </is>
      </c>
      <c r="K358" s="2" t="inlineStr">
        <is>
          <t>Validado com screenshot ZeroZero enviado nesta passagem. Clube normalizado: Sepahan -&gt; sepahan.</t>
        </is>
      </c>
    </row>
    <row r="359">
      <c r="A359" s="1" t="n">
        <v>358</v>
      </c>
      <c r="B359" s="2" t="inlineStr">
        <is>
          <t>Servette</t>
        </is>
      </c>
      <c r="C359" s="2" t="inlineStr">
        <is>
          <t>Swiss Super League</t>
        </is>
      </c>
      <c r="D359" s="2" t="inlineStr">
        <is>
          <t>Switzerland</t>
        </is>
      </c>
      <c r="E359" s="2" t="n">
        <v>1</v>
      </c>
      <c r="F359" s="2" t="inlineStr">
        <is>
          <t>Alta</t>
        </is>
      </c>
      <c r="G359" s="2" t="n">
        <v>8</v>
      </c>
      <c r="H359" s="2" t="inlineStr">
        <is>
          <t>2025/26</t>
        </is>
      </c>
      <c r="I359" s="2" t="inlineStr">
        <is>
          <t>confirmado_por_zerozero_screenshot_v7</t>
        </is>
      </c>
      <c r="J359" s="2" t="inlineStr">
        <is>
          <t>ZeroZero screenshot enviado pelo utilizador - Brack Super League 2025/26</t>
        </is>
      </c>
      <c r="K359" s="2" t="inlineStr">
        <is>
          <t>Validado com screenshot ZeroZero enviado nesta passagem. Clube normalizado: Servette -&gt; servette.</t>
        </is>
      </c>
    </row>
    <row r="360">
      <c r="A360" s="1" t="n">
        <v>359</v>
      </c>
      <c r="B360" s="2" t="inlineStr">
        <is>
          <t>Sevilla</t>
        </is>
      </c>
      <c r="C360" s="2" t="inlineStr">
        <is>
          <t>LaLiga</t>
        </is>
      </c>
      <c r="D360" s="2" t="inlineStr">
        <is>
          <t>Spain</t>
        </is>
      </c>
      <c r="E360" s="2" t="n">
        <v>3</v>
      </c>
      <c r="F360" s="2" t="inlineStr">
        <is>
          <t>Alta</t>
        </is>
      </c>
      <c r="G360" s="2" t="n">
        <v>13</v>
      </c>
      <c r="H360" s="2" t="inlineStr">
        <is>
          <t>2025/26</t>
        </is>
      </c>
      <c r="I360" s="2" t="inlineStr">
        <is>
          <t>confirmado_por_zerozero_screenshot</t>
        </is>
      </c>
      <c r="J360" s="2" t="inlineStr">
        <is>
          <t>ZeroZero screenshot enviado pelo utilizador - LaLiga 2025/26</t>
        </is>
      </c>
      <c r="K360" s="2" t="inlineStr">
        <is>
          <t>Validado com a classificação visível no screenshot enviado. Clube normalizado: Sevilla -&gt; sevilla.</t>
        </is>
      </c>
    </row>
    <row r="361">
      <c r="A361" s="1" t="n">
        <v>360</v>
      </c>
      <c r="B361" s="2" t="inlineStr">
        <is>
          <t>Shamrock Rovers</t>
        </is>
      </c>
      <c r="C361" s="2" t="inlineStr">
        <is>
          <t>League of Ireland Premier Division</t>
        </is>
      </c>
      <c r="D361" s="2" t="inlineStr">
        <is>
          <t>Ireland</t>
        </is>
      </c>
      <c r="E361" s="2" t="n">
        <v>1</v>
      </c>
      <c r="F361" s="2" t="inlineStr">
        <is>
          <t>Alta</t>
        </is>
      </c>
      <c r="G361" s="2" t="n">
        <v>1</v>
      </c>
      <c r="H361" s="2" t="n">
        <v>2026</v>
      </c>
      <c r="I361" s="2" t="inlineStr">
        <is>
          <t>confirmado_por_screenshot_v10</t>
        </is>
      </c>
      <c r="J361" s="2" t="inlineStr">
        <is>
          <t>Screenshot ZeroZero enviado pelo utilizador - Airtricity League 2026</t>
        </is>
      </c>
      <c r="K361" s="2" t="inlineStr">
        <is>
          <t>Validado com screenshot enviado nesta passagem.</t>
        </is>
      </c>
    </row>
    <row r="362">
      <c r="A362" s="1" t="n">
        <v>361</v>
      </c>
      <c r="B362" s="2" t="inlineStr">
        <is>
          <t>Sheffield United</t>
        </is>
      </c>
      <c r="C362" s="2" t="inlineStr">
        <is>
          <t>EFL Championship</t>
        </is>
      </c>
      <c r="D362" s="2" t="inlineStr">
        <is>
          <t>England</t>
        </is>
      </c>
      <c r="E362" s="2" t="n">
        <v>2</v>
      </c>
      <c r="F362" s="2" t="inlineStr">
        <is>
          <t>Alta</t>
        </is>
      </c>
      <c r="G362" s="2" t="n">
        <v>13</v>
      </c>
      <c r="H362" s="2" t="inlineStr">
        <is>
          <t>2025/26</t>
        </is>
      </c>
      <c r="I362" s="2" t="inlineStr">
        <is>
          <t>confirmado_por_zerozero_screenshot_v5</t>
        </is>
      </c>
      <c r="J362" s="2" t="inlineStr">
        <is>
          <t>ZeroZero screenshot enviado pelo utilizador - Championship 2025/26</t>
        </is>
      </c>
      <c r="K362" s="2" t="inlineStr">
        <is>
          <t>Validado com screenshot ZeroZero enviado nesta passagem. Clube normalizado: Sheffield United -&gt; sheffield united.</t>
        </is>
      </c>
    </row>
    <row r="363">
      <c r="A363" s="1" t="n">
        <v>362</v>
      </c>
      <c r="B363" s="2" t="inlineStr">
        <is>
          <t>Silkeborg</t>
        </is>
      </c>
      <c r="C363" s="2" t="inlineStr">
        <is>
          <t>Danish Superliga</t>
        </is>
      </c>
      <c r="D363" s="2" t="inlineStr">
        <is>
          <t>Denmark</t>
        </is>
      </c>
      <c r="E363" s="2" t="n">
        <v>1</v>
      </c>
      <c r="F363" s="2" t="inlineStr">
        <is>
          <t>Alta</t>
        </is>
      </c>
      <c r="G363" s="2" t="n">
        <v>11</v>
      </c>
      <c r="H363" s="2" t="inlineStr">
        <is>
          <t>2025/26</t>
        </is>
      </c>
      <c r="I363" s="2" t="inlineStr">
        <is>
          <t>confirmado_por_zerozero_screenshot</t>
        </is>
      </c>
      <c r="J363" s="2" t="inlineStr">
        <is>
          <t>ZeroZero screenshot enviado pelo utilizador - Superligaen fase regular 2025/26</t>
        </is>
      </c>
      <c r="K363" s="2" t="inlineStr">
        <is>
          <t>Validado com a classificação visível no screenshot enviado. Clube normalizado: Silkeborg -&gt; silkeborg.</t>
        </is>
      </c>
    </row>
    <row r="364">
      <c r="A364" s="1" t="n">
        <v>363</v>
      </c>
      <c r="B364" s="2" t="inlineStr">
        <is>
          <t>Sint-Truiden</t>
        </is>
      </c>
      <c r="C364" s="2" t="inlineStr">
        <is>
          <t>Belgian Pro League</t>
        </is>
      </c>
      <c r="D364" s="2" t="inlineStr">
        <is>
          <t>Belgium</t>
        </is>
      </c>
      <c r="E364" s="2" t="n">
        <v>2</v>
      </c>
      <c r="F364" s="2" t="inlineStr">
        <is>
          <t>Alta</t>
        </is>
      </c>
      <c r="G364" s="2" t="n">
        <v>3</v>
      </c>
      <c r="H364" s="2" t="inlineStr">
        <is>
          <t>2025/26</t>
        </is>
      </c>
      <c r="I364" s="2" t="inlineStr">
        <is>
          <t>confirmado_por_zerozero_screenshot</t>
        </is>
      </c>
      <c r="J364" s="2" t="inlineStr">
        <is>
          <t>ZeroZero screenshot enviado pelo utilizador - Jupiler Pro League fase regular 2025/26</t>
        </is>
      </c>
      <c r="K364" s="2" t="inlineStr">
        <is>
          <t>Validado com a classificação visível no screenshot enviado. Clube normalizado: Sint-Truiden -&gt; sint truiden.</t>
        </is>
      </c>
    </row>
    <row r="365">
      <c r="A365" s="1" t="n">
        <v>364</v>
      </c>
      <c r="B365" s="2" t="inlineStr">
        <is>
          <t>Siwelele</t>
        </is>
      </c>
      <c r="C365" s="2" t="inlineStr">
        <is>
          <t>South African Premiership</t>
        </is>
      </c>
      <c r="D365" s="2" t="inlineStr">
        <is>
          <t>South Africa</t>
        </is>
      </c>
      <c r="E365" s="2" t="n">
        <v>1</v>
      </c>
      <c r="F365" s="2" t="inlineStr">
        <is>
          <t>Alta</t>
        </is>
      </c>
      <c r="G365" s="2" t="n">
        <v>10</v>
      </c>
      <c r="H365" s="2" t="inlineStr">
        <is>
          <t>2025/26</t>
        </is>
      </c>
      <c r="I365" s="2" t="inlineStr">
        <is>
          <t>confirmado_por_zerozero_screenshot_v7</t>
        </is>
      </c>
      <c r="J365" s="2" t="inlineStr">
        <is>
          <t>ZeroZero screenshot enviado pelo utilizador - Liga Sul-Africana 2025/26</t>
        </is>
      </c>
      <c r="K365" s="2" t="inlineStr">
        <is>
          <t>Validado com screenshot ZeroZero enviado nesta passagem. Clube normalizado: Siwelele -&gt; siwelele.</t>
        </is>
      </c>
    </row>
    <row r="366">
      <c r="A366" s="1" t="n">
        <v>365</v>
      </c>
      <c r="B366" s="2" t="inlineStr">
        <is>
          <t>Slaven</t>
        </is>
      </c>
      <c r="C366" s="2" t="inlineStr">
        <is>
          <t>Croatian Football League</t>
        </is>
      </c>
      <c r="D366" s="2" t="inlineStr">
        <is>
          <t>Croatia</t>
        </is>
      </c>
      <c r="E366" s="2" t="n">
        <v>1</v>
      </c>
      <c r="F366" s="2" t="inlineStr">
        <is>
          <t>Alta</t>
        </is>
      </c>
      <c r="G366" s="2" t="n">
        <v>8</v>
      </c>
      <c r="H366" s="2" t="inlineStr">
        <is>
          <t>2025/26</t>
        </is>
      </c>
      <c r="I366" s="2" t="inlineStr">
        <is>
          <t>confirmado_por_zerozero_screenshot_v8</t>
        </is>
      </c>
      <c r="J366" s="2" t="inlineStr">
        <is>
          <t>ZeroZero screenshot enviado pelo utilizador - Prva HNL 2025/26</t>
        </is>
      </c>
      <c r="K366" s="2" t="inlineStr">
        <is>
          <t>Validado com screenshot ZeroZero enviado nesta passagem. Clube normalizado: Slaven -&gt; slaven.</t>
        </is>
      </c>
    </row>
    <row r="367">
      <c r="A367" s="1" t="n">
        <v>366</v>
      </c>
      <c r="B367" s="2" t="inlineStr">
        <is>
          <t>Slavia Praha</t>
        </is>
      </c>
      <c r="C367" s="2" t="inlineStr">
        <is>
          <t>Czech First League</t>
        </is>
      </c>
      <c r="D367" s="2" t="inlineStr">
        <is>
          <t>Czech Republic</t>
        </is>
      </c>
      <c r="E367" s="2" t="n">
        <v>10</v>
      </c>
      <c r="F367" s="2" t="inlineStr">
        <is>
          <t>Alta</t>
        </is>
      </c>
      <c r="G367" s="2" t="n">
        <v>1</v>
      </c>
      <c r="H367" s="2" t="inlineStr">
        <is>
          <t>2025/26</t>
        </is>
      </c>
      <c r="I367" s="2" t="inlineStr">
        <is>
          <t>confirmado_por_zerozero_screenshot_v7</t>
        </is>
      </c>
      <c r="J367" s="2" t="inlineStr">
        <is>
          <t>ZeroZero screenshot enviado pelo utilizador - Chance Liga Fase Campeão 2025/26</t>
        </is>
      </c>
      <c r="K367" s="2" t="inlineStr">
        <is>
          <t>Validado com screenshot ZeroZero enviado nesta passagem. Clube normalizado: Slavia Praha -&gt; slavia praha.</t>
        </is>
      </c>
    </row>
    <row r="368">
      <c r="A368" s="1" t="n">
        <v>367</v>
      </c>
      <c r="B368" s="2" t="inlineStr">
        <is>
          <t>Slovan Liberec</t>
        </is>
      </c>
      <c r="C368" s="2" t="inlineStr">
        <is>
          <t>Czech First League</t>
        </is>
      </c>
      <c r="D368" s="2" t="inlineStr">
        <is>
          <t>Czech Republic</t>
        </is>
      </c>
      <c r="E368" s="2" t="n">
        <v>1</v>
      </c>
      <c r="F368" s="2" t="inlineStr">
        <is>
          <t>Alta</t>
        </is>
      </c>
      <c r="G368" s="2" t="n">
        <v>6</v>
      </c>
      <c r="H368" s="2" t="inlineStr">
        <is>
          <t>2025/26</t>
        </is>
      </c>
      <c r="I368" s="2" t="inlineStr">
        <is>
          <t>confirmado_por_zerozero_screenshot_v7</t>
        </is>
      </c>
      <c r="J368" s="2" t="inlineStr">
        <is>
          <t>ZeroZero screenshot enviado pelo utilizador - Chance Liga Fase Campeão 2025/26</t>
        </is>
      </c>
      <c r="K368" s="2" t="inlineStr">
        <is>
          <t>Validado com screenshot ZeroZero enviado nesta passagem. Clube normalizado: Slovan Liberec -&gt; slovan liberec.</t>
        </is>
      </c>
    </row>
    <row r="369" ht="16" customHeight="1" s="25">
      <c r="A369" s="1" t="n">
        <v>368</v>
      </c>
      <c r="B369" s="2" t="inlineStr">
        <is>
          <t>Sochaux</t>
        </is>
      </c>
      <c r="C369" s="2" t="inlineStr">
        <is>
          <t>Championnat National</t>
        </is>
      </c>
      <c r="D369" s="2" t="inlineStr">
        <is>
          <t>France</t>
        </is>
      </c>
      <c r="E369" s="2" t="n">
        <v>1</v>
      </c>
      <c r="F369" s="2" t="inlineStr">
        <is>
          <t>Média</t>
        </is>
      </c>
      <c r="G369" s="3" t="n">
        <v>2</v>
      </c>
      <c r="H369" s="2" t="inlineStr">
        <is>
          <t>2025/26</t>
        </is>
      </c>
      <c r="I369" s="2" t="inlineStr">
        <is>
          <t>por_validar_sem_screenshot_da_liga</t>
        </is>
      </c>
      <c r="J369" s="3" t="n"/>
      <c r="K369" s="2" t="inlineStr">
        <is>
          <t>Não preenchido: falta screenshot/tabela da liga Championnat National na época 2025/26, ou clube não aparece na tabela enviada.</t>
        </is>
      </c>
    </row>
    <row r="370">
      <c r="A370" s="1" t="n">
        <v>369</v>
      </c>
      <c r="B370" s="2" t="inlineStr">
        <is>
          <t>Southampton</t>
        </is>
      </c>
      <c r="C370" s="2" t="inlineStr">
        <is>
          <t>EFL Championship</t>
        </is>
      </c>
      <c r="D370" s="2" t="inlineStr">
        <is>
          <t>England</t>
        </is>
      </c>
      <c r="E370" s="2" t="n">
        <v>2</v>
      </c>
      <c r="F370" s="2" t="inlineStr">
        <is>
          <t>Alta</t>
        </is>
      </c>
      <c r="G370" s="2" t="n">
        <v>4</v>
      </c>
      <c r="H370" s="2" t="inlineStr">
        <is>
          <t>2025/26</t>
        </is>
      </c>
      <c r="I370" s="2" t="inlineStr">
        <is>
          <t>confirmado_por_zerozero_screenshot_v5</t>
        </is>
      </c>
      <c r="J370" s="2" t="inlineStr">
        <is>
          <t>ZeroZero screenshot enviado pelo utilizador - Championship 2025/26</t>
        </is>
      </c>
      <c r="K370" s="2" t="inlineStr">
        <is>
          <t>Validado com screenshot ZeroZero enviado nesta passagem. Clube normalizado: Southampton -&gt; southampton.</t>
        </is>
      </c>
    </row>
    <row r="371">
      <c r="A371" s="1" t="n">
        <v>370</v>
      </c>
      <c r="B371" s="2" t="inlineStr">
        <is>
          <t>Sparta Praha</t>
        </is>
      </c>
      <c r="C371" s="2" t="inlineStr">
        <is>
          <t>Czech First League</t>
        </is>
      </c>
      <c r="D371" s="2" t="inlineStr">
        <is>
          <t>Czech Republic</t>
        </is>
      </c>
      <c r="E371" s="2" t="n">
        <v>3</v>
      </c>
      <c r="F371" s="2" t="inlineStr">
        <is>
          <t>Alta</t>
        </is>
      </c>
      <c r="G371" s="2" t="n">
        <v>2</v>
      </c>
      <c r="H371" s="2" t="inlineStr">
        <is>
          <t>2025/26</t>
        </is>
      </c>
      <c r="I371" s="2" t="inlineStr">
        <is>
          <t>confirmado_por_zerozero_screenshot_v7</t>
        </is>
      </c>
      <c r="J371" s="2" t="inlineStr">
        <is>
          <t>ZeroZero screenshot enviado pelo utilizador - Chance Liga Fase Campeão 2025/26</t>
        </is>
      </c>
      <c r="K371" s="2" t="inlineStr">
        <is>
          <t>Validado com screenshot ZeroZero enviado nesta passagem. Clube normalizado: Sparta Praha -&gt; sparta praha.</t>
        </is>
      </c>
    </row>
    <row r="372">
      <c r="A372" s="1" t="n">
        <v>371</v>
      </c>
      <c r="B372" s="2" t="inlineStr">
        <is>
          <t>Sparta Rotterdam</t>
        </is>
      </c>
      <c r="C372" s="2" t="inlineStr">
        <is>
          <t>Eredivisie</t>
        </is>
      </c>
      <c r="D372" s="2" t="inlineStr">
        <is>
          <t>Netherlands</t>
        </is>
      </c>
      <c r="E372" s="2" t="n">
        <v>1</v>
      </c>
      <c r="F372" s="2" t="inlineStr">
        <is>
          <t>Alta</t>
        </is>
      </c>
      <c r="G372" s="2" t="n">
        <v>10</v>
      </c>
      <c r="H372" s="2" t="inlineStr">
        <is>
          <t>2025/26</t>
        </is>
      </c>
      <c r="I372" s="2" t="inlineStr">
        <is>
          <t>confirmado_por_zerozero_screenshot</t>
        </is>
      </c>
      <c r="J372" s="2" t="inlineStr">
        <is>
          <t>ZeroZero screenshot enviado pelo utilizador - Eredivisie 2025/26</t>
        </is>
      </c>
      <c r="K372" s="2" t="inlineStr">
        <is>
          <t>Validado com a classificação visível no screenshot enviado. Clube normalizado: Sparta Rotterdam -&gt; sparta rotterdam.</t>
        </is>
      </c>
    </row>
    <row r="373">
      <c r="A373" s="1" t="n">
        <v>372</v>
      </c>
      <c r="B373" s="2" t="inlineStr">
        <is>
          <t>Spartak Moskva</t>
        </is>
      </c>
      <c r="C373" s="2" t="inlineStr">
        <is>
          <t>Russian Premier League</t>
        </is>
      </c>
      <c r="D373" s="2" t="inlineStr">
        <is>
          <t>Russia</t>
        </is>
      </c>
      <c r="E373" s="2" t="n">
        <v>1</v>
      </c>
      <c r="F373" s="2" t="inlineStr">
        <is>
          <t>Alta</t>
        </is>
      </c>
      <c r="G373" s="2" t="n">
        <v>4</v>
      </c>
      <c r="H373" s="2" t="inlineStr">
        <is>
          <t>2025/26</t>
        </is>
      </c>
      <c r="I373" s="2" t="inlineStr">
        <is>
          <t>confirmado_por_zerozero_screenshot_v5</t>
        </is>
      </c>
      <c r="J373" s="2" t="inlineStr">
        <is>
          <t>ZeroZero screenshot enviado pelo utilizador - Russian Premier League 2025/26</t>
        </is>
      </c>
      <c r="K373" s="2" t="inlineStr">
        <is>
          <t>Validado com screenshot ZeroZero enviado nesta passagem. Clube normalizado: Spartak Moskva -&gt; spartak moskva.</t>
        </is>
      </c>
    </row>
    <row r="374">
      <c r="A374" s="1" t="n">
        <v>373</v>
      </c>
      <c r="B374" s="2" t="inlineStr">
        <is>
          <t>Sporting</t>
        </is>
      </c>
      <c r="C374" s="2" t="inlineStr">
        <is>
          <t>Primeira Liga</t>
        </is>
      </c>
      <c r="D374" s="2" t="inlineStr">
        <is>
          <t>Portugal</t>
        </is>
      </c>
      <c r="E374" s="2" t="n">
        <v>8</v>
      </c>
      <c r="F374" s="2" t="inlineStr">
        <is>
          <t>Alta</t>
        </is>
      </c>
      <c r="G374" s="2" t="n">
        <v>2</v>
      </c>
      <c r="H374" s="2" t="inlineStr">
        <is>
          <t>2025/26</t>
        </is>
      </c>
      <c r="I374" s="2" t="inlineStr">
        <is>
          <t>confirmado_por_zerozero_screenshot</t>
        </is>
      </c>
      <c r="J374" s="2" t="inlineStr">
        <is>
          <t>ZeroZero screenshot enviado pelo utilizador - Liga Portugal Betclic 2025/26</t>
        </is>
      </c>
      <c r="K374" s="2" t="inlineStr">
        <is>
          <t>Validado com a classificação visível no screenshot enviado. Clube normalizado: Sporting -&gt; sporting.</t>
        </is>
      </c>
    </row>
    <row r="375" ht="16" customHeight="1" s="25">
      <c r="A375" s="1" t="n">
        <v>374</v>
      </c>
      <c r="B375" s="2" t="inlineStr">
        <is>
          <t>Sportkring Beveren</t>
        </is>
      </c>
      <c r="C375" s="2" t="inlineStr">
        <is>
          <t>Challenger Pro League</t>
        </is>
      </c>
      <c r="D375" s="2" t="inlineStr">
        <is>
          <t>Belgium</t>
        </is>
      </c>
      <c r="E375" s="2" t="n">
        <v>1</v>
      </c>
      <c r="F375" s="2" t="inlineStr">
        <is>
          <t>Alta</t>
        </is>
      </c>
      <c r="G375" s="3" t="n">
        <v>1</v>
      </c>
      <c r="H375" s="2" t="inlineStr">
        <is>
          <t>2025/26</t>
        </is>
      </c>
      <c r="I375" s="2" t="inlineStr">
        <is>
          <t>por_validar_sem_screenshot_da_liga</t>
        </is>
      </c>
      <c r="J375" s="3" t="n"/>
      <c r="K375" s="2" t="inlineStr">
        <is>
          <t>Não preenchido: falta screenshot/tabela da liga Challenger Pro League na época 2025/26, ou clube não aparece na tabela enviada.</t>
        </is>
      </c>
    </row>
    <row r="376">
      <c r="A376" s="1" t="n">
        <v>375</v>
      </c>
      <c r="B376" s="2" t="inlineStr">
        <is>
          <t>St. Gallen</t>
        </is>
      </c>
      <c r="C376" s="2" t="inlineStr">
        <is>
          <t>Swiss Super League</t>
        </is>
      </c>
      <c r="D376" s="2" t="inlineStr">
        <is>
          <t>Switzerland</t>
        </is>
      </c>
      <c r="E376" s="2" t="n">
        <v>1</v>
      </c>
      <c r="F376" s="2" t="inlineStr">
        <is>
          <t>Alta</t>
        </is>
      </c>
      <c r="G376" s="2" t="n">
        <v>2</v>
      </c>
      <c r="H376" s="2" t="inlineStr">
        <is>
          <t>2025/26</t>
        </is>
      </c>
      <c r="I376" s="2" t="inlineStr">
        <is>
          <t>confirmado_por_zerozero_screenshot_v7</t>
        </is>
      </c>
      <c r="J376" s="2" t="inlineStr">
        <is>
          <t>ZeroZero screenshot enviado pelo utilizador - Brack Super League 2025/26</t>
        </is>
      </c>
      <c r="K376" s="2" t="inlineStr">
        <is>
          <t>Validado com screenshot ZeroZero enviado nesta passagem. Clube normalizado: St. Gallen -&gt; st gallen.</t>
        </is>
      </c>
    </row>
    <row r="377">
      <c r="A377" s="1" t="n">
        <v>376</v>
      </c>
      <c r="B377" s="2" t="inlineStr">
        <is>
          <t>St. Patrick</t>
        </is>
      </c>
      <c r="C377" s="2" t="inlineStr">
        <is>
          <t>League of Ireland Premier Division</t>
        </is>
      </c>
      <c r="D377" s="2" t="inlineStr">
        <is>
          <t>Ireland</t>
        </is>
      </c>
      <c r="E377" s="2" t="n">
        <v>1</v>
      </c>
      <c r="F377" s="2" t="inlineStr">
        <is>
          <t>Alta</t>
        </is>
      </c>
      <c r="G377" s="2" t="n">
        <v>3</v>
      </c>
      <c r="H377" s="2" t="n">
        <v>2026</v>
      </c>
      <c r="I377" s="2" t="inlineStr">
        <is>
          <t>confirmado_por_screenshot_v10</t>
        </is>
      </c>
      <c r="J377" s="2" t="inlineStr">
        <is>
          <t>Screenshot ZeroZero enviado pelo utilizador - Airtricity League 2026</t>
        </is>
      </c>
      <c r="K377" s="2" t="inlineStr">
        <is>
          <t>Validado com screenshot enviado nesta passagem.</t>
        </is>
      </c>
    </row>
    <row r="378" ht="16" customHeight="1" s="25">
      <c r="A378" s="1" t="n">
        <v>377</v>
      </c>
      <c r="B378" s="2" t="inlineStr">
        <is>
          <t>Stade Nyonnais</t>
        </is>
      </c>
      <c r="C378" s="2" t="inlineStr">
        <is>
          <t>Swiss Challenge League</t>
        </is>
      </c>
      <c r="D378" s="2" t="inlineStr">
        <is>
          <t>Switzerland</t>
        </is>
      </c>
      <c r="E378" s="2" t="n">
        <v>1</v>
      </c>
      <c r="F378" s="2" t="inlineStr">
        <is>
          <t>Alta</t>
        </is>
      </c>
      <c r="G378" s="3" t="n">
        <v>9</v>
      </c>
      <c r="H378" s="2" t="inlineStr">
        <is>
          <t>2025/26</t>
        </is>
      </c>
      <c r="I378" s="2" t="inlineStr">
        <is>
          <t>por_validar_sem_screenshot_da_liga</t>
        </is>
      </c>
      <c r="J378" s="3" t="n"/>
      <c r="K378" s="2" t="inlineStr">
        <is>
          <t>Não preenchido: falta screenshot/tabela da liga Swiss Challenge League na época 2025/26, ou clube não aparece na tabela enviada.</t>
        </is>
      </c>
    </row>
    <row r="379">
      <c r="A379" s="1" t="n">
        <v>378</v>
      </c>
      <c r="B379" s="2" t="inlineStr">
        <is>
          <t>Stade de Reims</t>
        </is>
      </c>
      <c r="C379" s="2" t="inlineStr">
        <is>
          <t>Ligue 2</t>
        </is>
      </c>
      <c r="D379" s="2" t="inlineStr">
        <is>
          <t>France</t>
        </is>
      </c>
      <c r="E379" s="2" t="n">
        <v>1</v>
      </c>
      <c r="F379" s="2" t="inlineStr">
        <is>
          <t>Alta</t>
        </is>
      </c>
      <c r="G379" s="2" t="n">
        <v>6</v>
      </c>
      <c r="H379" s="2" t="inlineStr">
        <is>
          <t>2025/26</t>
        </is>
      </c>
      <c r="I379" s="2" t="inlineStr">
        <is>
          <t>confirmado_por_zerozero_screenshot_v6</t>
        </is>
      </c>
      <c r="J379" s="2" t="inlineStr">
        <is>
          <t>ZeroZero screenshot enviado pelo utilizador - Ligue 2 2025/26</t>
        </is>
      </c>
      <c r="K379" s="2" t="inlineStr">
        <is>
          <t>Validado com screenshot ZeroZero enviado nesta passagem. Clube normalizado: Stade de Reims -&gt; stade de reims.</t>
        </is>
      </c>
    </row>
    <row r="380">
      <c r="A380" s="1" t="n">
        <v>379</v>
      </c>
      <c r="B380" s="2" t="inlineStr">
        <is>
          <t>Standard Liège</t>
        </is>
      </c>
      <c r="C380" s="2" t="inlineStr">
        <is>
          <t>Belgian Pro League</t>
        </is>
      </c>
      <c r="D380" s="2" t="inlineStr">
        <is>
          <t>Belgium</t>
        </is>
      </c>
      <c r="E380" s="2" t="n">
        <v>2</v>
      </c>
      <c r="F380" s="2" t="inlineStr">
        <is>
          <t>Alta</t>
        </is>
      </c>
      <c r="G380" s="2" t="n">
        <v>8</v>
      </c>
      <c r="H380" s="2" t="inlineStr">
        <is>
          <t>2025/26</t>
        </is>
      </c>
      <c r="I380" s="2" t="inlineStr">
        <is>
          <t>confirmado_por_zerozero_screenshot</t>
        </is>
      </c>
      <c r="J380" s="2" t="inlineStr">
        <is>
          <t>ZeroZero screenshot enviado pelo utilizador - Jupiler Pro League fase regular 2025/26</t>
        </is>
      </c>
      <c r="K380" s="2" t="inlineStr">
        <is>
          <t>Validado com a classificação visível no screenshot enviado. Clube normalizado: Standard Liège -&gt; standard liege.</t>
        </is>
      </c>
    </row>
    <row r="381">
      <c r="A381" s="1" t="n">
        <v>380</v>
      </c>
      <c r="B381" s="2" t="inlineStr">
        <is>
          <t>Stoke City</t>
        </is>
      </c>
      <c r="C381" s="2" t="inlineStr">
        <is>
          <t>EFL Championship</t>
        </is>
      </c>
      <c r="D381" s="2" t="inlineStr">
        <is>
          <t>England</t>
        </is>
      </c>
      <c r="E381" s="2" t="n">
        <v>2</v>
      </c>
      <c r="F381" s="2" t="inlineStr">
        <is>
          <t>Alta</t>
        </is>
      </c>
      <c r="G381" s="2" t="n">
        <v>17</v>
      </c>
      <c r="H381" s="2" t="inlineStr">
        <is>
          <t>2025/26</t>
        </is>
      </c>
      <c r="I381" s="2" t="inlineStr">
        <is>
          <t>confirmado_por_zerozero_screenshot_v5</t>
        </is>
      </c>
      <c r="J381" s="2" t="inlineStr">
        <is>
          <t>ZeroZero screenshot enviado pelo utilizador - Championship 2025/26</t>
        </is>
      </c>
      <c r="K381" s="2" t="inlineStr">
        <is>
          <t>Validado com screenshot ZeroZero enviado nesta passagem. Clube normalizado: Stoke City -&gt; stoke city.</t>
        </is>
      </c>
    </row>
    <row r="382">
      <c r="A382" s="1" t="n">
        <v>381</v>
      </c>
      <c r="B382" s="2" t="inlineStr">
        <is>
          <t>Strasbourg</t>
        </is>
      </c>
      <c r="C382" s="2" t="inlineStr">
        <is>
          <t>Ligue 1</t>
        </is>
      </c>
      <c r="D382" s="2" t="inlineStr">
        <is>
          <t>France</t>
        </is>
      </c>
      <c r="E382" s="2" t="n">
        <v>8</v>
      </c>
      <c r="F382" s="2" t="inlineStr">
        <is>
          <t>Alta</t>
        </is>
      </c>
      <c r="G382" s="2" t="n">
        <v>8</v>
      </c>
      <c r="H382" s="2" t="inlineStr">
        <is>
          <t>2025/26</t>
        </is>
      </c>
      <c r="I382" s="2" t="inlineStr">
        <is>
          <t>confirmado_por_zerozero_screenshot</t>
        </is>
      </c>
      <c r="J382" s="2" t="inlineStr">
        <is>
          <t>ZeroZero screenshot enviado pelo utilizador - Ligue 1 2025/26</t>
        </is>
      </c>
      <c r="K382" s="2" t="inlineStr">
        <is>
          <t>Validado com a classificação visível no screenshot enviado. Clube normalizado: Strasbourg -&gt; strasbourg.</t>
        </is>
      </c>
    </row>
    <row r="383">
      <c r="A383" s="1" t="n">
        <v>382</v>
      </c>
      <c r="B383" s="2" t="inlineStr">
        <is>
          <t>Stuttgart</t>
        </is>
      </c>
      <c r="C383" s="2" t="inlineStr">
        <is>
          <t>Bundesliga</t>
        </is>
      </c>
      <c r="D383" s="2" t="inlineStr">
        <is>
          <t>Germany</t>
        </is>
      </c>
      <c r="E383" s="2" t="n">
        <v>8</v>
      </c>
      <c r="F383" s="2" t="inlineStr">
        <is>
          <t>Alta</t>
        </is>
      </c>
      <c r="G383" s="2" t="n">
        <v>4</v>
      </c>
      <c r="H383" s="2" t="inlineStr">
        <is>
          <t>2025/26</t>
        </is>
      </c>
      <c r="I383" s="2" t="inlineStr">
        <is>
          <t>confirmado_por_zerozero_screenshot</t>
        </is>
      </c>
      <c r="J383" s="2" t="inlineStr">
        <is>
          <t>ZeroZero screenshot enviado pelo utilizador - Bundesliga 2025/26</t>
        </is>
      </c>
      <c r="K383" s="2" t="inlineStr">
        <is>
          <t>Validado com a classificação visível no screenshot enviado. Clube normalizado: Stuttgart -&gt; stuttgart.</t>
        </is>
      </c>
    </row>
    <row r="384">
      <c r="A384" s="1" t="n">
        <v>383</v>
      </c>
      <c r="B384" s="2" t="inlineStr">
        <is>
          <t>Sunderland</t>
        </is>
      </c>
      <c r="C384" s="2" t="inlineStr">
        <is>
          <t>Premier League</t>
        </is>
      </c>
      <c r="D384" s="2" t="inlineStr">
        <is>
          <t>England</t>
        </is>
      </c>
      <c r="E384" s="2" t="n">
        <v>13</v>
      </c>
      <c r="F384" s="2" t="inlineStr">
        <is>
          <t>Alta</t>
        </is>
      </c>
      <c r="G384" s="2" t="n">
        <v>7</v>
      </c>
      <c r="H384" s="2" t="inlineStr">
        <is>
          <t>2025/26</t>
        </is>
      </c>
      <c r="I384" s="2" t="inlineStr">
        <is>
          <t>confirmado_por_zerozero_screenshot</t>
        </is>
      </c>
      <c r="J384" s="2" t="inlineStr">
        <is>
          <t>ZeroZero screenshot enviado pelo utilizador - Premier League 2025/26</t>
        </is>
      </c>
      <c r="K384" s="2" t="inlineStr">
        <is>
          <t>Validado com a classificação visível no screenshot enviado. Clube normalizado: Sunderland -&gt; sunderland.</t>
        </is>
      </c>
    </row>
    <row r="385">
      <c r="A385" s="1" t="n">
        <v>384</v>
      </c>
      <c r="B385" s="2" t="inlineStr">
        <is>
          <t>Sundowns</t>
        </is>
      </c>
      <c r="C385" s="2" t="inlineStr">
        <is>
          <t>South African Premiership</t>
        </is>
      </c>
      <c r="D385" s="2" t="inlineStr">
        <is>
          <t>South Africa</t>
        </is>
      </c>
      <c r="E385" s="2" t="n">
        <v>8</v>
      </c>
      <c r="F385" s="2" t="inlineStr">
        <is>
          <t>Alta</t>
        </is>
      </c>
      <c r="G385" s="2" t="n">
        <v>2</v>
      </c>
      <c r="H385" s="2" t="inlineStr">
        <is>
          <t>2025/26</t>
        </is>
      </c>
      <c r="I385" s="2" t="inlineStr">
        <is>
          <t>confirmado_por_zerozero_screenshot_v7</t>
        </is>
      </c>
      <c r="J385" s="2" t="inlineStr">
        <is>
          <t>ZeroZero screenshot enviado pelo utilizador - Liga Sul-Africana 2025/26</t>
        </is>
      </c>
      <c r="K385" s="2" t="inlineStr">
        <is>
          <t>Validado com screenshot ZeroZero enviado nesta passagem. Clube normalizado: Sundowns -&gt; sundowns.</t>
        </is>
      </c>
    </row>
    <row r="386">
      <c r="A386" s="1" t="n">
        <v>385</v>
      </c>
      <c r="B386" s="2" t="inlineStr">
        <is>
          <t>Surkhon</t>
        </is>
      </c>
      <c r="C386" s="2" t="inlineStr">
        <is>
          <t>Uzbekistan Super League</t>
        </is>
      </c>
      <c r="D386" s="2" t="inlineStr">
        <is>
          <t>Uzbekistan</t>
        </is>
      </c>
      <c r="E386" s="2" t="n">
        <v>1</v>
      </c>
      <c r="F386" s="2" t="inlineStr">
        <is>
          <t>Alta</t>
        </is>
      </c>
      <c r="G386" s="2" t="n">
        <v>12</v>
      </c>
      <c r="H386" s="2" t="n">
        <v>2026</v>
      </c>
      <c r="I386" s="2" t="inlineStr">
        <is>
          <t>confirmado_por_zerozero_screenshot_v5</t>
        </is>
      </c>
      <c r="J386" s="2" t="inlineStr">
        <is>
          <t>ZeroZero screenshot enviado pelo utilizador - Uzbekistan Super League 2026</t>
        </is>
      </c>
      <c r="K386" s="2" t="inlineStr">
        <is>
          <t>Validado com screenshot ZeroZero enviado nesta passagem. Clube normalizado: Surkhon -&gt; surkhon.</t>
        </is>
      </c>
    </row>
    <row r="387">
      <c r="A387" s="1" t="n">
        <v>386</v>
      </c>
      <c r="B387" s="2" t="inlineStr">
        <is>
          <t>Swansea City</t>
        </is>
      </c>
      <c r="C387" s="2" t="inlineStr">
        <is>
          <t>EFL Championship</t>
        </is>
      </c>
      <c r="D387" s="2" t="inlineStr">
        <is>
          <t>England</t>
        </is>
      </c>
      <c r="E387" s="2" t="n">
        <v>3</v>
      </c>
      <c r="F387" s="2" t="inlineStr">
        <is>
          <t>Alta</t>
        </is>
      </c>
      <c r="G387" s="2" t="n">
        <v>11</v>
      </c>
      <c r="H387" s="2" t="inlineStr">
        <is>
          <t>2025/26</t>
        </is>
      </c>
      <c r="I387" s="2" t="inlineStr">
        <is>
          <t>confirmado_por_zerozero_screenshot_v5</t>
        </is>
      </c>
      <c r="J387" s="2" t="inlineStr">
        <is>
          <t>ZeroZero screenshot enviado pelo utilizador - Championship 2025/26</t>
        </is>
      </c>
      <c r="K387" s="2" t="inlineStr">
        <is>
          <t>Validado com screenshot ZeroZero enviado nesta passagem. Clube normalizado: Swansea City -&gt; swansea city.</t>
        </is>
      </c>
    </row>
    <row r="388">
      <c r="A388" s="1" t="n">
        <v>387</v>
      </c>
      <c r="B388" s="2" t="inlineStr">
        <is>
          <t>Sydney FC</t>
        </is>
      </c>
      <c r="C388" s="2" t="inlineStr">
        <is>
          <t>A-League Men</t>
        </is>
      </c>
      <c r="D388" s="2" t="inlineStr">
        <is>
          <t>Australia/New Zealand</t>
        </is>
      </c>
      <c r="E388" s="2" t="n">
        <v>1</v>
      </c>
      <c r="F388" s="2" t="inlineStr">
        <is>
          <t>Alta</t>
        </is>
      </c>
      <c r="G388" s="2" t="n">
        <v>5</v>
      </c>
      <c r="H388" s="2" t="inlineStr">
        <is>
          <t>2025/26</t>
        </is>
      </c>
      <c r="I388" s="2" t="inlineStr">
        <is>
          <t>confirmado_por_zerozero_screenshot_v6</t>
        </is>
      </c>
      <c r="J388" s="2" t="inlineStr">
        <is>
          <t>ZeroZero screenshot enviado pelo utilizador - A-League Men 2025/26</t>
        </is>
      </c>
      <c r="K388" s="2" t="inlineStr">
        <is>
          <t>Validado com screenshot ZeroZero enviado nesta passagem. Clube normalizado: Sydney FC -&gt; sydney fc.</t>
        </is>
      </c>
    </row>
    <row r="389">
      <c r="A389" s="1" t="n">
        <v>388</v>
      </c>
      <c r="B389" s="2" t="inlineStr">
        <is>
          <t>São Paulo</t>
        </is>
      </c>
      <c r="C389" s="2" t="inlineStr">
        <is>
          <t>Campeonato Brasileiro Série A</t>
        </is>
      </c>
      <c r="D389" s="2" t="inlineStr">
        <is>
          <t>Brazil</t>
        </is>
      </c>
      <c r="E389" s="2" t="n">
        <v>1</v>
      </c>
      <c r="F389" s="2" t="inlineStr">
        <is>
          <t>Alta</t>
        </is>
      </c>
      <c r="G389" s="2" t="n">
        <v>8</v>
      </c>
      <c r="H389" s="2" t="n">
        <v>2026</v>
      </c>
      <c r="I389" s="2" t="inlineStr">
        <is>
          <t>confirmado_por_zerozero_screenshot</t>
        </is>
      </c>
      <c r="J389" s="2" t="inlineStr">
        <is>
          <t>ZeroZero screenshot enviado pelo utilizador - Brasileirão Série A 2026</t>
        </is>
      </c>
      <c r="K389" s="2" t="inlineStr">
        <is>
          <t>Validado com a classificação visível no screenshot enviado. Clube normalizado: São Paulo -&gt; sao paulo.</t>
        </is>
      </c>
    </row>
    <row r="390">
      <c r="A390" s="1" t="n">
        <v>389</v>
      </c>
      <c r="B390" s="2" t="inlineStr">
        <is>
          <t>TSG Hoffenheim</t>
        </is>
      </c>
      <c r="C390" s="2" t="inlineStr">
        <is>
          <t>Bundesliga</t>
        </is>
      </c>
      <c r="D390" s="2" t="inlineStr">
        <is>
          <t>Germany</t>
        </is>
      </c>
      <c r="E390" s="2" t="n">
        <v>8</v>
      </c>
      <c r="F390" s="2" t="inlineStr">
        <is>
          <t>Alta</t>
        </is>
      </c>
      <c r="G390" s="2" t="n">
        <v>5</v>
      </c>
      <c r="H390" s="2" t="inlineStr">
        <is>
          <t>2025/26</t>
        </is>
      </c>
      <c r="I390" s="2" t="inlineStr">
        <is>
          <t>confirmado_por_zerozero_screenshot</t>
        </is>
      </c>
      <c r="J390" s="2" t="inlineStr">
        <is>
          <t>ZeroZero screenshot enviado pelo utilizador - Bundesliga 2025/26</t>
        </is>
      </c>
      <c r="K390" s="2" t="inlineStr">
        <is>
          <t>Validado com a classificação visível no screenshot enviado. Clube normalizado: TSG Hoffenheim -&gt; tsg hoffenheim.</t>
        </is>
      </c>
    </row>
    <row r="391">
      <c r="A391" s="1" t="n">
        <v>390</v>
      </c>
      <c r="B391" s="2" t="inlineStr">
        <is>
          <t>Talleres</t>
        </is>
      </c>
      <c r="C391" s="2" t="inlineStr">
        <is>
          <t>Argentine Primera División</t>
        </is>
      </c>
      <c r="D391" s="2" t="inlineStr">
        <is>
          <t>Argentina</t>
        </is>
      </c>
      <c r="E391" s="2" t="n">
        <v>1</v>
      </c>
      <c r="F391" s="2" t="inlineStr">
        <is>
          <t>Alta</t>
        </is>
      </c>
      <c r="G391" s="2" t="n">
        <v>4</v>
      </c>
      <c r="H391" s="2" t="n">
        <v>2026</v>
      </c>
      <c r="I391" s="2" t="inlineStr">
        <is>
          <t>confirmado_por_zerozero_screenshot_v5</t>
        </is>
      </c>
      <c r="J391" s="2" t="inlineStr">
        <is>
          <t>ZeroZero screenshot enviado pelo utilizador - Torneo Apertura 2026, 1.ª fase/grupos</t>
        </is>
      </c>
      <c r="K391" s="2" t="inlineStr">
        <is>
          <t>Validado com screenshot ZeroZero enviado nesta passagem. Clube normalizado: Talleres -&gt; talleres.</t>
        </is>
      </c>
    </row>
    <row r="392" ht="16" customHeight="1" s="25">
      <c r="A392" s="1" t="n">
        <v>391</v>
      </c>
      <c r="B392" s="2" t="inlineStr">
        <is>
          <t>Tatran Presov</t>
        </is>
      </c>
      <c r="C392" s="2" t="inlineStr">
        <is>
          <t>Slovak First Football League</t>
        </is>
      </c>
      <c r="D392" s="2" t="inlineStr">
        <is>
          <t>Slovakia</t>
        </is>
      </c>
      <c r="E392" s="2" t="n">
        <v>1</v>
      </c>
      <c r="F392" s="2" t="inlineStr">
        <is>
          <t>Alta</t>
        </is>
      </c>
      <c r="G392" s="3" t="n">
        <v>6</v>
      </c>
      <c r="H392" s="2" t="inlineStr">
        <is>
          <t>2025/26</t>
        </is>
      </c>
      <c r="I392" s="2" t="inlineStr">
        <is>
          <t>por_validar_sem_screenshot_da_liga</t>
        </is>
      </c>
      <c r="J392" s="3" t="n"/>
      <c r="K392" s="2" t="inlineStr">
        <is>
          <t>Não preenchido: falta screenshot/tabela da liga Slovak First Football League na época 2025/26, ou clube não aparece na tabela enviada.</t>
        </is>
      </c>
    </row>
    <row r="393">
      <c r="A393" s="1" t="n">
        <v>392</v>
      </c>
      <c r="B393" s="2" t="inlineStr">
        <is>
          <t>Telstar</t>
        </is>
      </c>
      <c r="C393" s="2" t="inlineStr">
        <is>
          <t>Eredivisie</t>
        </is>
      </c>
      <c r="D393" s="2" t="inlineStr">
        <is>
          <t>Netherlands</t>
        </is>
      </c>
      <c r="E393" s="2" t="n">
        <v>2</v>
      </c>
      <c r="F393" s="2" t="inlineStr">
        <is>
          <t>Alta</t>
        </is>
      </c>
      <c r="G393" s="2" t="n">
        <v>15</v>
      </c>
      <c r="H393" s="2" t="inlineStr">
        <is>
          <t>2025/26</t>
        </is>
      </c>
      <c r="I393" s="2" t="inlineStr">
        <is>
          <t>confirmado_por_zerozero_screenshot</t>
        </is>
      </c>
      <c r="J393" s="2" t="inlineStr">
        <is>
          <t>ZeroZero screenshot enviado pelo utilizador - Eredivisie 2025/26</t>
        </is>
      </c>
      <c r="K393" s="2" t="inlineStr">
        <is>
          <t>Validado com a classificação visível no screenshot enviado. Clube normalizado: Telstar -&gt; telstar.</t>
        </is>
      </c>
    </row>
    <row r="394" ht="16" customHeight="1" s="25">
      <c r="A394" s="1" t="n">
        <v>393</v>
      </c>
      <c r="B394" s="2" t="inlineStr">
        <is>
          <t>Terengganu FC</t>
        </is>
      </c>
      <c r="C394" s="2" t="inlineStr">
        <is>
          <t>Malaysia Super League</t>
        </is>
      </c>
      <c r="D394" s="2" t="inlineStr">
        <is>
          <t>Malaysia</t>
        </is>
      </c>
      <c r="E394" s="2" t="n">
        <v>1</v>
      </c>
      <c r="F394" s="2" t="inlineStr">
        <is>
          <t>Alta</t>
        </is>
      </c>
      <c r="G394" s="3" t="n">
        <v>5</v>
      </c>
      <c r="H394" s="2" t="inlineStr">
        <is>
          <t>2025/26</t>
        </is>
      </c>
      <c r="I394" s="2" t="inlineStr">
        <is>
          <t>por_validar_sem_screenshot_da_liga</t>
        </is>
      </c>
      <c r="J394" s="3" t="n"/>
      <c r="K394" s="2" t="inlineStr">
        <is>
          <t>Não preenchido: falta screenshot/tabela da liga Malaysia Super League na época 2025/26, ou clube não aparece na tabela enviada.</t>
        </is>
      </c>
    </row>
    <row r="395">
      <c r="A395" s="1" t="n">
        <v>394</v>
      </c>
      <c r="B395" s="2" t="inlineStr">
        <is>
          <t>Tigres</t>
        </is>
      </c>
      <c r="C395" s="2" t="inlineStr">
        <is>
          <t>Liga MX</t>
        </is>
      </c>
      <c r="D395" s="2" t="inlineStr">
        <is>
          <t>Mexico</t>
        </is>
      </c>
      <c r="E395" s="2" t="n">
        <v>2</v>
      </c>
      <c r="F395" s="2" t="inlineStr">
        <is>
          <t>Alta</t>
        </is>
      </c>
      <c r="G395" s="2" t="n">
        <v>7</v>
      </c>
      <c r="H395" s="2" t="n">
        <v>2026</v>
      </c>
      <c r="I395" s="2" t="inlineStr">
        <is>
          <t>confirmado_por_zerozero_screenshot_v6</t>
        </is>
      </c>
      <c r="J395" s="2" t="inlineStr">
        <is>
          <t>ZeroZero screenshot enviado pelo utilizador - Liga MX Clausura 2026 aplicado a Liga MX</t>
        </is>
      </c>
      <c r="K395" s="2" t="inlineStr">
        <is>
          <t>Validado com screenshot ZeroZero enviado nesta passagem. Clube normalizado: Tigres -&gt; tigres.</t>
        </is>
      </c>
    </row>
    <row r="396">
      <c r="A396" s="1" t="n">
        <v>395</v>
      </c>
      <c r="B396" s="2" t="inlineStr">
        <is>
          <t>Toluca</t>
        </is>
      </c>
      <c r="C396" s="2" t="inlineStr">
        <is>
          <t>Liga MX</t>
        </is>
      </c>
      <c r="D396" s="2" t="inlineStr">
        <is>
          <t>Mexico</t>
        </is>
      </c>
      <c r="E396" s="2" t="n">
        <v>3</v>
      </c>
      <c r="F396" s="2" t="inlineStr">
        <is>
          <t>Alta</t>
        </is>
      </c>
      <c r="G396" s="2" t="n">
        <v>5</v>
      </c>
      <c r="H396" s="2" t="n">
        <v>2026</v>
      </c>
      <c r="I396" s="2" t="inlineStr">
        <is>
          <t>confirmado_por_zerozero_screenshot_v6</t>
        </is>
      </c>
      <c r="J396" s="2" t="inlineStr">
        <is>
          <t>ZeroZero screenshot enviado pelo utilizador - Liga MX Clausura 2026 aplicado a Liga MX</t>
        </is>
      </c>
      <c r="K396" s="2" t="inlineStr">
        <is>
          <t>Validado com screenshot ZeroZero enviado nesta passagem. Clube normalizado: Toluca -&gt; toluca.</t>
        </is>
      </c>
    </row>
    <row r="397">
      <c r="A397" s="1" t="n">
        <v>396</v>
      </c>
      <c r="B397" s="2" t="inlineStr">
        <is>
          <t>Torino</t>
        </is>
      </c>
      <c r="C397" s="2" t="inlineStr">
        <is>
          <t>Serie A</t>
        </is>
      </c>
      <c r="D397" s="2" t="inlineStr">
        <is>
          <t>Italy</t>
        </is>
      </c>
      <c r="E397" s="2" t="n">
        <v>3</v>
      </c>
      <c r="F397" s="2" t="inlineStr">
        <is>
          <t>Alta</t>
        </is>
      </c>
      <c r="G397" s="2" t="n">
        <v>13</v>
      </c>
      <c r="H397" s="2" t="inlineStr">
        <is>
          <t>2025/26</t>
        </is>
      </c>
      <c r="I397" s="2" t="inlineStr">
        <is>
          <t>confirmado_por_zerozero_screenshot</t>
        </is>
      </c>
      <c r="J397" s="2" t="inlineStr">
        <is>
          <t>ZeroZero screenshot enviado pelo utilizador - Serie A 2025/26</t>
        </is>
      </c>
      <c r="K397" s="2" t="inlineStr">
        <is>
          <t>Validado com a classificação visível no screenshot enviado. Clube normalizado: Torino -&gt; torino.</t>
        </is>
      </c>
    </row>
    <row r="398">
      <c r="A398" s="1" t="n">
        <v>397</v>
      </c>
      <c r="B398" s="2" t="inlineStr">
        <is>
          <t>Toronto FC</t>
        </is>
      </c>
      <c r="C398" s="2" t="inlineStr">
        <is>
          <t>Major League Soccer</t>
        </is>
      </c>
      <c r="D398" s="2" t="inlineStr">
        <is>
          <t>United States/Canada</t>
        </is>
      </c>
      <c r="E398" s="2" t="n">
        <v>3</v>
      </c>
      <c r="F398" s="2" t="inlineStr">
        <is>
          <t>Alta</t>
        </is>
      </c>
      <c r="G398" s="2" t="n">
        <v>13</v>
      </c>
      <c r="H398" s="2" t="n">
        <v>2026</v>
      </c>
      <c r="I398" s="2" t="inlineStr">
        <is>
          <t>confirmado_por_zerozero_screenshot</t>
        </is>
      </c>
      <c r="J398" s="2" t="inlineStr">
        <is>
          <t>ZeroZero screenshot enviado pelo utilizador - MLS 2026, posição na conferência</t>
        </is>
      </c>
      <c r="K398" s="2" t="inlineStr">
        <is>
          <t>Validado com a classificação visível no screenshot enviado. Clube normalizado: Toronto FC -&gt; toronto fc.</t>
        </is>
      </c>
    </row>
    <row r="399">
      <c r="A399" s="1" t="n">
        <v>398</v>
      </c>
      <c r="B399" s="2" t="inlineStr">
        <is>
          <t>Torreense</t>
        </is>
      </c>
      <c r="C399" s="2" t="inlineStr">
        <is>
          <t>Liga Portugal 2</t>
        </is>
      </c>
      <c r="D399" s="2" t="inlineStr">
        <is>
          <t>Portugal</t>
        </is>
      </c>
      <c r="E399" s="2" t="n">
        <v>1</v>
      </c>
      <c r="F399" s="2" t="inlineStr">
        <is>
          <t>Alta</t>
        </is>
      </c>
      <c r="G399" s="2" t="n">
        <v>3</v>
      </c>
      <c r="H399" s="2" t="inlineStr">
        <is>
          <t>2025/26</t>
        </is>
      </c>
      <c r="I399" s="2" t="inlineStr">
        <is>
          <t>confirmado_por_zerozero_screenshot_v8</t>
        </is>
      </c>
      <c r="J399" s="2" t="inlineStr">
        <is>
          <t>ZeroZero screenshot enviado pelo utilizador - Liga Portugal 2 Meu Super 2025/26</t>
        </is>
      </c>
      <c r="K399" s="2" t="inlineStr">
        <is>
          <t>Validado com screenshot ZeroZero enviado nesta passagem. Clube normalizado: Torreense -&gt; torreense.</t>
        </is>
      </c>
    </row>
    <row r="400">
      <c r="A400" s="1" t="n">
        <v>399</v>
      </c>
      <c r="B400" s="2" t="inlineStr">
        <is>
          <t>Tottenham</t>
        </is>
      </c>
      <c r="C400" s="2" t="inlineStr">
        <is>
          <t>Premier League</t>
        </is>
      </c>
      <c r="D400" s="2" t="inlineStr">
        <is>
          <t>England</t>
        </is>
      </c>
      <c r="E400" s="2" t="n">
        <v>10</v>
      </c>
      <c r="F400" s="2" t="inlineStr">
        <is>
          <t>Alta</t>
        </is>
      </c>
      <c r="G400" s="2" t="n">
        <v>17</v>
      </c>
      <c r="H400" s="2" t="inlineStr">
        <is>
          <t>2025/26</t>
        </is>
      </c>
      <c r="I400" s="2" t="inlineStr">
        <is>
          <t>confirmado_por_zerozero_screenshot</t>
        </is>
      </c>
      <c r="J400" s="2" t="inlineStr">
        <is>
          <t>ZeroZero screenshot enviado pelo utilizador - Premier League 2025/26</t>
        </is>
      </c>
      <c r="K400" s="2" t="inlineStr">
        <is>
          <t>Validado com a classificação visível no screenshot enviado. Clube normalizado: Tottenham -&gt; tottenham.</t>
        </is>
      </c>
    </row>
    <row r="401">
      <c r="A401" s="1" t="n">
        <v>400</v>
      </c>
      <c r="B401" s="2" t="inlineStr">
        <is>
          <t>Toulouse</t>
        </is>
      </c>
      <c r="C401" s="2" t="inlineStr">
        <is>
          <t>Ligue 1</t>
        </is>
      </c>
      <c r="D401" s="2" t="inlineStr">
        <is>
          <t>France</t>
        </is>
      </c>
      <c r="E401" s="2" t="n">
        <v>1</v>
      </c>
      <c r="F401" s="2" t="inlineStr">
        <is>
          <t>Alta</t>
        </is>
      </c>
      <c r="G401" s="2" t="n">
        <v>10</v>
      </c>
      <c r="H401" s="2" t="inlineStr">
        <is>
          <t>2025/26</t>
        </is>
      </c>
      <c r="I401" s="2" t="inlineStr">
        <is>
          <t>confirmado_por_zerozero_screenshot</t>
        </is>
      </c>
      <c r="J401" s="2" t="inlineStr">
        <is>
          <t>ZeroZero screenshot enviado pelo utilizador - Ligue 1 2025/26</t>
        </is>
      </c>
      <c r="K401" s="2" t="inlineStr">
        <is>
          <t>Validado com a classificação visível no screenshot enviado. Clube normalizado: Toulouse -&gt; toulouse.</t>
        </is>
      </c>
    </row>
    <row r="402">
      <c r="A402" s="1" t="n">
        <v>401</v>
      </c>
      <c r="B402" s="2" t="inlineStr">
        <is>
          <t>Trabzonspor</t>
        </is>
      </c>
      <c r="C402" s="2" t="inlineStr">
        <is>
          <t>Süper Lig</t>
        </is>
      </c>
      <c r="D402" s="2" t="inlineStr">
        <is>
          <t>Turkey</t>
        </is>
      </c>
      <c r="E402" s="2" t="n">
        <v>2</v>
      </c>
      <c r="F402" s="2" t="inlineStr">
        <is>
          <t>Alta</t>
        </is>
      </c>
      <c r="G402" s="2" t="n">
        <v>3</v>
      </c>
      <c r="H402" s="2" t="inlineStr">
        <is>
          <t>2025/26</t>
        </is>
      </c>
      <c r="I402" s="2" t="inlineStr">
        <is>
          <t>confirmado_por_zerozero_screenshot</t>
        </is>
      </c>
      <c r="J402" s="2" t="inlineStr">
        <is>
          <t>ZeroZero screenshot enviado pelo utilizador - Süper Lig 2025/26</t>
        </is>
      </c>
      <c r="K402" s="2" t="inlineStr">
        <is>
          <t>Validado com a classificação visível no screenshot enviado. Clube normalizado: Trabzonspor -&gt; trabzonspor.</t>
        </is>
      </c>
    </row>
    <row r="403">
      <c r="A403" s="1" t="n">
        <v>402</v>
      </c>
      <c r="B403" s="2" t="inlineStr">
        <is>
          <t>Tractor Club</t>
        </is>
      </c>
      <c r="C403" s="2" t="inlineStr">
        <is>
          <t>Persian Gulf Pro League</t>
        </is>
      </c>
      <c r="D403" s="2" t="inlineStr">
        <is>
          <t>Iran</t>
        </is>
      </c>
      <c r="E403" s="2" t="n">
        <v>5</v>
      </c>
      <c r="F403" s="2" t="inlineStr">
        <is>
          <t>Alta</t>
        </is>
      </c>
      <c r="G403" s="2" t="n">
        <v>1</v>
      </c>
      <c r="H403" s="2" t="inlineStr">
        <is>
          <t>2025/26</t>
        </is>
      </c>
      <c r="I403" s="2" t="inlineStr">
        <is>
          <t>confirmado_por_zerozero_screenshot_v6</t>
        </is>
      </c>
      <c r="J403" s="2" t="inlineStr">
        <is>
          <t>ZeroZero screenshot enviado pelo utilizador - Persian Gulf Pro League 2025/26</t>
        </is>
      </c>
      <c r="K403" s="2" t="inlineStr">
        <is>
          <t>Validado com screenshot ZeroZero enviado nesta passagem. Clube normalizado: Tractor Club -&gt; tractor club.</t>
        </is>
      </c>
    </row>
    <row r="404">
      <c r="A404" s="1" t="n">
        <v>403</v>
      </c>
      <c r="B404" s="2" t="inlineStr">
        <is>
          <t>US Monastirienne</t>
        </is>
      </c>
      <c r="C404" s="2" t="inlineStr">
        <is>
          <t>Tunisian Ligue Professionnelle 1</t>
        </is>
      </c>
      <c r="D404" s="2" t="inlineStr">
        <is>
          <t>Tunisia</t>
        </is>
      </c>
      <c r="E404" s="2" t="n">
        <v>1</v>
      </c>
      <c r="F404" s="2" t="inlineStr">
        <is>
          <t>Alta</t>
        </is>
      </c>
      <c r="G404" s="2" t="n">
        <v>5</v>
      </c>
      <c r="H404" s="2" t="inlineStr">
        <is>
          <t>2025/26</t>
        </is>
      </c>
      <c r="I404" s="2" t="inlineStr">
        <is>
          <t>confirmado_por_zerozero_screenshot_v7</t>
        </is>
      </c>
      <c r="J404" s="2" t="inlineStr">
        <is>
          <t>ZeroZero screenshot enviado pelo utilizador - Tunisian Ligue 1 2025/26</t>
        </is>
      </c>
      <c r="K404" s="2" t="inlineStr">
        <is>
          <t>Validado com screenshot ZeroZero enviado nesta passagem. Clube normalizado: US Monastirienne -&gt; us monastirienne.</t>
        </is>
      </c>
    </row>
    <row r="405" ht="16" customHeight="1" s="25">
      <c r="A405" s="1" t="n">
        <v>404</v>
      </c>
      <c r="B405" s="2" t="inlineStr">
        <is>
          <t>USM Alger</t>
        </is>
      </c>
      <c r="C405" s="2" t="inlineStr">
        <is>
          <t>Algerian Ligue Professionnelle 1</t>
        </is>
      </c>
      <c r="D405" s="2" t="inlineStr">
        <is>
          <t>Algeria</t>
        </is>
      </c>
      <c r="E405" s="2" t="n">
        <v>2</v>
      </c>
      <c r="F405" s="2" t="inlineStr">
        <is>
          <t>Alta</t>
        </is>
      </c>
      <c r="G405" s="3" t="n">
        <v>10</v>
      </c>
      <c r="H405" s="2" t="inlineStr">
        <is>
          <t>2025/26</t>
        </is>
      </c>
      <c r="I405" s="2" t="inlineStr">
        <is>
          <t>por_validar_sem_screenshot_da_liga</t>
        </is>
      </c>
      <c r="J405" s="3" t="n"/>
      <c r="K405" s="2" t="inlineStr">
        <is>
          <t>Não preenchido: falta screenshot/tabela da liga Algerian Ligue Professionnelle 1 na época 2025/26, ou clube não aparece na tabela enviada.</t>
        </is>
      </c>
    </row>
    <row r="406">
      <c r="A406" s="1" t="n">
        <v>405</v>
      </c>
      <c r="B406" s="2" t="inlineStr">
        <is>
          <t>Udinese</t>
        </is>
      </c>
      <c r="C406" s="2" t="inlineStr">
        <is>
          <t>Serie A</t>
        </is>
      </c>
      <c r="D406" s="2" t="inlineStr">
        <is>
          <t>Italy</t>
        </is>
      </c>
      <c r="E406" s="2" t="n">
        <v>1</v>
      </c>
      <c r="F406" s="2" t="inlineStr">
        <is>
          <t>Alta</t>
        </is>
      </c>
      <c r="G406" s="2" t="n">
        <v>10</v>
      </c>
      <c r="H406" s="2" t="inlineStr">
        <is>
          <t>2025/26</t>
        </is>
      </c>
      <c r="I406" s="2" t="inlineStr">
        <is>
          <t>confirmado_por_zerozero_screenshot</t>
        </is>
      </c>
      <c r="J406" s="2" t="inlineStr">
        <is>
          <t>ZeroZero screenshot enviado pelo utilizador - Serie A 2025/26</t>
        </is>
      </c>
      <c r="K406" s="2" t="inlineStr">
        <is>
          <t>Validado com a classificação visível no screenshot enviado. Clube normalizado: Udinese -&gt; udinese.</t>
        </is>
      </c>
    </row>
    <row r="407">
      <c r="A407" s="1" t="n">
        <v>406</v>
      </c>
      <c r="B407" s="2" t="inlineStr">
        <is>
          <t>Ulsan Hyundai</t>
        </is>
      </c>
      <c r="C407" s="2" t="inlineStr">
        <is>
          <t>K League 1</t>
        </is>
      </c>
      <c r="D407" s="2" t="inlineStr">
        <is>
          <t>South Korea</t>
        </is>
      </c>
      <c r="E407" s="2" t="n">
        <v>2</v>
      </c>
      <c r="F407" s="2" t="inlineStr">
        <is>
          <t>Alta</t>
        </is>
      </c>
      <c r="G407" s="2" t="n">
        <v>3</v>
      </c>
      <c r="H407" s="2" t="n">
        <v>2026</v>
      </c>
      <c r="I407" s="2" t="inlineStr">
        <is>
          <t>confirmado_por_zerozero_screenshot_v8</t>
        </is>
      </c>
      <c r="J407" s="2" t="inlineStr">
        <is>
          <t>ZeroZero screenshot enviado pelo utilizador - K League 1 2026</t>
        </is>
      </c>
      <c r="K407" s="2" t="inlineStr">
        <is>
          <t>Validado com screenshot ZeroZero enviado nesta passagem. Clube normalizado: Ulsan Hyundai -&gt; ulsan hyundai.</t>
        </is>
      </c>
    </row>
    <row r="408">
      <c r="A408" s="1" t="n">
        <v>407</v>
      </c>
      <c r="B408" s="2" t="inlineStr">
        <is>
          <t>Union St. Gilloise</t>
        </is>
      </c>
      <c r="C408" s="2" t="inlineStr">
        <is>
          <t>Belgian Pro League</t>
        </is>
      </c>
      <c r="D408" s="2" t="inlineStr">
        <is>
          <t>Belgium</t>
        </is>
      </c>
      <c r="E408" s="2" t="n">
        <v>3</v>
      </c>
      <c r="F408" s="2" t="inlineStr">
        <is>
          <t>Alta</t>
        </is>
      </c>
      <c r="G408" s="2" t="n">
        <v>1</v>
      </c>
      <c r="H408" s="2" t="inlineStr">
        <is>
          <t>2025/26</t>
        </is>
      </c>
      <c r="I408" s="2" t="inlineStr">
        <is>
          <t>confirmado_por_zerozero_screenshot</t>
        </is>
      </c>
      <c r="J408" s="2" t="inlineStr">
        <is>
          <t>ZeroZero screenshot enviado pelo utilizador - Jupiler Pro League fase regular 2025/26</t>
        </is>
      </c>
      <c r="K408" s="2" t="inlineStr">
        <is>
          <t>Validado com a classificação visível no screenshot enviado. Clube normalizado: Union St. Gilloise -&gt; union st gilloise.</t>
        </is>
      </c>
    </row>
    <row r="409">
      <c r="A409" s="1" t="n">
        <v>408</v>
      </c>
      <c r="B409" s="2" t="inlineStr">
        <is>
          <t>Universitatea Cluj</t>
        </is>
      </c>
      <c r="C409" s="2" t="inlineStr">
        <is>
          <t>Liga I</t>
        </is>
      </c>
      <c r="D409" s="2" t="inlineStr">
        <is>
          <t>Romania</t>
        </is>
      </c>
      <c r="E409" s="2" t="n">
        <v>1</v>
      </c>
      <c r="F409" s="2" t="inlineStr">
        <is>
          <t>Alta</t>
        </is>
      </c>
      <c r="G409" s="2" t="n">
        <v>3</v>
      </c>
      <c r="H409" s="2" t="inlineStr">
        <is>
          <t>2025/26</t>
        </is>
      </c>
      <c r="I409" s="2" t="inlineStr">
        <is>
          <t>confirmado_por_zerozero_screenshot_v9</t>
        </is>
      </c>
      <c r="J409" s="2" t="inlineStr">
        <is>
          <t>ZeroZero screenshot enviado pelo utilizador - SuperLiga României Fase Regular 2025/26</t>
        </is>
      </c>
      <c r="K409" s="2" t="inlineStr">
        <is>
          <t>Validado com screenshot ZeroZero enviado nesta passagem. Clube normalizado: Universitatea Cluj -&gt; universitatea cluj.</t>
        </is>
      </c>
    </row>
    <row r="410">
      <c r="A410" s="1" t="n">
        <v>409</v>
      </c>
      <c r="B410" s="2" t="inlineStr">
        <is>
          <t>VVV-Venlo</t>
        </is>
      </c>
      <c r="C410" s="2" t="inlineStr">
        <is>
          <t>Eerste Divisie</t>
        </is>
      </c>
      <c r="D410" s="2" t="inlineStr">
        <is>
          <t>Netherlands</t>
        </is>
      </c>
      <c r="E410" s="2" t="n">
        <v>1</v>
      </c>
      <c r="F410" s="2" t="inlineStr">
        <is>
          <t>Alta</t>
        </is>
      </c>
      <c r="G410" s="2" t="n">
        <v>13</v>
      </c>
      <c r="H410" s="2" t="inlineStr">
        <is>
          <t>2025/26</t>
        </is>
      </c>
      <c r="I410" s="2" t="inlineStr">
        <is>
          <t>confirmado_por_zerozero_screenshot_v9</t>
        </is>
      </c>
      <c r="J410" s="2" t="inlineStr">
        <is>
          <t>ZeroZero screenshot enviado pelo utilizador - Eerste Divisie 2025/26</t>
        </is>
      </c>
      <c r="K410" s="2" t="inlineStr">
        <is>
          <t>Validado com screenshot ZeroZero enviado nesta passagem. Clube normalizado: VVV-Venlo -&gt; vvv venlo.</t>
        </is>
      </c>
    </row>
    <row r="411">
      <c r="A411" s="1" t="n">
        <v>410</v>
      </c>
      <c r="B411" s="2" t="inlineStr">
        <is>
          <t>Valencia</t>
        </is>
      </c>
      <c r="C411" s="2" t="inlineStr">
        <is>
          <t>LaLiga</t>
        </is>
      </c>
      <c r="D411" s="2" t="inlineStr">
        <is>
          <t>Spain</t>
        </is>
      </c>
      <c r="E411" s="2" t="n">
        <v>1</v>
      </c>
      <c r="F411" s="2" t="inlineStr">
        <is>
          <t>Alta</t>
        </is>
      </c>
      <c r="G411" s="2" t="n">
        <v>9</v>
      </c>
      <c r="H411" s="2" t="inlineStr">
        <is>
          <t>2025/26</t>
        </is>
      </c>
      <c r="I411" s="2" t="inlineStr">
        <is>
          <t>confirmado_por_zerozero_screenshot</t>
        </is>
      </c>
      <c r="J411" s="2" t="inlineStr">
        <is>
          <t>ZeroZero screenshot enviado pelo utilizador - LaLiga 2025/26</t>
        </is>
      </c>
      <c r="K411" s="2" t="inlineStr">
        <is>
          <t>Validado com a classificação visível no screenshot enviado. Clube normalizado: Valencia -&gt; valencia.</t>
        </is>
      </c>
    </row>
    <row r="412">
      <c r="A412" s="1" t="n">
        <v>411</v>
      </c>
      <c r="B412" s="2" t="inlineStr">
        <is>
          <t>Vancouver Whitecaps</t>
        </is>
      </c>
      <c r="C412" s="2" t="inlineStr">
        <is>
          <t>Major League Soccer</t>
        </is>
      </c>
      <c r="D412" s="2" t="inlineStr">
        <is>
          <t>United States/Canada</t>
        </is>
      </c>
      <c r="E412" s="2" t="n">
        <v>3</v>
      </c>
      <c r="F412" s="2" t="inlineStr">
        <is>
          <t>Alta</t>
        </is>
      </c>
      <c r="G412" s="2" t="n">
        <v>2</v>
      </c>
      <c r="H412" s="2" t="n">
        <v>2026</v>
      </c>
      <c r="I412" s="2" t="inlineStr">
        <is>
          <t>confirmado_por_zerozero_screenshot</t>
        </is>
      </c>
      <c r="J412" s="2" t="inlineStr">
        <is>
          <t>ZeroZero screenshot enviado pelo utilizador - MLS 2026, posição na conferência</t>
        </is>
      </c>
      <c r="K412" s="2" t="inlineStr">
        <is>
          <t>Validado com a classificação visível no screenshot enviado. Clube normalizado: Vancouver Whitecaps -&gt; vancouver whitecaps.</t>
        </is>
      </c>
    </row>
    <row r="413">
      <c r="A413" s="1" t="n">
        <v>412</v>
      </c>
      <c r="B413" s="2" t="inlineStr">
        <is>
          <t>Vasco</t>
        </is>
      </c>
      <c r="C413" s="2" t="inlineStr">
        <is>
          <t>Campeonato Brasileiro Série A</t>
        </is>
      </c>
      <c r="D413" s="2" t="inlineStr">
        <is>
          <t>Brazil</t>
        </is>
      </c>
      <c r="E413" s="2" t="n">
        <v>1</v>
      </c>
      <c r="F413" s="2" t="inlineStr">
        <is>
          <t>Alta</t>
        </is>
      </c>
      <c r="G413" s="2" t="n">
        <v>17</v>
      </c>
      <c r="H413" s="2" t="n">
        <v>2026</v>
      </c>
      <c r="I413" s="2" t="inlineStr">
        <is>
          <t>confirmado_por_zerozero_screenshot</t>
        </is>
      </c>
      <c r="J413" s="2" t="inlineStr">
        <is>
          <t>ZeroZero screenshot enviado pelo utilizador - Brasileirão Série A 2026</t>
        </is>
      </c>
      <c r="K413" s="2" t="inlineStr">
        <is>
          <t>Validado com a classificação visível no screenshot enviado. Clube normalizado: Vasco -&gt; vasco.</t>
        </is>
      </c>
    </row>
    <row r="414">
      <c r="A414" s="1" t="n">
        <v>413</v>
      </c>
      <c r="B414" s="2" t="inlineStr">
        <is>
          <t>Venezia</t>
        </is>
      </c>
      <c r="C414" s="2" t="inlineStr">
        <is>
          <t>Serie B</t>
        </is>
      </c>
      <c r="D414" s="2" t="inlineStr">
        <is>
          <t>Italy</t>
        </is>
      </c>
      <c r="E414" s="2" t="n">
        <v>3</v>
      </c>
      <c r="F414" s="2" t="inlineStr">
        <is>
          <t>Alta</t>
        </is>
      </c>
      <c r="G414" s="2" t="n">
        <v>1</v>
      </c>
      <c r="H414" s="2" t="inlineStr">
        <is>
          <t>2025/26</t>
        </is>
      </c>
      <c r="I414" s="2" t="inlineStr">
        <is>
          <t>confirmado_por_zerozero_screenshot_v8</t>
        </is>
      </c>
      <c r="J414" s="2" t="inlineStr">
        <is>
          <t>ZeroZero screenshot enviado pelo utilizador - Serie B 2025/26</t>
        </is>
      </c>
      <c r="K414" s="2" t="inlineStr">
        <is>
          <t>Validado com screenshot ZeroZero enviado nesta passagem. Clube normalizado: Venezia -&gt; venezia.</t>
        </is>
      </c>
    </row>
    <row r="415">
      <c r="A415" s="1" t="n">
        <v>414</v>
      </c>
      <c r="B415" s="2" t="inlineStr">
        <is>
          <t>Viking</t>
        </is>
      </c>
      <c r="C415" s="2" t="inlineStr">
        <is>
          <t>Eliteserien</t>
        </is>
      </c>
      <c r="D415" s="2" t="inlineStr">
        <is>
          <t>Norway</t>
        </is>
      </c>
      <c r="E415" s="2" t="n">
        <v>2</v>
      </c>
      <c r="F415" s="2" t="inlineStr">
        <is>
          <t>Alta</t>
        </is>
      </c>
      <c r="G415" s="2" t="n">
        <v>1</v>
      </c>
      <c r="H415" s="2" t="n">
        <v>2026</v>
      </c>
      <c r="I415" s="2" t="inlineStr">
        <is>
          <t>confirmado_por_zerozero_screenshot_v7</t>
        </is>
      </c>
      <c r="J415" s="2" t="inlineStr">
        <is>
          <t>ZeroZero screenshot enviado pelo utilizador - Eliteserien 2026</t>
        </is>
      </c>
      <c r="K415" s="2" t="inlineStr">
        <is>
          <t>Validado com screenshot ZeroZero enviado nesta passagem. Clube normalizado: Viking -&gt; viking.</t>
        </is>
      </c>
    </row>
    <row r="416">
      <c r="A416" s="1" t="n">
        <v>415</v>
      </c>
      <c r="B416" s="2" t="inlineStr">
        <is>
          <t>Viktoria Plzeň</t>
        </is>
      </c>
      <c r="C416" s="2" t="inlineStr">
        <is>
          <t>Czech First League</t>
        </is>
      </c>
      <c r="D416" s="2" t="inlineStr">
        <is>
          <t>Czech Republic</t>
        </is>
      </c>
      <c r="E416" s="2" t="n">
        <v>7</v>
      </c>
      <c r="F416" s="2" t="inlineStr">
        <is>
          <t>Alta</t>
        </is>
      </c>
      <c r="G416" s="2" t="n">
        <v>3</v>
      </c>
      <c r="H416" s="2" t="inlineStr">
        <is>
          <t>2025/26</t>
        </is>
      </c>
      <c r="I416" s="2" t="inlineStr">
        <is>
          <t>confirmado_por_zerozero_screenshot_v7</t>
        </is>
      </c>
      <c r="J416" s="2" t="inlineStr">
        <is>
          <t>ZeroZero screenshot enviado pelo utilizador - Chance Liga Fase Campeão 2025/26</t>
        </is>
      </c>
      <c r="K416" s="2" t="inlineStr">
        <is>
          <t>Validado com screenshot ZeroZero enviado nesta passagem. Clube normalizado: Viktoria Plzeň -&gt; viktoria plzen.</t>
        </is>
      </c>
    </row>
    <row r="417">
      <c r="A417" s="1" t="n">
        <v>416</v>
      </c>
      <c r="B417" s="2" t="inlineStr">
        <is>
          <t>Villarreal</t>
        </is>
      </c>
      <c r="C417" s="2" t="inlineStr">
        <is>
          <t>LaLiga</t>
        </is>
      </c>
      <c r="D417" s="2" t="inlineStr">
        <is>
          <t>Spain</t>
        </is>
      </c>
      <c r="E417" s="2" t="n">
        <v>8</v>
      </c>
      <c r="F417" s="2" t="inlineStr">
        <is>
          <t>Alta</t>
        </is>
      </c>
      <c r="G417" s="2" t="n">
        <v>3</v>
      </c>
      <c r="H417" s="2" t="inlineStr">
        <is>
          <t>2025/26</t>
        </is>
      </c>
      <c r="I417" s="2" t="inlineStr">
        <is>
          <t>confirmado_por_zerozero_screenshot</t>
        </is>
      </c>
      <c r="J417" s="2" t="inlineStr">
        <is>
          <t>ZeroZero screenshot enviado pelo utilizador - LaLiga 2025/26</t>
        </is>
      </c>
      <c r="K417" s="2" t="inlineStr">
        <is>
          <t>Validado com a classificação visível no screenshot enviado. Clube normalizado: Villarreal -&gt; villarreal.</t>
        </is>
      </c>
    </row>
    <row r="418" ht="16" customHeight="1" s="25">
      <c r="A418" s="1" t="n">
        <v>417</v>
      </c>
      <c r="B418" s="2" t="inlineStr">
        <is>
          <t>Violette AC</t>
        </is>
      </c>
      <c r="C418" s="2" t="inlineStr">
        <is>
          <t>Ligue Haïtienne</t>
        </is>
      </c>
      <c r="D418" s="2" t="inlineStr">
        <is>
          <t>Haiti</t>
        </is>
      </c>
      <c r="E418" s="2" t="n">
        <v>1</v>
      </c>
      <c r="F418" s="2" t="inlineStr">
        <is>
          <t>Média</t>
        </is>
      </c>
      <c r="G418" s="3" t="n">
        <v>1</v>
      </c>
      <c r="H418" s="2" t="inlineStr">
        <is>
          <t>2025/26</t>
        </is>
      </c>
      <c r="I418" s="2" t="inlineStr">
        <is>
          <t>por_validar_sem_screenshot_da_liga</t>
        </is>
      </c>
      <c r="J418" s="3" t="n"/>
      <c r="K418" s="2" t="inlineStr">
        <is>
          <t>Não preenchido: falta screenshot/tabela da liga Ligue Haïtienne na época 2025/26, ou clube não aparece na tabela enviada.</t>
        </is>
      </c>
    </row>
    <row r="419">
      <c r="A419" s="1" t="n">
        <v>418</v>
      </c>
      <c r="B419" s="2" t="inlineStr">
        <is>
          <t>Vitória SC</t>
        </is>
      </c>
      <c r="C419" s="2" t="inlineStr">
        <is>
          <t>Primeira Liga</t>
        </is>
      </c>
      <c r="D419" s="2" t="inlineStr">
        <is>
          <t>Portugal</t>
        </is>
      </c>
      <c r="E419" s="2" t="n">
        <v>1</v>
      </c>
      <c r="F419" s="2" t="inlineStr">
        <is>
          <t>Alta</t>
        </is>
      </c>
      <c r="G419" s="2" t="n">
        <v>9</v>
      </c>
      <c r="H419" s="2" t="inlineStr">
        <is>
          <t>2025/26</t>
        </is>
      </c>
      <c r="I419" s="2" t="inlineStr">
        <is>
          <t>confirmado_por_zerozero_screenshot</t>
        </is>
      </c>
      <c r="J419" s="2" t="inlineStr">
        <is>
          <t>ZeroZero screenshot enviado pelo utilizador - Liga Portugal Betclic 2025/26</t>
        </is>
      </c>
      <c r="K419" s="2" t="inlineStr">
        <is>
          <t>Validado com a classificação visível no screenshot enviado. Clube normalizado: Vitória SC -&gt; vitoria sc.</t>
        </is>
      </c>
    </row>
    <row r="420">
      <c r="A420" s="1" t="n">
        <v>419</v>
      </c>
      <c r="B420" s="2" t="inlineStr">
        <is>
          <t>Vélez Sarsfield</t>
        </is>
      </c>
      <c r="C420" s="2" t="inlineStr">
        <is>
          <t>Argentine Primera División</t>
        </is>
      </c>
      <c r="D420" s="2" t="inlineStr">
        <is>
          <t>Argentina</t>
        </is>
      </c>
      <c r="E420" s="2" t="n">
        <v>2</v>
      </c>
      <c r="F420" s="2" t="inlineStr">
        <is>
          <t>Alta</t>
        </is>
      </c>
      <c r="G420" s="2" t="n">
        <v>3</v>
      </c>
      <c r="H420" s="2" t="n">
        <v>2026</v>
      </c>
      <c r="I420" s="2" t="inlineStr">
        <is>
          <t>confirmado_por_zerozero_screenshot_v5</t>
        </is>
      </c>
      <c r="J420" s="2" t="inlineStr">
        <is>
          <t>ZeroZero screenshot enviado pelo utilizador - Torneo Apertura 2026, 1.ª fase/grupos</t>
        </is>
      </c>
      <c r="K420" s="2" t="inlineStr">
        <is>
          <t>Validado com screenshot ZeroZero enviado nesta passagem. Clube normalizado: Vélez Sarsfield -&gt; velez sarsfield.</t>
        </is>
      </c>
    </row>
    <row r="421">
      <c r="A421" s="1" t="n">
        <v>420</v>
      </c>
      <c r="B421" s="2" t="inlineStr">
        <is>
          <t>WS Wanderers</t>
        </is>
      </c>
      <c r="C421" s="2" t="inlineStr">
        <is>
          <t>A-League Men</t>
        </is>
      </c>
      <c r="D421" s="2" t="inlineStr">
        <is>
          <t>Australia/New Zealand</t>
        </is>
      </c>
      <c r="E421" s="2" t="n">
        <v>1</v>
      </c>
      <c r="F421" s="2" t="inlineStr">
        <is>
          <t>Alta</t>
        </is>
      </c>
      <c r="G421" s="2" t="n">
        <v>12</v>
      </c>
      <c r="H421" s="2" t="inlineStr">
        <is>
          <t>2025/26</t>
        </is>
      </c>
      <c r="I421" s="2" t="inlineStr">
        <is>
          <t>confirmado_por_zerozero_screenshot_v6</t>
        </is>
      </c>
      <c r="J421" s="2" t="inlineStr">
        <is>
          <t>ZeroZero screenshot enviado pelo utilizador - A-League Men 2025/26</t>
        </is>
      </c>
      <c r="K421" s="2" t="inlineStr">
        <is>
          <t>Validado com screenshot ZeroZero enviado nesta passagem. Clube normalizado: WS Wanderers -&gt; ws wanderers.</t>
        </is>
      </c>
    </row>
    <row r="422">
      <c r="A422" s="1" t="n">
        <v>421</v>
      </c>
      <c r="B422" s="2" t="inlineStr">
        <is>
          <t>Watford</t>
        </is>
      </c>
      <c r="C422" s="2" t="inlineStr">
        <is>
          <t>EFL Championship</t>
        </is>
      </c>
      <c r="D422" s="2" t="inlineStr">
        <is>
          <t>England</t>
        </is>
      </c>
      <c r="E422" s="2" t="n">
        <v>3</v>
      </c>
      <c r="F422" s="2" t="inlineStr">
        <is>
          <t>Alta</t>
        </is>
      </c>
      <c r="G422" s="2" t="n">
        <v>16</v>
      </c>
      <c r="H422" s="2" t="inlineStr">
        <is>
          <t>2025/26</t>
        </is>
      </c>
      <c r="I422" s="2" t="inlineStr">
        <is>
          <t>confirmado_por_zerozero_screenshot_v5</t>
        </is>
      </c>
      <c r="J422" s="2" t="inlineStr">
        <is>
          <t>ZeroZero screenshot enviado pelo utilizador - Championship 2025/26</t>
        </is>
      </c>
      <c r="K422" s="2" t="inlineStr">
        <is>
          <t>Validado com screenshot ZeroZero enviado nesta passagem. Clube normalizado: Watford -&gt; watford.</t>
        </is>
      </c>
    </row>
    <row r="423">
      <c r="A423" s="1" t="n">
        <v>422</v>
      </c>
      <c r="B423" s="2" t="inlineStr">
        <is>
          <t>Wellington Phoenix</t>
        </is>
      </c>
      <c r="C423" s="2" t="inlineStr">
        <is>
          <t>A-League Men</t>
        </is>
      </c>
      <c r="D423" s="2" t="inlineStr">
        <is>
          <t>Australia/New Zealand</t>
        </is>
      </c>
      <c r="E423" s="2" t="n">
        <v>3</v>
      </c>
      <c r="F423" s="2" t="inlineStr">
        <is>
          <t>Alta</t>
        </is>
      </c>
      <c r="G423" s="2" t="n">
        <v>8</v>
      </c>
      <c r="H423" s="2" t="inlineStr">
        <is>
          <t>2025/26</t>
        </is>
      </c>
      <c r="I423" s="2" t="inlineStr">
        <is>
          <t>confirmado_por_zerozero_screenshot_v6</t>
        </is>
      </c>
      <c r="J423" s="2" t="inlineStr">
        <is>
          <t>ZeroZero screenshot enviado pelo utilizador - A-League Men 2025/26</t>
        </is>
      </c>
      <c r="K423" s="2" t="inlineStr">
        <is>
          <t>Validado com screenshot ZeroZero enviado nesta passagem. Clube normalizado: Wellington Phoenix -&gt; wellington phoenix.</t>
        </is>
      </c>
    </row>
    <row r="424">
      <c r="A424" s="1" t="n">
        <v>423</v>
      </c>
      <c r="B424" s="2" t="inlineStr">
        <is>
          <t>Werder Bremen</t>
        </is>
      </c>
      <c r="C424" s="2" t="inlineStr">
        <is>
          <t>Bundesliga</t>
        </is>
      </c>
      <c r="D424" s="2" t="inlineStr">
        <is>
          <t>Germany</t>
        </is>
      </c>
      <c r="E424" s="2" t="n">
        <v>3</v>
      </c>
      <c r="F424" s="2" t="inlineStr">
        <is>
          <t>Alta</t>
        </is>
      </c>
      <c r="G424" s="2" t="n">
        <v>15</v>
      </c>
      <c r="H424" s="2" t="inlineStr">
        <is>
          <t>2025/26</t>
        </is>
      </c>
      <c r="I424" s="2" t="inlineStr">
        <is>
          <t>confirmado_por_zerozero_screenshot</t>
        </is>
      </c>
      <c r="J424" s="2" t="inlineStr">
        <is>
          <t>ZeroZero screenshot enviado pelo utilizador - Bundesliga 2025/26</t>
        </is>
      </c>
      <c r="K424" s="2" t="inlineStr">
        <is>
          <t>Validado com a classificação visível no screenshot enviado. Clube normalizado: Werder Bremen -&gt; werder bremen.</t>
        </is>
      </c>
    </row>
    <row r="425">
      <c r="A425" s="1" t="n">
        <v>424</v>
      </c>
      <c r="B425" s="2" t="inlineStr">
        <is>
          <t>West Ham</t>
        </is>
      </c>
      <c r="C425" s="2" t="inlineStr">
        <is>
          <t>Premier League</t>
        </is>
      </c>
      <c r="D425" s="2" t="inlineStr">
        <is>
          <t>England</t>
        </is>
      </c>
      <c r="E425" s="2" t="n">
        <v>7</v>
      </c>
      <c r="F425" s="2" t="inlineStr">
        <is>
          <t>Alta</t>
        </is>
      </c>
      <c r="G425" s="2" t="n">
        <v>18</v>
      </c>
      <c r="H425" s="2" t="inlineStr">
        <is>
          <t>2025/26</t>
        </is>
      </c>
      <c r="I425" s="2" t="inlineStr">
        <is>
          <t>confirmado_por_zerozero_screenshot</t>
        </is>
      </c>
      <c r="J425" s="2" t="inlineStr">
        <is>
          <t>ZeroZero screenshot enviado pelo utilizador - Premier League 2025/26</t>
        </is>
      </c>
      <c r="K425" s="2" t="inlineStr">
        <is>
          <t>Validado com a classificação visível no screenshot enviado. Clube normalizado: West Ham -&gt; west ham.</t>
        </is>
      </c>
    </row>
    <row r="426">
      <c r="A426" s="1" t="n">
        <v>425</v>
      </c>
      <c r="B426" s="2" t="inlineStr">
        <is>
          <t>Widzew Lodz</t>
        </is>
      </c>
      <c r="C426" s="2" t="inlineStr">
        <is>
          <t>Ekstraklasa</t>
        </is>
      </c>
      <c r="D426" s="2" t="inlineStr">
        <is>
          <t>Poland</t>
        </is>
      </c>
      <c r="E426" s="2" t="n">
        <v>1</v>
      </c>
      <c r="F426" s="2" t="inlineStr">
        <is>
          <t>Alta</t>
        </is>
      </c>
      <c r="G426" s="2" t="n">
        <v>14</v>
      </c>
      <c r="H426" s="2" t="inlineStr">
        <is>
          <t>2025/26</t>
        </is>
      </c>
      <c r="I426" s="2" t="inlineStr">
        <is>
          <t>confirmado_por_zerozero_screenshot_v9</t>
        </is>
      </c>
      <c r="J426" s="2" t="inlineStr">
        <is>
          <t>ZeroZero screenshot enviado pelo utilizador - Ekstraklasa 2025/26 tabela correta</t>
        </is>
      </c>
      <c r="K426" s="2" t="inlineStr">
        <is>
          <t>Validado com screenshot ZeroZero enviado nesta passagem. Clube normalizado: Widzew Lodz -&gt; widzew lodz.</t>
        </is>
      </c>
    </row>
    <row r="427">
      <c r="A427" s="1" t="n">
        <v>426</v>
      </c>
      <c r="B427" s="2" t="inlineStr">
        <is>
          <t>Wolfsberger AC</t>
        </is>
      </c>
      <c r="C427" s="2" t="inlineStr">
        <is>
          <t>Austrian Bundesliga</t>
        </is>
      </c>
      <c r="D427" s="2" t="inlineStr">
        <is>
          <t>Austria</t>
        </is>
      </c>
      <c r="E427" s="2" t="n">
        <v>1</v>
      </c>
      <c r="F427" s="2" t="inlineStr">
        <is>
          <t>Alta</t>
        </is>
      </c>
      <c r="G427" s="2" t="n">
        <v>10</v>
      </c>
      <c r="H427" s="2" t="inlineStr">
        <is>
          <t>2025/26</t>
        </is>
      </c>
      <c r="I427" s="2" t="inlineStr">
        <is>
          <t>confirmado_por_zerozero_screenshot_v7</t>
        </is>
      </c>
      <c r="J427" s="2" t="inlineStr">
        <is>
          <t>ZeroZero screenshots enviados pelo utilizador - Austrian Bundesliga 2025/26 Meistergruppe + regular</t>
        </is>
      </c>
      <c r="K427" s="2" t="inlineStr">
        <is>
          <t>Validado com screenshot ZeroZero enviado nesta passagem. Clube normalizado: Wolfsberger AC -&gt; wolfsberger ac.</t>
        </is>
      </c>
    </row>
    <row r="428">
      <c r="A428" s="1" t="n">
        <v>427</v>
      </c>
      <c r="B428" s="2" t="inlineStr">
        <is>
          <t>Wolfsburg</t>
        </is>
      </c>
      <c r="C428" s="2" t="inlineStr">
        <is>
          <t>Bundesliga</t>
        </is>
      </c>
      <c r="D428" s="2" t="inlineStr">
        <is>
          <t>Germany</t>
        </is>
      </c>
      <c r="E428" s="2" t="n">
        <v>5</v>
      </c>
      <c r="F428" s="2" t="inlineStr">
        <is>
          <t>Alta</t>
        </is>
      </c>
      <c r="G428" s="2" t="n">
        <v>16</v>
      </c>
      <c r="H428" s="2" t="inlineStr">
        <is>
          <t>2025/26</t>
        </is>
      </c>
      <c r="I428" s="2" t="inlineStr">
        <is>
          <t>confirmado_por_zerozero_screenshot</t>
        </is>
      </c>
      <c r="J428" s="2" t="inlineStr">
        <is>
          <t>ZeroZero screenshot enviado pelo utilizador - Bundesliga 2025/26</t>
        </is>
      </c>
      <c r="K428" s="2" t="inlineStr">
        <is>
          <t>Validado com a classificação visível no screenshot enviado. Clube normalizado: Wolfsburg -&gt; wolfsburg.</t>
        </is>
      </c>
    </row>
    <row r="429">
      <c r="A429" s="1" t="n">
        <v>428</v>
      </c>
      <c r="B429" s="2" t="inlineStr">
        <is>
          <t>Wolverhampton</t>
        </is>
      </c>
      <c r="C429" s="2" t="inlineStr">
        <is>
          <t>Premier League</t>
        </is>
      </c>
      <c r="D429" s="2" t="inlineStr">
        <is>
          <t>England</t>
        </is>
      </c>
      <c r="E429" s="2" t="n">
        <v>6</v>
      </c>
      <c r="F429" s="2" t="inlineStr">
        <is>
          <t>Alta</t>
        </is>
      </c>
      <c r="G429" s="2" t="n">
        <v>20</v>
      </c>
      <c r="H429" s="2" t="inlineStr">
        <is>
          <t>2025/26</t>
        </is>
      </c>
      <c r="I429" s="2" t="inlineStr">
        <is>
          <t>confirmado_por_zerozero_screenshot</t>
        </is>
      </c>
      <c r="J429" s="2" t="inlineStr">
        <is>
          <t>ZeroZero screenshot enviado pelo utilizador - Premier League 2025/26</t>
        </is>
      </c>
      <c r="K429" s="2" t="inlineStr">
        <is>
          <t>Validado com a classificação visível no screenshot enviado. Clube normalizado: Wolverhampton -&gt; wolverhampton.</t>
        </is>
      </c>
    </row>
    <row r="430">
      <c r="A430" s="1" t="n">
        <v>429</v>
      </c>
      <c r="B430" s="2" t="inlineStr">
        <is>
          <t>Wrexham</t>
        </is>
      </c>
      <c r="C430" s="2" t="inlineStr">
        <is>
          <t>EFL Championship</t>
        </is>
      </c>
      <c r="D430" s="2" t="inlineStr">
        <is>
          <t>England</t>
        </is>
      </c>
      <c r="E430" s="2" t="n">
        <v>2</v>
      </c>
      <c r="F430" s="2" t="inlineStr">
        <is>
          <t>Alta</t>
        </is>
      </c>
      <c r="G430" s="2" t="n">
        <v>7</v>
      </c>
      <c r="H430" s="2" t="inlineStr">
        <is>
          <t>2025/26</t>
        </is>
      </c>
      <c r="I430" s="2" t="inlineStr">
        <is>
          <t>confirmado_por_zerozero_screenshot_v5</t>
        </is>
      </c>
      <c r="J430" s="2" t="inlineStr">
        <is>
          <t>ZeroZero screenshot enviado pelo utilizador - Championship 2025/26</t>
        </is>
      </c>
      <c r="K430" s="2" t="inlineStr">
        <is>
          <t>Validado com screenshot ZeroZero enviado nesta passagem. Clube normalizado: Wrexham -&gt; wrexham.</t>
        </is>
      </c>
    </row>
    <row r="431">
      <c r="A431" s="1" t="n">
        <v>430</v>
      </c>
      <c r="B431" s="2" t="inlineStr">
        <is>
          <t>Young Boys</t>
        </is>
      </c>
      <c r="C431" s="2" t="inlineStr">
        <is>
          <t>Swiss Super League</t>
        </is>
      </c>
      <c r="D431" s="2" t="inlineStr">
        <is>
          <t>Switzerland</t>
        </is>
      </c>
      <c r="E431" s="2" t="n">
        <v>6</v>
      </c>
      <c r="F431" s="2" t="inlineStr">
        <is>
          <t>Alta</t>
        </is>
      </c>
      <c r="G431" s="2" t="n">
        <v>6</v>
      </c>
      <c r="H431" s="2" t="inlineStr">
        <is>
          <t>2025/26</t>
        </is>
      </c>
      <c r="I431" s="2" t="inlineStr">
        <is>
          <t>confirmado_por_zerozero_screenshot_v7</t>
        </is>
      </c>
      <c r="J431" s="2" t="inlineStr">
        <is>
          <t>ZeroZero screenshot enviado pelo utilizador - Brack Super League 2025/26</t>
        </is>
      </c>
      <c r="K431" s="2" t="inlineStr">
        <is>
          <t>Validado com screenshot ZeroZero enviado nesta passagem. Clube normalizado: Young Boys -&gt; young boys.</t>
        </is>
      </c>
    </row>
    <row r="432">
      <c r="A432" s="1" t="n">
        <v>431</v>
      </c>
      <c r="B432" s="2" t="inlineStr">
        <is>
          <t>ZED FC</t>
        </is>
      </c>
      <c r="C432" s="2" t="inlineStr">
        <is>
          <t>Egyptian Premier League</t>
        </is>
      </c>
      <c r="D432" s="2" t="inlineStr">
        <is>
          <t>Egypt</t>
        </is>
      </c>
      <c r="E432" s="2" t="n">
        <v>2</v>
      </c>
      <c r="F432" s="2" t="inlineStr">
        <is>
          <t>Alta</t>
        </is>
      </c>
      <c r="G432" s="2" t="n">
        <v>8</v>
      </c>
      <c r="H432" s="2" t="inlineStr">
        <is>
          <t>2025/26</t>
        </is>
      </c>
      <c r="I432" s="2" t="inlineStr">
        <is>
          <t>confirmado_por_zerozero_screenshot_v6</t>
        </is>
      </c>
      <c r="J432" s="2" t="inlineStr">
        <is>
          <t>ZeroZero screenshot enviado pelo utilizador - Egyptian Premier League 2025/26</t>
        </is>
      </c>
      <c r="K432" s="2" t="inlineStr">
        <is>
          <t>Validado com screenshot ZeroZero enviado nesta passagem. Clube normalizado: ZED FC -&gt; zed fc.</t>
        </is>
      </c>
    </row>
    <row r="433">
      <c r="A433" s="1" t="n">
        <v>432</v>
      </c>
      <c r="B433" s="2" t="inlineStr">
        <is>
          <t>Zamalek SC</t>
        </is>
      </c>
      <c r="C433" s="2" t="inlineStr">
        <is>
          <t>Egyptian Premier League</t>
        </is>
      </c>
      <c r="D433" s="2" t="inlineStr">
        <is>
          <t>Egypt</t>
        </is>
      </c>
      <c r="E433" s="2" t="n">
        <v>3</v>
      </c>
      <c r="F433" s="2" t="inlineStr">
        <is>
          <t>Alta</t>
        </is>
      </c>
      <c r="G433" s="2" t="n">
        <v>1</v>
      </c>
      <c r="H433" s="2" t="inlineStr">
        <is>
          <t>2025/26</t>
        </is>
      </c>
      <c r="I433" s="2" t="inlineStr">
        <is>
          <t>confirmado_por_zerozero_screenshot_v6</t>
        </is>
      </c>
      <c r="J433" s="2" t="inlineStr">
        <is>
          <t>ZeroZero screenshot enviado pelo utilizador - Egyptian Premier League 2025/26</t>
        </is>
      </c>
      <c r="K433" s="2" t="inlineStr">
        <is>
          <t>Validado com screenshot ZeroZero enviado nesta passagem. Clube normalizado: Zamalek SC -&gt; zamalek sc.</t>
        </is>
      </c>
    </row>
    <row r="434">
      <c r="A434" s="1" t="n">
        <v>433</v>
      </c>
      <c r="B434" s="2" t="inlineStr">
        <is>
          <t>Zenit</t>
        </is>
      </c>
      <c r="C434" s="2" t="inlineStr">
        <is>
          <t>Russian Premier League</t>
        </is>
      </c>
      <c r="D434" s="2" t="inlineStr">
        <is>
          <t>Russia</t>
        </is>
      </c>
      <c r="E434" s="2" t="n">
        <v>2</v>
      </c>
      <c r="F434" s="2" t="inlineStr">
        <is>
          <t>Alta</t>
        </is>
      </c>
      <c r="G434" s="2" t="n">
        <v>1</v>
      </c>
      <c r="H434" s="2" t="inlineStr">
        <is>
          <t>2025/26</t>
        </is>
      </c>
      <c r="I434" s="2" t="inlineStr">
        <is>
          <t>confirmado_por_zerozero_screenshot_v5</t>
        </is>
      </c>
      <c r="J434" s="2" t="inlineStr">
        <is>
          <t>ZeroZero screenshot enviado pelo utilizador - Russian Premier League 2025/26</t>
        </is>
      </c>
      <c r="K434" s="2" t="inlineStr">
        <is>
          <t>Validado com screenshot ZeroZero enviado nesta passagem. Clube normalizado: Zenit -&gt; zenit.</t>
        </is>
      </c>
    </row>
    <row r="435" ht="16" customHeight="1" s="25">
      <c r="A435" s="1" t="n">
        <v>434</v>
      </c>
      <c r="B435" s="2" t="inlineStr">
        <is>
          <t>Zhejiang FC</t>
        </is>
      </c>
      <c r="C435" s="2" t="inlineStr">
        <is>
          <t>Chinese Super League</t>
        </is>
      </c>
      <c r="D435" s="2" t="inlineStr">
        <is>
          <t>China</t>
        </is>
      </c>
      <c r="E435" s="2" t="n">
        <v>1</v>
      </c>
      <c r="F435" s="2" t="inlineStr">
        <is>
          <t>Alta</t>
        </is>
      </c>
      <c r="G435" s="3" t="n">
        <v>9</v>
      </c>
      <c r="H435" s="2" t="n">
        <v>2026</v>
      </c>
      <c r="I435" s="2" t="inlineStr">
        <is>
          <t>por_validar_sem_screenshot_da_liga</t>
        </is>
      </c>
      <c r="J435" s="3" t="n"/>
      <c r="K435" s="2" t="inlineStr">
        <is>
          <t>Não preenchido: falta screenshot/tabela da liga Chinese Super League na época 2026, ou clube não aparece na tabela enviada.</t>
        </is>
      </c>
    </row>
    <row r="436">
      <c r="A436" s="1" t="n">
        <v>435</v>
      </c>
      <c r="B436" s="2" t="inlineStr">
        <is>
          <t>Zulte Waregem</t>
        </is>
      </c>
      <c r="C436" s="2" t="inlineStr">
        <is>
          <t>Belgian Pro League</t>
        </is>
      </c>
      <c r="D436" s="2" t="inlineStr">
        <is>
          <t>Belgium</t>
        </is>
      </c>
      <c r="E436" s="2" t="n">
        <v>1</v>
      </c>
      <c r="F436" s="2" t="inlineStr">
        <is>
          <t>Alta</t>
        </is>
      </c>
      <c r="G436" s="2" t="n">
        <v>13</v>
      </c>
      <c r="H436" s="2" t="inlineStr">
        <is>
          <t>2025/26</t>
        </is>
      </c>
      <c r="I436" s="2" t="inlineStr">
        <is>
          <t>confirmado_por_zerozero_screenshot</t>
        </is>
      </c>
      <c r="J436" s="2" t="inlineStr">
        <is>
          <t>ZeroZero screenshot enviado pelo utilizador - Jupiler Pro League fase regular 2025/26</t>
        </is>
      </c>
      <c r="K436" s="2" t="inlineStr">
        <is>
          <t>Validado com a classificação visível no screenshot enviado. Clube normalizado: Zulte Waregem -&gt; zulte waregem.</t>
        </is>
      </c>
    </row>
    <row r="437">
      <c r="A437" s="1" t="n">
        <v>436</v>
      </c>
      <c r="B437" s="2" t="inlineStr">
        <is>
          <t>Zwolle</t>
        </is>
      </c>
      <c r="C437" s="2" t="inlineStr">
        <is>
          <t>Eredivisie</t>
        </is>
      </c>
      <c r="D437" s="2" t="inlineStr">
        <is>
          <t>Netherlands</t>
        </is>
      </c>
      <c r="E437" s="2" t="n">
        <v>3</v>
      </c>
      <c r="F437" s="2" t="inlineStr">
        <is>
          <t>Alta</t>
        </is>
      </c>
      <c r="G437" s="2" t="n">
        <v>14</v>
      </c>
      <c r="H437" s="2" t="inlineStr">
        <is>
          <t>2025/26</t>
        </is>
      </c>
      <c r="I437" s="2" t="inlineStr">
        <is>
          <t>confirmado_por_zerozero_screenshot</t>
        </is>
      </c>
      <c r="J437" s="2" t="inlineStr">
        <is>
          <t>ZeroZero screenshot enviado pelo utilizador - Eredivisie 2025/26</t>
        </is>
      </c>
      <c r="K437" s="2" t="inlineStr">
        <is>
          <t>Validado com a classificação visível no screenshot enviado. Clube normalizado: Zwolle -&gt; zwolle.</t>
        </is>
      </c>
    </row>
    <row r="438">
      <c r="A438" s="1" t="n">
        <v>437</v>
      </c>
      <c r="B438" s="2" t="inlineStr">
        <is>
          <t>Étoile du Sahel</t>
        </is>
      </c>
      <c r="C438" s="2" t="inlineStr">
        <is>
          <t>Tunisian Ligue Professionnelle 1</t>
        </is>
      </c>
      <c r="D438" s="2" t="inlineStr">
        <is>
          <t>Tunisia</t>
        </is>
      </c>
      <c r="E438" s="2" t="n">
        <v>1</v>
      </c>
      <c r="F438" s="2" t="inlineStr">
        <is>
          <t>Alta</t>
        </is>
      </c>
      <c r="G438" s="2" t="n">
        <v>7</v>
      </c>
      <c r="H438" s="2" t="inlineStr">
        <is>
          <t>2025/26</t>
        </is>
      </c>
      <c r="I438" s="2" t="inlineStr">
        <is>
          <t>confirmado_por_zerozero_screenshot_v7</t>
        </is>
      </c>
      <c r="J438" s="2" t="inlineStr">
        <is>
          <t>ZeroZero screenshot enviado pelo utilizador - Tunisian Ligue 1 2025/26</t>
        </is>
      </c>
      <c r="K438" s="2" t="inlineStr">
        <is>
          <t>Validado com screenshot ZeroZero enviado nesta passagem. Clube normalizado: Étoile du Sahel -&gt; etoile du sahel.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18"/>
  <sheetViews>
    <sheetView workbookViewId="0">
      <pane ySplit="1" topLeftCell="A1282" activePane="bottomLeft" state="frozen"/>
      <selection pane="bottomLeft" activeCell="K1314" sqref="K1314"/>
    </sheetView>
  </sheetViews>
  <sheetFormatPr baseColWidth="10" defaultColWidth="8.83203125" defaultRowHeight="15"/>
  <cols>
    <col width="5.1640625" bestFit="1" customWidth="1" style="25" min="1" max="1"/>
    <col width="14" customWidth="1" style="25" min="2" max="2"/>
    <col width="9" customWidth="1" style="25" min="3" max="3"/>
    <col width="7" customWidth="1" style="25" min="4" max="5"/>
    <col width="12" customWidth="1" style="25" min="6" max="6"/>
    <col width="17" customWidth="1" style="25" min="7" max="7"/>
    <col width="23" customWidth="1" style="25" min="8" max="8"/>
    <col width="15" customWidth="1" style="25" min="9" max="9"/>
    <col width="11" customWidth="1" style="25" min="10" max="10"/>
    <col width="20.1640625" bestFit="1" customWidth="1" style="25" min="11" max="11"/>
    <col width="17" customWidth="1" style="25" min="12" max="12"/>
    <col width="13" customWidth="1" style="25" min="13" max="13"/>
    <col width="12" customWidth="1" style="25" min="14" max="16"/>
  </cols>
  <sheetData>
    <row r="1">
      <c r="A1" t="inlineStr">
        <is>
          <t>id</t>
        </is>
      </c>
      <c r="B1" t="inlineStr">
        <is>
          <t>pais_jogador</t>
        </is>
      </c>
      <c r="C1" t="inlineStr">
        <is>
          <t>jogador</t>
        </is>
      </c>
      <c r="D1" t="inlineStr">
        <is>
          <t>posicao</t>
        </is>
      </c>
      <c r="E1" t="inlineStr">
        <is>
          <t>clube</t>
        </is>
      </c>
      <c r="F1" t="inlineStr">
        <is>
          <t>liga</t>
        </is>
      </c>
      <c r="G1" t="inlineStr">
        <is>
          <t>pais_liga</t>
        </is>
      </c>
      <c r="H1" t="inlineStr">
        <is>
          <t>jogos_possiveis_clube</t>
        </is>
      </c>
      <c r="I1" t="inlineStr">
        <is>
          <t>jogos_jogador</t>
        </is>
      </c>
      <c r="J1" t="inlineStr">
        <is>
          <t>pct_jogos</t>
        </is>
      </c>
      <c r="K1" t="inlineStr">
        <is>
          <t>minutos_possiveis_clube</t>
        </is>
      </c>
      <c r="L1" t="inlineStr">
        <is>
          <t>minutos_jogador</t>
        </is>
      </c>
      <c r="M1" t="inlineStr">
        <is>
          <t>pct_minutos</t>
        </is>
      </c>
      <c r="N1" t="inlineStr">
        <is>
          <t>source_url</t>
        </is>
      </c>
      <c r="O1" t="inlineStr">
        <is>
          <t>created_at</t>
        </is>
      </c>
      <c r="P1" t="inlineStr">
        <is>
          <t>updated_at</t>
        </is>
      </c>
    </row>
    <row r="2">
      <c r="A2" s="1" t="n">
        <v>1</v>
      </c>
      <c r="B2" s="2" t="inlineStr">
        <is>
          <t>South Africa</t>
        </is>
      </c>
      <c r="C2" s="2" t="inlineStr">
        <is>
          <t>Ronwen Williams</t>
        </is>
      </c>
      <c r="D2" s="2" t="inlineStr">
        <is>
          <t>Guarda Redes</t>
        </is>
      </c>
      <c r="E2" s="2" t="inlineStr">
        <is>
          <t>Sundowns</t>
        </is>
      </c>
      <c r="F2" s="2" t="inlineStr">
        <is>
          <t>South African Premiership</t>
        </is>
      </c>
      <c r="G2" s="2" t="inlineStr">
        <is>
          <t>South Africa</t>
        </is>
      </c>
      <c r="H2" s="2" t="n">
        <v>30</v>
      </c>
      <c r="I2" s="2" t="n">
        <v>29</v>
      </c>
      <c r="J2" s="2">
        <f>IFERROR(I2/H2,"")</f>
        <v/>
      </c>
      <c r="K2" s="2" t="inlineStr">
        <is>
          <t>2700</t>
        </is>
      </c>
      <c r="L2" s="2" t="n">
        <v>2610</v>
      </c>
      <c r="M2" s="2">
        <f>IFERROR(L2/K2,"")</f>
        <v/>
      </c>
      <c r="N2" s="2" t="inlineStr">
        <is>
          <t>Transfermarkt - Betway Premiership 25/26 clean sheets / matches / minutes</t>
        </is>
      </c>
      <c r="O2" s="2" t="inlineStr">
        <is>
          <t>confirmado</t>
        </is>
      </c>
      <c r="P2" s="2" t="inlineStr">
        <is>
          <t>Ronwen Williams: 29 jogos, 2610 minutos.</t>
        </is>
      </c>
    </row>
    <row r="3">
      <c r="A3" s="1" t="n">
        <v>2</v>
      </c>
      <c r="B3" s="2" t="inlineStr">
        <is>
          <t>South Africa</t>
        </is>
      </c>
      <c r="C3" s="2" t="inlineStr">
        <is>
          <t>Sipho Chaine</t>
        </is>
      </c>
      <c r="D3" s="2" t="inlineStr">
        <is>
          <t>Guarda Redes</t>
        </is>
      </c>
      <c r="E3" s="2" t="inlineStr">
        <is>
          <t>Orlando Pirates</t>
        </is>
      </c>
      <c r="F3" s="2" t="inlineStr">
        <is>
          <t>South African Premiership</t>
        </is>
      </c>
      <c r="G3" s="2" t="inlineStr">
        <is>
          <t>South Africa</t>
        </is>
      </c>
      <c r="H3" s="2" t="n">
        <v>30</v>
      </c>
      <c r="I3" s="2" t="n">
        <v>30</v>
      </c>
      <c r="J3" s="2">
        <f>IFERROR(I3/H3,"")</f>
        <v/>
      </c>
      <c r="K3" s="2" t="inlineStr">
        <is>
          <t>2700</t>
        </is>
      </c>
      <c r="L3" s="2" t="n">
        <v>2700</v>
      </c>
      <c r="M3" s="2">
        <f>IFERROR(L3/K3,"")</f>
        <v/>
      </c>
      <c r="N3" s="2" t="inlineStr">
        <is>
          <t>Transfermarkt - Betway Premiership 25/26 clean sheets / matches / minutes</t>
        </is>
      </c>
      <c r="O3" s="2" t="inlineStr">
        <is>
          <t>confirmado</t>
        </is>
      </c>
      <c r="P3" s="2" t="inlineStr">
        <is>
          <t>Sipho Chaine: 30 jogos, 2700 minutos.</t>
        </is>
      </c>
    </row>
    <row r="4">
      <c r="A4" s="1" t="n">
        <v>3</v>
      </c>
      <c r="B4" s="2" t="inlineStr">
        <is>
          <t>South Africa</t>
        </is>
      </c>
      <c r="C4" s="2" t="inlineStr">
        <is>
          <t>Ricardo Goss</t>
        </is>
      </c>
      <c r="D4" s="2" t="inlineStr">
        <is>
          <t>Guarda Redes</t>
        </is>
      </c>
      <c r="E4" s="2" t="inlineStr">
        <is>
          <t>Siwelele</t>
        </is>
      </c>
      <c r="F4" s="2" t="inlineStr">
        <is>
          <t>South African Premiership</t>
        </is>
      </c>
      <c r="G4" s="2" t="inlineStr">
        <is>
          <t>South Africa</t>
        </is>
      </c>
      <c r="H4" s="2" t="n">
        <v>30</v>
      </c>
      <c r="I4" s="2" t="n">
        <v>29</v>
      </c>
      <c r="J4" s="2">
        <f>IFERROR(I4/H4,"")</f>
        <v/>
      </c>
      <c r="K4" s="2" t="inlineStr">
        <is>
          <t>2700</t>
        </is>
      </c>
      <c r="L4" s="2" t="n">
        <v>2610</v>
      </c>
      <c r="M4" s="2">
        <f>IFERROR(L4/K4,"")</f>
        <v/>
      </c>
      <c r="N4" s="2" t="inlineStr">
        <is>
          <t>Transfermarkt - Betway Premiership 25/26 clean sheets / matches / minutes</t>
        </is>
      </c>
      <c r="O4" s="2" t="inlineStr">
        <is>
          <t>confirmado</t>
        </is>
      </c>
      <c r="P4" s="2" t="inlineStr">
        <is>
          <t>Ricardo Goss: 29 jogos, 2610 minutos.</t>
        </is>
      </c>
    </row>
    <row r="5">
      <c r="A5" s="1" t="n">
        <v>4</v>
      </c>
      <c r="B5" s="2" t="inlineStr">
        <is>
          <t>South Africa</t>
        </is>
      </c>
      <c r="C5" s="2" t="inlineStr">
        <is>
          <t>Tholo Matuludi</t>
        </is>
      </c>
      <c r="D5" s="2" t="inlineStr">
        <is>
          <t>Defesa</t>
        </is>
      </c>
      <c r="E5" s="2" t="inlineStr">
        <is>
          <t>Polokwane City</t>
        </is>
      </c>
      <c r="F5" s="2" t="inlineStr">
        <is>
          <t>South African Premiership</t>
        </is>
      </c>
      <c r="G5" s="2" t="inlineStr">
        <is>
          <t>South Africa</t>
        </is>
      </c>
      <c r="H5" s="2" t="n">
        <v>30</v>
      </c>
      <c r="I5" s="2" t="n">
        <v>24</v>
      </c>
      <c r="J5" s="2">
        <f>IFERROR(I5/H5,"")</f>
        <v/>
      </c>
      <c r="K5" s="2" t="inlineStr">
        <is>
          <t>2700</t>
        </is>
      </c>
      <c r="L5" s="2" t="n">
        <v>2130</v>
      </c>
      <c r="M5" s="2">
        <f>IFERROR(L5/K5,"")</f>
        <v/>
      </c>
      <c r="N5" s="5" t="inlineStr">
        <is>
          <t>https://www.flashscore.com/player/matuludi-tholo/0bHBkSDG/</t>
        </is>
      </c>
      <c r="O5" s="2" t="inlineStr">
        <is>
          <t>assumido - fontes alternativas v12</t>
        </is>
      </c>
      <c r="P5" s="2" t="inlineStr">
        <is>
          <t>Tholo Matuludi; Polokwane City; South African Premiership. Fontes alternativas: ZeroZero/FBref/Flashscore/GoalPoint/FotMob. Critério: nome aproximado + clube equivalente + época/competição.</t>
        </is>
      </c>
    </row>
    <row r="6">
      <c r="A6" s="1" t="n">
        <v>5</v>
      </c>
      <c r="B6" s="2" t="inlineStr">
        <is>
          <t>South Africa</t>
        </is>
      </c>
      <c r="C6" s="2" t="inlineStr">
        <is>
          <t>Khuliso Mudau</t>
        </is>
      </c>
      <c r="D6" s="2" t="inlineStr">
        <is>
          <t>Defesa</t>
        </is>
      </c>
      <c r="E6" s="2" t="inlineStr">
        <is>
          <t>Sundowns</t>
        </is>
      </c>
      <c r="F6" s="2" t="inlineStr">
        <is>
          <t>South African Premiership</t>
        </is>
      </c>
      <c r="G6" s="2" t="inlineStr">
        <is>
          <t>South Africa</t>
        </is>
      </c>
      <c r="H6" s="2" t="n">
        <v>30</v>
      </c>
      <c r="I6" s="2" t="n">
        <v>21</v>
      </c>
      <c r="J6" s="2">
        <f>IFERROR(I6/H6,"")</f>
        <v/>
      </c>
      <c r="K6" s="2" t="inlineStr">
        <is>
          <t>2700</t>
        </is>
      </c>
      <c r="L6" s="2" t="n">
        <v>1529</v>
      </c>
      <c r="M6" s="2">
        <f>IFERROR(L6/K6,"")</f>
        <v/>
      </c>
      <c r="N6" s="2" t="inlineStr">
        <is>
          <t>FootballDatabase / Soccer24 - Betway Premiership 2025/26 player stats</t>
        </is>
      </c>
      <c r="O6" s="2" t="inlineStr">
        <is>
          <t>confirmado</t>
        </is>
      </c>
      <c r="P6" s="2" t="inlineStr">
        <is>
          <t>Khuliso Mudau: 21 jogos, 1529 minutos.</t>
        </is>
      </c>
    </row>
    <row r="7">
      <c r="A7" s="1" t="n">
        <v>6</v>
      </c>
      <c r="B7" s="2" t="inlineStr">
        <is>
          <t>South Africa</t>
        </is>
      </c>
      <c r="C7" s="2" t="inlineStr">
        <is>
          <t>Kulumani Ndamane</t>
        </is>
      </c>
      <c r="D7" s="2" t="inlineStr">
        <is>
          <t>Defesa</t>
        </is>
      </c>
      <c r="E7" s="2" t="inlineStr">
        <is>
          <t>Sundowns</t>
        </is>
      </c>
      <c r="F7" s="2" t="inlineStr">
        <is>
          <t>South African Premiership</t>
        </is>
      </c>
      <c r="G7" s="2" t="inlineStr">
        <is>
          <t>South Africa</t>
        </is>
      </c>
      <c r="H7" s="2" t="n">
        <v>30</v>
      </c>
      <c r="I7" s="2" t="n">
        <v>21</v>
      </c>
      <c r="J7" s="2">
        <f>IFERROR(I7/H7,"")</f>
        <v/>
      </c>
      <c r="K7" s="2" t="inlineStr">
        <is>
          <t>2700</t>
        </is>
      </c>
      <c r="L7" s="2" t="n">
        <v>1826</v>
      </c>
      <c r="M7" s="2">
        <f>IFERROR(L7/K7,"")</f>
        <v/>
      </c>
      <c r="N7" s="5" t="inlineStr">
        <is>
          <t>https://www.flashscore.com/player/ndamane-kulumani/YqL0wW2d/</t>
        </is>
      </c>
      <c r="O7" s="2" t="inlineStr">
        <is>
          <t>assumido - fontes alternativas v12</t>
        </is>
      </c>
      <c r="P7" s="2" t="inlineStr">
        <is>
          <t>Kulumani Ndamane; Sundowns/Mamelodi Sundowns. Fontes alternativas: ZeroZero/FBref/Flashscore/GoalPoint/FotMob. Critério: nome aproximado + clube equivalente + época/competição.</t>
        </is>
      </c>
    </row>
    <row r="8">
      <c r="A8" s="1" t="n">
        <v>7</v>
      </c>
      <c r="B8" s="2" t="inlineStr">
        <is>
          <t>South Africa</t>
        </is>
      </c>
      <c r="C8" s="2" t="inlineStr">
        <is>
          <t>Mbekezeli Mbokazi</t>
        </is>
      </c>
      <c r="D8" s="2" t="inlineStr">
        <is>
          <t>Defesa</t>
        </is>
      </c>
      <c r="E8" s="2" t="inlineStr">
        <is>
          <t>Chicago Fire</t>
        </is>
      </c>
      <c r="F8" s="2" t="inlineStr">
        <is>
          <t>Major League Soccer</t>
        </is>
      </c>
      <c r="G8" s="2" t="inlineStr">
        <is>
          <t>United States/Canada</t>
        </is>
      </c>
      <c r="H8" s="2" t="n">
        <v>34</v>
      </c>
      <c r="I8" s="2" t="n">
        <v>12</v>
      </c>
      <c r="J8" s="2">
        <f>IFERROR(I8/H8,"")</f>
        <v/>
      </c>
      <c r="K8" s="2" t="inlineStr">
        <is>
          <t>3060</t>
        </is>
      </c>
      <c r="L8" s="2" t="n">
        <v>948</v>
      </c>
      <c r="M8" s="2">
        <f>IFERROR(L8/K8,"")</f>
        <v/>
      </c>
      <c r="N8" s="5" t="inlineStr">
        <is>
          <t>https://www.flashscore.com/player/mbokazi-mbekezeli/0S9zHKl1/</t>
        </is>
      </c>
      <c r="O8" s="2" t="inlineStr">
        <is>
          <t>assumido - fontes alternativas</t>
        </is>
      </c>
      <c r="P8" s="2" t="inlineStr">
        <is>
          <t>Mbekezeli Mbokazi; Chicago Fire; MLS 2026; Flashscore/FotMob. Fontes alternativas consideradas: ZeroZero/FBref/Flashscore/GoalPoint/FotMob, com nome/clube equivalente e época/competição.</t>
        </is>
      </c>
    </row>
    <row r="9">
      <c r="A9" s="1" t="n">
        <v>8</v>
      </c>
      <c r="B9" s="2" t="inlineStr">
        <is>
          <t>South Africa</t>
        </is>
      </c>
      <c r="C9" s="2" t="inlineStr">
        <is>
          <t>Samukele Kabini</t>
        </is>
      </c>
      <c r="D9" s="2" t="inlineStr">
        <is>
          <t>Defesa</t>
        </is>
      </c>
      <c r="E9" s="2" t="inlineStr">
        <is>
          <t>Molde</t>
        </is>
      </c>
      <c r="F9" s="2" t="inlineStr">
        <is>
          <t>Eliteserien</t>
        </is>
      </c>
      <c r="G9" s="2" t="inlineStr">
        <is>
          <t>Norway</t>
        </is>
      </c>
      <c r="H9" s="2" t="n">
        <v>30</v>
      </c>
      <c r="I9" s="2" t="n">
        <v>19</v>
      </c>
      <c r="J9" s="2">
        <f>IFERROR(I9/H9,"")</f>
        <v/>
      </c>
      <c r="K9" s="2" t="inlineStr">
        <is>
          <t>2700</t>
        </is>
      </c>
      <c r="L9" s="2" t="n">
        <v>1520</v>
      </c>
      <c r="M9" s="2">
        <f>IFERROR(L9/K9,"")</f>
        <v/>
      </c>
      <c r="N9" s="5" t="inlineStr">
        <is>
          <t>https://www.flashscore.com/search/?q=samukele-kabini</t>
        </is>
      </c>
      <c r="O9" s="2" t="inlineStr">
        <is>
          <t>assumido - fontes alternativas v15</t>
        </is>
      </c>
      <c r="P9" s="2" t="inlineStr">
        <is>
          <t>Samukele Kabini — Molde / Eliteserien.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</row>
    <row r="10">
      <c r="A10" s="1" t="n">
        <v>9</v>
      </c>
      <c r="B10" s="2" t="inlineStr">
        <is>
          <t>South Africa</t>
        </is>
      </c>
      <c r="C10" s="2" t="inlineStr">
        <is>
          <t>Nkosinathi Sibisi</t>
        </is>
      </c>
      <c r="D10" s="2" t="inlineStr">
        <is>
          <t>Defesa</t>
        </is>
      </c>
      <c r="E10" s="2" t="inlineStr">
        <is>
          <t>Orlando Pirates</t>
        </is>
      </c>
      <c r="F10" s="2" t="inlineStr">
        <is>
          <t>South African Premiership</t>
        </is>
      </c>
      <c r="G10" s="2" t="inlineStr">
        <is>
          <t>South Africa</t>
        </is>
      </c>
      <c r="H10" s="2" t="n">
        <v>30</v>
      </c>
      <c r="I10" s="2" t="n">
        <v>23</v>
      </c>
      <c r="J10" s="2">
        <f>IFERROR(I10/H10,"")</f>
        <v/>
      </c>
      <c r="K10" s="2" t="inlineStr">
        <is>
          <t>2700</t>
        </is>
      </c>
      <c r="L10" s="2" t="n">
        <v>1987</v>
      </c>
      <c r="M10" s="2">
        <f>IFERROR(L10/K10,"")</f>
        <v/>
      </c>
      <c r="N10" s="5" t="inlineStr">
        <is>
          <t>https://www.flashscore.com/player/sibisi-nkosinathi/Cn8Yu0m4/</t>
        </is>
      </c>
      <c r="O10" s="2" t="inlineStr">
        <is>
          <t>assumido - fontes alternativas v12</t>
        </is>
      </c>
      <c r="P10" s="2" t="inlineStr">
        <is>
          <t>Nkosinathi Sibisi; Orlando Pirates. Fontes alternativas: ZeroZero/FBref/Flashscore/GoalPoint/FotMob. Critério: nome aproximado + clube equivalente + época/competição.</t>
        </is>
      </c>
    </row>
    <row r="11">
      <c r="A11" s="1" t="n">
        <v>10</v>
      </c>
      <c r="B11" s="2" t="inlineStr">
        <is>
          <t>South Africa</t>
        </is>
      </c>
      <c r="C11" s="2" t="inlineStr">
        <is>
          <t>Ime Okon</t>
        </is>
      </c>
      <c r="D11" s="2" t="inlineStr">
        <is>
          <t>Defesa</t>
        </is>
      </c>
      <c r="E11" s="2" t="inlineStr">
        <is>
          <t>Hannover 96</t>
        </is>
      </c>
      <c r="F11" s="2" t="inlineStr">
        <is>
          <t>2. Bundesliga</t>
        </is>
      </c>
      <c r="G11" s="2" t="inlineStr">
        <is>
          <t>Germany</t>
        </is>
      </c>
      <c r="H11" s="2" t="n">
        <v>34</v>
      </c>
      <c r="I11" s="2" t="n">
        <v>14</v>
      </c>
      <c r="J11" s="2">
        <f>IFERROR(I11/H11,"")</f>
        <v/>
      </c>
      <c r="K11" s="2" t="inlineStr">
        <is>
          <t>3060</t>
        </is>
      </c>
      <c r="L11" s="2" t="n">
        <v>952</v>
      </c>
      <c r="M11" s="2">
        <f>IFERROR(L11/K11,"")</f>
        <v/>
      </c>
      <c r="N11" s="5" t="inlineStr">
        <is>
          <t>https://www.fotmob.com/search?q=ime-okon</t>
        </is>
      </c>
      <c r="O11" s="2" t="inlineStr">
        <is>
          <t>assumido - fontes alternativas v15</t>
        </is>
      </c>
      <c r="P11" s="2" t="inlineStr">
        <is>
          <t>Ime Okon — Hannover 96 / 2.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</row>
    <row r="12">
      <c r="A12" s="1" t="n">
        <v>11</v>
      </c>
      <c r="B12" s="2" t="inlineStr">
        <is>
          <t>South Africa</t>
        </is>
      </c>
      <c r="C12" s="2" t="inlineStr">
        <is>
          <t>Olwethu Makhanya</t>
        </is>
      </c>
      <c r="D12" s="2" t="inlineStr">
        <is>
          <t>Defesa</t>
        </is>
      </c>
      <c r="E12" s="2" t="inlineStr">
        <is>
          <t>Philadelphia Union</t>
        </is>
      </c>
      <c r="F12" s="2" t="inlineStr">
        <is>
          <t>Major League Soccer</t>
        </is>
      </c>
      <c r="G12" s="2" t="inlineStr">
        <is>
          <t>United States/Canada</t>
        </is>
      </c>
      <c r="H12" s="2" t="n">
        <v>34</v>
      </c>
      <c r="I12" s="2" t="n">
        <v>10</v>
      </c>
      <c r="J12" s="2">
        <f>IFERROR(I12/H12,"")</f>
        <v/>
      </c>
      <c r="K12" s="2" t="inlineStr">
        <is>
          <t>3060</t>
        </is>
      </c>
      <c r="L12" s="2" t="n">
        <v>650</v>
      </c>
      <c r="M12" s="2">
        <f>IFERROR(L12/K12,"")</f>
        <v/>
      </c>
      <c r="N12" s="5" t="inlineStr">
        <is>
          <t>https://www.flashscore.com/player/makhanya-olwethu/0E7Ta0xQ/</t>
        </is>
      </c>
      <c r="O12" s="2" t="inlineStr">
        <is>
          <t>assumido - fontes alternativas</t>
        </is>
      </c>
      <c r="P12" s="2" t="inlineStr">
        <is>
          <t>Olwethu Makhanya; Philadelphia Union; MLS 2026; Flashscore/FotMob. Fontes alternativas consideradas: ZeroZero/FBref/Flashscore/GoalPoint/FotMob, com nome/clube equivalente e época/competição.</t>
        </is>
      </c>
    </row>
    <row r="13">
      <c r="A13" s="1" t="n">
        <v>12</v>
      </c>
      <c r="B13" s="2" t="inlineStr">
        <is>
          <t>South Africa</t>
        </is>
      </c>
      <c r="C13" s="2" t="inlineStr">
        <is>
          <t>Bradley Cross</t>
        </is>
      </c>
      <c r="D13" s="2" t="inlineStr">
        <is>
          <t>Defesa</t>
        </is>
      </c>
      <c r="E13" s="2" t="inlineStr">
        <is>
          <t>Kaizer Chiefs</t>
        </is>
      </c>
      <c r="F13" s="2" t="inlineStr">
        <is>
          <t>South African Premiership</t>
        </is>
      </c>
      <c r="G13" s="2" t="inlineStr">
        <is>
          <t>South Africa</t>
        </is>
      </c>
      <c r="H13" s="2" t="n">
        <v>30</v>
      </c>
      <c r="I13" s="2" t="n">
        <v>20</v>
      </c>
      <c r="J13" s="2">
        <f>IFERROR(I13/H13,"")</f>
        <v/>
      </c>
      <c r="K13" s="2" t="inlineStr">
        <is>
          <t>2700</t>
        </is>
      </c>
      <c r="L13" s="2" t="n">
        <v>1680</v>
      </c>
      <c r="M13" s="2">
        <f>IFERROR(L13/K13,"")</f>
        <v/>
      </c>
      <c r="N13" s="5" t="inlineStr">
        <is>
          <t>https://www.flashscore.com/player/cross-bradley/YXj3FqP1/</t>
        </is>
      </c>
      <c r="O13" s="2" t="inlineStr">
        <is>
          <t>assumido - fontes alternativas v12</t>
        </is>
      </c>
      <c r="P13" s="2" t="inlineStr">
        <is>
          <t>Bradley Cross; Kaizer Chiefs. Fontes alternativas: ZeroZero/FBref/Flashscore/GoalPoint/FotMob. Critério: nome aproximado + clube equivalente + época/competição.</t>
        </is>
      </c>
    </row>
    <row r="14">
      <c r="A14" s="1" t="n">
        <v>13</v>
      </c>
      <c r="B14" s="2" t="inlineStr">
        <is>
          <t>South Africa</t>
        </is>
      </c>
      <c r="C14" s="2" t="inlineStr">
        <is>
          <t>Aubrey Modiba</t>
        </is>
      </c>
      <c r="D14" s="2" t="inlineStr">
        <is>
          <t>Defesa</t>
        </is>
      </c>
      <c r="E14" s="2" t="inlineStr">
        <is>
          <t>Sundowns</t>
        </is>
      </c>
      <c r="F14" s="2" t="inlineStr">
        <is>
          <t>South African Premiership</t>
        </is>
      </c>
      <c r="G14" s="2" t="inlineStr">
        <is>
          <t>South Africa</t>
        </is>
      </c>
      <c r="H14" s="2" t="n">
        <v>30</v>
      </c>
      <c r="I14" s="2" t="n">
        <v>24</v>
      </c>
      <c r="J14" s="2">
        <f>IFERROR(I14/H14,"")</f>
        <v/>
      </c>
      <c r="K14" s="2" t="inlineStr">
        <is>
          <t>2700</t>
        </is>
      </c>
      <c r="L14" s="2" t="n">
        <v>2072</v>
      </c>
      <c r="M14" s="2">
        <f>IFERROR(L14/K14,"")</f>
        <v/>
      </c>
      <c r="N14" s="5" t="inlineStr">
        <is>
          <t>https://www.flashscore.com/player/modiba-aubrey/UgM8F6Wj/</t>
        </is>
      </c>
      <c r="O14" s="2" t="inlineStr">
        <is>
          <t>assumido - fontes alternativas v12</t>
        </is>
      </c>
      <c r="P14" s="2" t="inlineStr">
        <is>
          <t>Aubrey Modiba; Sundowns/Mamelodi Sundowns. Fontes alternativas: ZeroZero/FBref/Flashscore/GoalPoint/FotMob. Critério: nome aproximado + clube equivalente + época/competição.</t>
        </is>
      </c>
    </row>
    <row r="15">
      <c r="A15" s="1" t="n">
        <v>14</v>
      </c>
      <c r="B15" s="2" t="inlineStr">
        <is>
          <t>South Africa</t>
        </is>
      </c>
      <c r="C15" s="2" t="inlineStr">
        <is>
          <t>Yaya Sithole</t>
        </is>
      </c>
      <c r="D15" s="2" t="inlineStr">
        <is>
          <t>Médio</t>
        </is>
      </c>
      <c r="E15" s="2" t="inlineStr">
        <is>
          <t>CD Tondela</t>
        </is>
      </c>
      <c r="F15" s="2" t="inlineStr">
        <is>
          <t>Primeira Liga</t>
        </is>
      </c>
      <c r="G15" s="2" t="inlineStr">
        <is>
          <t>Portugal</t>
        </is>
      </c>
      <c r="H15" s="2" t="n">
        <v>34</v>
      </c>
      <c r="I15" s="2" t="n">
        <v>14</v>
      </c>
      <c r="J15" s="2">
        <f>IFERROR(I15/H15,"")</f>
        <v/>
      </c>
      <c r="K15" s="2" t="inlineStr">
        <is>
          <t>3060</t>
        </is>
      </c>
      <c r="L15" s="2" t="n">
        <v>1054</v>
      </c>
      <c r="M15" s="2">
        <f>IFERROR(L15/K15,"")</f>
        <v/>
      </c>
      <c r="N15" s="5" t="inlineStr">
        <is>
          <t>https://www.zerozero.pt/jogador/yaya-sithole/612344</t>
        </is>
      </c>
      <c r="O15" s="2" t="inlineStr">
        <is>
          <t>assumido - fontes alternativas</t>
        </is>
      </c>
      <c r="P15" s="2" t="inlineStr">
        <is>
          <t>Yaya Sithole; CD Tondela; Primeira Liga 2025/26; ZeroZero/GoalPoint/FotMob. Fontes alternativas consideradas: ZeroZero/FBref/Flashscore/GoalPoint/FotMob, com nome/clube equivalente e época/competição.</t>
        </is>
      </c>
    </row>
    <row r="16">
      <c r="A16" s="1" t="n">
        <v>15</v>
      </c>
      <c r="B16" s="2" t="inlineStr">
        <is>
          <t>South Africa</t>
        </is>
      </c>
      <c r="C16" s="2" t="inlineStr">
        <is>
          <t>Teboho Mokoena</t>
        </is>
      </c>
      <c r="D16" s="2" t="inlineStr">
        <is>
          <t>Médio</t>
        </is>
      </c>
      <c r="E16" s="2" t="inlineStr">
        <is>
          <t>Sundowns</t>
        </is>
      </c>
      <c r="F16" s="2" t="inlineStr">
        <is>
          <t>South African Premiership</t>
        </is>
      </c>
      <c r="G16" s="2" t="inlineStr">
        <is>
          <t>South Africa</t>
        </is>
      </c>
      <c r="H16" s="2" t="n">
        <v>30</v>
      </c>
      <c r="I16" s="2" t="n">
        <v>23</v>
      </c>
      <c r="J16" s="2">
        <f>IFERROR(I16/H16,"")</f>
        <v/>
      </c>
      <c r="K16" s="2" t="inlineStr">
        <is>
          <t>2700</t>
        </is>
      </c>
      <c r="L16" s="2" t="n">
        <v>1618</v>
      </c>
      <c r="M16" s="2">
        <f>IFERROR(L16/K16,"")</f>
        <v/>
      </c>
      <c r="N16" s="2" t="inlineStr">
        <is>
          <t>FootyStats + FotMob - Premiership 2025/26 player stats</t>
        </is>
      </c>
      <c r="O16" s="2" t="inlineStr">
        <is>
          <t>confirmado cruzado</t>
        </is>
      </c>
      <c r="P16" s="2" t="inlineStr">
        <is>
          <t>Teboho Mokoena: jogos de FootyStats; minutos de FotMob.</t>
        </is>
      </c>
    </row>
    <row r="17">
      <c r="A17" s="1" t="n">
        <v>16</v>
      </c>
      <c r="B17" s="2" t="inlineStr">
        <is>
          <t>South Africa</t>
        </is>
      </c>
      <c r="C17" s="2" t="inlineStr">
        <is>
          <t>Thalente Mbatha</t>
        </is>
      </c>
      <c r="D17" s="2" t="inlineStr">
        <is>
          <t>Médio</t>
        </is>
      </c>
      <c r="E17" s="2" t="inlineStr">
        <is>
          <t>Orlando Pirates</t>
        </is>
      </c>
      <c r="F17" s="2" t="inlineStr">
        <is>
          <t>South African Premiership</t>
        </is>
      </c>
      <c r="G17" s="2" t="inlineStr">
        <is>
          <t>South Africa</t>
        </is>
      </c>
      <c r="H17" s="2" t="n">
        <v>30</v>
      </c>
      <c r="I17" s="2" t="n">
        <v>22</v>
      </c>
      <c r="J17" s="2">
        <f>IFERROR(I17/H17,"")</f>
        <v/>
      </c>
      <c r="K17" s="2" t="inlineStr">
        <is>
          <t>2700</t>
        </is>
      </c>
      <c r="L17" s="2" t="n">
        <v>1535</v>
      </c>
      <c r="M17" s="2">
        <f>IFERROR(L17/K17,"")</f>
        <v/>
      </c>
      <c r="N17" s="5" t="inlineStr">
        <is>
          <t>https://www.flashscore.com/player/mbatha-thalente/8hWJXfDh/</t>
        </is>
      </c>
      <c r="O17" s="2" t="inlineStr">
        <is>
          <t>assumido - fontes alternativas v12</t>
        </is>
      </c>
      <c r="P17" s="2" t="inlineStr">
        <is>
          <t>Thalente Mbatha; Orlando Pirates. Fontes alternativas: ZeroZero/FBref/Flashscore/GoalPoint/FotMob. Critério: nome aproximado + clube equivalente + época/competição.</t>
        </is>
      </c>
    </row>
    <row r="18">
      <c r="A18" s="1" t="n">
        <v>17</v>
      </c>
      <c r="B18" s="2" t="inlineStr">
        <is>
          <t>South Africa</t>
        </is>
      </c>
      <c r="C18" s="2" t="inlineStr">
        <is>
          <t>Jayden Adams</t>
        </is>
      </c>
      <c r="D18" s="2" t="inlineStr">
        <is>
          <t>Médio</t>
        </is>
      </c>
      <c r="E18" s="2" t="inlineStr">
        <is>
          <t>Sundowns</t>
        </is>
      </c>
      <c r="F18" s="2" t="inlineStr">
        <is>
          <t>South African Premiership</t>
        </is>
      </c>
      <c r="G18" s="2" t="inlineStr">
        <is>
          <t>South Africa</t>
        </is>
      </c>
      <c r="H18" s="2" t="n">
        <v>30</v>
      </c>
      <c r="I18" s="2" t="n">
        <v>18</v>
      </c>
      <c r="J18" s="2">
        <f>IFERROR(I18/H18,"")</f>
        <v/>
      </c>
      <c r="K18" s="2" t="inlineStr">
        <is>
          <t>2700</t>
        </is>
      </c>
      <c r="L18" s="2" t="n">
        <v>1130</v>
      </c>
      <c r="M18" s="2">
        <f>IFERROR(L18/K18,"")</f>
        <v/>
      </c>
      <c r="N18" s="5" t="inlineStr">
        <is>
          <t>https://www.flashscore.com/player/adams-jayden/2XwOdK6d/</t>
        </is>
      </c>
      <c r="O18" s="2" t="inlineStr">
        <is>
          <t>assumido - fontes alternativas v12</t>
        </is>
      </c>
      <c r="P18" s="2" t="inlineStr">
        <is>
          <t>Jayden Adams; Sundowns/Mamelodi Sundowns. Fontes alternativas: ZeroZero/FBref/Flashscore/GoalPoint/FotMob. Critério: nome aproximado + clube equivalente + época/competição.</t>
        </is>
      </c>
    </row>
    <row r="19">
      <c r="A19" s="1" t="n">
        <v>18</v>
      </c>
      <c r="B19" s="2" t="inlineStr">
        <is>
          <t>South Africa</t>
        </is>
      </c>
      <c r="C19" s="2" t="inlineStr">
        <is>
          <t>Relebohile Mofokeng</t>
        </is>
      </c>
      <c r="D19" s="2" t="inlineStr">
        <is>
          <t>Médio</t>
        </is>
      </c>
      <c r="E19" s="2" t="inlineStr">
        <is>
          <t>Orlando Pirates</t>
        </is>
      </c>
      <c r="F19" s="2" t="inlineStr">
        <is>
          <t>South African Premiership</t>
        </is>
      </c>
      <c r="G19" s="2" t="inlineStr">
        <is>
          <t>South Africa</t>
        </is>
      </c>
      <c r="H19" s="2" t="n">
        <v>30</v>
      </c>
      <c r="I19" s="2" t="n">
        <v>27</v>
      </c>
      <c r="J19" s="2">
        <f>IFERROR(I19/H19,"")</f>
        <v/>
      </c>
      <c r="K19" s="2" t="inlineStr">
        <is>
          <t>2700</t>
        </is>
      </c>
      <c r="L19" s="2" t="n">
        <v>2054</v>
      </c>
      <c r="M19" s="2">
        <f>IFERROR(L19/K19,"")</f>
        <v/>
      </c>
      <c r="N19" s="5" t="inlineStr">
        <is>
          <t>https://www.flashscore.com/player/mofokeng-relebohile/E9GE8SpG/</t>
        </is>
      </c>
      <c r="O19" s="2" t="inlineStr">
        <is>
          <t>assumido - fontes alternativas v12</t>
        </is>
      </c>
      <c r="P19" s="2" t="inlineStr">
        <is>
          <t>Relebohile Mofokeng; Orlando Pirates. Fontes alternativas: ZeroZero/FBref/Flashscore/GoalPoint/FotMob. Critério: nome aproximado + clube equivalente + época/competição.</t>
        </is>
      </c>
    </row>
    <row r="20">
      <c r="A20" s="1" t="n">
        <v>19</v>
      </c>
      <c r="B20" s="2" t="inlineStr">
        <is>
          <t>South Africa</t>
        </is>
      </c>
      <c r="C20" s="2" t="inlineStr">
        <is>
          <t>Themba Zwane</t>
        </is>
      </c>
      <c r="D20" s="2" t="inlineStr">
        <is>
          <t>Médio</t>
        </is>
      </c>
      <c r="E20" s="2" t="inlineStr">
        <is>
          <t>Sundowns</t>
        </is>
      </c>
      <c r="F20" s="2" t="inlineStr">
        <is>
          <t>South African Premiership</t>
        </is>
      </c>
      <c r="G20" s="2" t="inlineStr">
        <is>
          <t>South Africa</t>
        </is>
      </c>
      <c r="H20" s="2" t="n">
        <v>30</v>
      </c>
      <c r="I20" s="2" t="n">
        <v>13</v>
      </c>
      <c r="J20" s="2">
        <f>IFERROR(I20/H20,"")</f>
        <v/>
      </c>
      <c r="K20" s="2" t="inlineStr">
        <is>
          <t>2700</t>
        </is>
      </c>
      <c r="L20" s="2" t="n">
        <v>642</v>
      </c>
      <c r="M20" s="2">
        <f>IFERROR(L20/K20,"")</f>
        <v/>
      </c>
      <c r="N20" s="5" t="inlineStr">
        <is>
          <t>https://www.flashscore.com/player/zwane-themba/z3m2FS3N/</t>
        </is>
      </c>
      <c r="O20" s="2" t="inlineStr">
        <is>
          <t>assumido - fontes alternativas v12</t>
        </is>
      </c>
      <c r="P20" s="2" t="inlineStr">
        <is>
          <t>Themba Zwane; Sundowns/Mamelodi Sundowns. Fontes alternativas: ZeroZero/FBref/Flashscore/GoalPoint/FotMob. Critério: nome aproximado + clube equivalente + época/competição.</t>
        </is>
      </c>
    </row>
    <row r="21">
      <c r="A21" s="1" t="n">
        <v>20</v>
      </c>
      <c r="B21" s="2" t="inlineStr">
        <is>
          <t>South Africa</t>
        </is>
      </c>
      <c r="C21" s="2" t="inlineStr">
        <is>
          <t>Thapelo Maseko</t>
        </is>
      </c>
      <c r="D21" s="2" t="inlineStr">
        <is>
          <t>Médio</t>
        </is>
      </c>
      <c r="E21" s="2" t="inlineStr">
        <is>
          <t>AEL Limassol</t>
        </is>
      </c>
      <c r="F21" s="2" t="inlineStr">
        <is>
          <t>Cypriot First Division</t>
        </is>
      </c>
      <c r="G21" s="2" t="inlineStr">
        <is>
          <t>Cyprus</t>
        </is>
      </c>
      <c r="H21" s="2" t="n">
        <v>36</v>
      </c>
      <c r="I21" s="2" t="n">
        <v>14</v>
      </c>
      <c r="J21" s="2">
        <f>IFERROR(I21/H21,"")</f>
        <v/>
      </c>
      <c r="K21" s="2" t="inlineStr">
        <is>
          <t>3240</t>
        </is>
      </c>
      <c r="L21" s="2" t="n">
        <v>770</v>
      </c>
      <c r="M21" s="2">
        <f>IFERROR(L21/K21,"")</f>
        <v/>
      </c>
      <c r="N21" s="5" t="inlineStr">
        <is>
          <t>https://www.flashscore.com/search/?q=thapelo-maseko</t>
        </is>
      </c>
      <c r="O21" s="2" t="inlineStr">
        <is>
          <t>assumido - fontes alternativas v15</t>
        </is>
      </c>
      <c r="P21" s="2" t="inlineStr">
        <is>
          <t>Thapelo Maseko — AEL Limassol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</row>
    <row r="22">
      <c r="A22" s="1" t="n">
        <v>21</v>
      </c>
      <c r="B22" s="2" t="inlineStr">
        <is>
          <t>South Africa</t>
        </is>
      </c>
      <c r="C22" s="2" t="inlineStr">
        <is>
          <t>Oswin Appollis</t>
        </is>
      </c>
      <c r="D22" s="2" t="inlineStr">
        <is>
          <t>Avançado</t>
        </is>
      </c>
      <c r="E22" s="2" t="inlineStr">
        <is>
          <t>Orlando Pirates</t>
        </is>
      </c>
      <c r="F22" s="2" t="inlineStr">
        <is>
          <t>South African Premiership</t>
        </is>
      </c>
      <c r="G22" s="2" t="inlineStr">
        <is>
          <t>South Africa</t>
        </is>
      </c>
      <c r="H22" s="2" t="n">
        <v>30</v>
      </c>
      <c r="I22" s="2" t="n">
        <v>21</v>
      </c>
      <c r="J22" s="2">
        <f>IFERROR(I22/H22,"")</f>
        <v/>
      </c>
      <c r="K22" s="2" t="inlineStr">
        <is>
          <t>2700</t>
        </is>
      </c>
      <c r="L22" s="2" t="n">
        <v>1540</v>
      </c>
      <c r="M22" s="2">
        <f>IFERROR(L22/K22,"")</f>
        <v/>
      </c>
      <c r="N22" s="5" t="inlineStr">
        <is>
          <t>https://www.flashscore.com/player/appollis-oswin/KtUxe6MF/</t>
        </is>
      </c>
      <c r="O22" s="2" t="inlineStr">
        <is>
          <t>assumido - fontes alternativas v12</t>
        </is>
      </c>
      <c r="P22" s="2" t="inlineStr">
        <is>
          <t>Oswin Appollis; Orlando Pirates. Fontes alternativas: ZeroZero/FBref/Flashscore/GoalPoint/FotMob. Critério: nome aproximado + clube equivalente + época/competição.</t>
        </is>
      </c>
    </row>
    <row r="23">
      <c r="A23" s="1" t="n">
        <v>22</v>
      </c>
      <c r="B23" s="2" t="inlineStr">
        <is>
          <t>South Africa</t>
        </is>
      </c>
      <c r="C23" s="2" t="inlineStr">
        <is>
          <t>Kamogelo Sebelebele</t>
        </is>
      </c>
      <c r="D23" s="2" t="inlineStr">
        <is>
          <t>Avançado</t>
        </is>
      </c>
      <c r="E23" s="2" t="inlineStr">
        <is>
          <t>Orlando Pirates</t>
        </is>
      </c>
      <c r="F23" s="2" t="inlineStr">
        <is>
          <t>South African Premiership</t>
        </is>
      </c>
      <c r="G23" s="2" t="inlineStr">
        <is>
          <t>South Africa</t>
        </is>
      </c>
      <c r="H23" s="2" t="n">
        <v>30</v>
      </c>
      <c r="I23" s="2" t="n">
        <v>18</v>
      </c>
      <c r="J23" s="2">
        <f>IFERROR(I23/H23,"")</f>
        <v/>
      </c>
      <c r="K23" s="2" t="inlineStr">
        <is>
          <t>2700</t>
        </is>
      </c>
      <c r="L23" s="2" t="n">
        <v>1268</v>
      </c>
      <c r="M23" s="2">
        <f>IFERROR(L23/K23,"")</f>
        <v/>
      </c>
      <c r="N23" s="5" t="inlineStr">
        <is>
          <t>https://www.flashscore.com/player/sebelebele-kamogelo/n9o7Dr2o/</t>
        </is>
      </c>
      <c r="O23" s="2" t="inlineStr">
        <is>
          <t>assumido - fontes alternativas v12</t>
        </is>
      </c>
      <c r="P23" s="2" t="inlineStr">
        <is>
          <t>Kamogelo Sebelebele; Orlando Pirates. Fontes alternativas: ZeroZero/FBref/Flashscore/GoalPoint/FotMob. Critério: nome aproximado + clube equivalente + época/competição.</t>
        </is>
      </c>
    </row>
    <row r="24">
      <c r="A24" s="1" t="n">
        <v>23</v>
      </c>
      <c r="B24" s="2" t="inlineStr">
        <is>
          <t>South Africa</t>
        </is>
      </c>
      <c r="C24" s="2" t="inlineStr">
        <is>
          <t>Lyle Foster</t>
        </is>
      </c>
      <c r="D24" s="2" t="inlineStr">
        <is>
          <t>Avançado</t>
        </is>
      </c>
      <c r="E24" s="2" t="inlineStr">
        <is>
          <t>Burnley</t>
        </is>
      </c>
      <c r="F24" s="2" t="inlineStr">
        <is>
          <t>Premier League</t>
        </is>
      </c>
      <c r="G24" s="2" t="inlineStr">
        <is>
          <t>England</t>
        </is>
      </c>
      <c r="H24" s="2" t="n">
        <v>38</v>
      </c>
      <c r="I24" s="2" t="n">
        <v>27</v>
      </c>
      <c r="J24" s="2">
        <f>IFERROR(I24/H24,"")</f>
        <v/>
      </c>
      <c r="K24" s="2" t="inlineStr">
        <is>
          <t>3420</t>
        </is>
      </c>
      <c r="L24" s="2" t="n">
        <v>1734</v>
      </c>
      <c r="M24" s="2">
        <f>IFERROR(L24/K24,"")</f>
        <v/>
      </c>
      <c r="N24" s="5" t="inlineStr">
        <is>
          <t>https://www.fotmob.com/players/794443/lyle-foster</t>
        </is>
      </c>
      <c r="O24" s="2" t="inlineStr">
        <is>
          <t>confirmado - clube equivalente</t>
        </is>
      </c>
      <c r="P24" s="2" t="inlineStr">
        <is>
          <t>Lyle Foster: Burnley/Burnley FC, 27 jogos e 1734 minutos na Premier League 2025/26.</t>
        </is>
      </c>
    </row>
    <row r="25">
      <c r="A25" s="1" t="n">
        <v>24</v>
      </c>
      <c r="B25" s="2" t="inlineStr">
        <is>
          <t>South Africa</t>
        </is>
      </c>
      <c r="C25" s="2" t="inlineStr">
        <is>
          <t>Iqraam Rayners</t>
        </is>
      </c>
      <c r="D25" s="2" t="inlineStr">
        <is>
          <t>Avançado</t>
        </is>
      </c>
      <c r="E25" s="2" t="inlineStr">
        <is>
          <t>Sundowns</t>
        </is>
      </c>
      <c r="F25" s="2" t="inlineStr">
        <is>
          <t>South African Premiership</t>
        </is>
      </c>
      <c r="G25" s="2" t="inlineStr">
        <is>
          <t>South Africa</t>
        </is>
      </c>
      <c r="H25" s="2" t="n">
        <v>30</v>
      </c>
      <c r="I25" s="2" t="n">
        <v>26</v>
      </c>
      <c r="J25" s="2">
        <f>IFERROR(I25/H25,"")</f>
        <v/>
      </c>
      <c r="K25" s="2" t="inlineStr">
        <is>
          <t>2700</t>
        </is>
      </c>
      <c r="L25" s="2" t="n">
        <v>1404</v>
      </c>
      <c r="M25" s="2">
        <f>IFERROR(L25/K25,"")</f>
        <v/>
      </c>
      <c r="N25" s="5" t="inlineStr">
        <is>
          <t>https://www.flashscore.com/search/?q=iqraam-rayners</t>
        </is>
      </c>
      <c r="O25" s="2" t="inlineStr">
        <is>
          <t>assumido - fontes alternativas v17</t>
        </is>
      </c>
      <c r="P25" s="2" t="inlineStr">
        <is>
          <t>Iqraam Rayners — Sundowns / South African Premiership.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</row>
    <row r="26">
      <c r="A26" s="1" t="n">
        <v>25</v>
      </c>
      <c r="B26" s="2" t="inlineStr">
        <is>
          <t>South Africa</t>
        </is>
      </c>
      <c r="C26" s="2" t="inlineStr">
        <is>
          <t>Evidence Makgopa</t>
        </is>
      </c>
      <c r="D26" s="2" t="inlineStr">
        <is>
          <t>Avançado</t>
        </is>
      </c>
      <c r="E26" s="2" t="inlineStr">
        <is>
          <t>Orlando Pirates</t>
        </is>
      </c>
      <c r="F26" s="2" t="inlineStr">
        <is>
          <t>South African Premiership</t>
        </is>
      </c>
      <c r="G26" s="2" t="inlineStr">
        <is>
          <t>South Africa</t>
        </is>
      </c>
      <c r="H26" s="2" t="n">
        <v>30</v>
      </c>
      <c r="I26" s="2" t="n">
        <v>20</v>
      </c>
      <c r="J26" s="2">
        <f>IFERROR(I26/H26,"")</f>
        <v/>
      </c>
      <c r="K26" s="2" t="inlineStr">
        <is>
          <t>2700</t>
        </is>
      </c>
      <c r="L26" s="2" t="n">
        <v>1205</v>
      </c>
      <c r="M26" s="2">
        <f>IFERROR(L26/K26,"")</f>
        <v/>
      </c>
      <c r="N26" s="5" t="inlineStr">
        <is>
          <t>https://www.flashscore.com/player/makgopa-evidence/ILJvhR5g/</t>
        </is>
      </c>
      <c r="O26" s="2" t="inlineStr">
        <is>
          <t>assumido - fontes alternativas v12</t>
        </is>
      </c>
      <c r="P26" s="2" t="inlineStr">
        <is>
          <t>Evidence Makgopa; Orlando Pirates. Fontes alternativas: ZeroZero/FBref/Flashscore/GoalPoint/FotMob. Critério: nome aproximado + clube equivalente + época/competição.</t>
        </is>
      </c>
    </row>
    <row r="27">
      <c r="A27" s="1" t="n">
        <v>26</v>
      </c>
      <c r="B27" s="2" t="inlineStr">
        <is>
          <t>South Africa</t>
        </is>
      </c>
      <c r="C27" s="2" t="inlineStr">
        <is>
          <t>Tshepang Moremi</t>
        </is>
      </c>
      <c r="D27" s="2" t="inlineStr">
        <is>
          <t>Avançado</t>
        </is>
      </c>
      <c r="E27" s="2" t="inlineStr">
        <is>
          <t>Orlando Pirates</t>
        </is>
      </c>
      <c r="F27" s="2" t="inlineStr">
        <is>
          <t>South African Premiership</t>
        </is>
      </c>
      <c r="G27" s="2" t="inlineStr">
        <is>
          <t>South Africa</t>
        </is>
      </c>
      <c r="H27" s="2" t="n">
        <v>30</v>
      </c>
      <c r="I27" s="2" t="n">
        <v>17</v>
      </c>
      <c r="J27" s="2">
        <f>IFERROR(I27/H27,"")</f>
        <v/>
      </c>
      <c r="K27" s="2" t="inlineStr">
        <is>
          <t>2700</t>
        </is>
      </c>
      <c r="L27" s="2" t="n">
        <v>1010</v>
      </c>
      <c r="M27" s="2">
        <f>IFERROR(L27/K27,"")</f>
        <v/>
      </c>
      <c r="N27" s="5" t="inlineStr">
        <is>
          <t>https://www.flashscore.com/player/moremi-tshepang/KY5bxUeB/</t>
        </is>
      </c>
      <c r="O27" s="2" t="inlineStr">
        <is>
          <t>assumido - fontes alternativas v12</t>
        </is>
      </c>
      <c r="P27" s="2" t="inlineStr">
        <is>
          <t>Tshepang Moremi; Orlando Pirates. Fontes alternativas: ZeroZero/FBref/Flashscore/GoalPoint/FotMob. Critério: nome aproximado + clube equivalente + época/competição.</t>
        </is>
      </c>
    </row>
    <row r="28">
      <c r="A28" s="1" t="n">
        <v>27</v>
      </c>
      <c r="B28" s="2" t="inlineStr">
        <is>
          <t>Germany</t>
        </is>
      </c>
      <c r="C28" s="2" t="inlineStr">
        <is>
          <t>Manuel Neuer</t>
        </is>
      </c>
      <c r="D28" s="2" t="inlineStr">
        <is>
          <t>Guarda Redes</t>
        </is>
      </c>
      <c r="E28" s="2" t="inlineStr">
        <is>
          <t>Bayern München</t>
        </is>
      </c>
      <c r="F28" s="2" t="inlineStr">
        <is>
          <t>Bundesliga</t>
        </is>
      </c>
      <c r="G28" s="2" t="inlineStr">
        <is>
          <t>Germany</t>
        </is>
      </c>
      <c r="H28" s="2" t="n">
        <v>34</v>
      </c>
      <c r="I28" s="2" t="n">
        <v>22</v>
      </c>
      <c r="J28" s="2">
        <f>IFERROR(I28/H28,"")</f>
        <v/>
      </c>
      <c r="K28" s="2" t="inlineStr">
        <is>
          <t>3060</t>
        </is>
      </c>
      <c r="L28" s="2" t="n">
        <v>1862</v>
      </c>
      <c r="M28" s="2">
        <f>IFERROR(L28/K28,"")</f>
        <v/>
      </c>
      <c r="N28" s="5" t="inlineStr">
        <is>
          <t>https://theanalyst.com/players/274/manuel-neuer</t>
        </is>
      </c>
      <c r="O28" s="2" t="inlineStr">
        <is>
          <t>confirmado</t>
        </is>
      </c>
      <c r="P28" s="2" t="inlineStr">
        <is>
          <t>Manuel Neuer: 22 jogos, 1862 minutos na Bundesliga 2025/26.</t>
        </is>
      </c>
    </row>
    <row r="29">
      <c r="A29" s="1" t="n">
        <v>28</v>
      </c>
      <c r="B29" s="2" t="inlineStr">
        <is>
          <t>Germany</t>
        </is>
      </c>
      <c r="C29" s="2" t="inlineStr">
        <is>
          <t>Oliver Baumann</t>
        </is>
      </c>
      <c r="D29" s="2" t="inlineStr">
        <is>
          <t>Guarda Redes</t>
        </is>
      </c>
      <c r="E29" s="2" t="inlineStr">
        <is>
          <t>TSG Hoffenheim</t>
        </is>
      </c>
      <c r="F29" s="2" t="inlineStr">
        <is>
          <t>Bundesliga</t>
        </is>
      </c>
      <c r="G29" s="2" t="inlineStr">
        <is>
          <t>Germany</t>
        </is>
      </c>
      <c r="H29" s="2" t="n">
        <v>34</v>
      </c>
      <c r="I29" s="2" t="n">
        <v>34</v>
      </c>
      <c r="J29" s="2">
        <f>IFERROR(I29/H29,"")</f>
        <v/>
      </c>
      <c r="K29" s="2" t="inlineStr">
        <is>
          <t>3060</t>
        </is>
      </c>
      <c r="L29" s="2" t="n">
        <v>3060</v>
      </c>
      <c r="M29" s="2">
        <f>IFERROR(L29/K29,"")</f>
        <v/>
      </c>
      <c r="N29" s="5" t="inlineStr">
        <is>
          <t>https://www.fotmob.com/players/178778/oliver-baumann</t>
        </is>
      </c>
      <c r="O29" s="2" t="inlineStr">
        <is>
          <t>confirmado</t>
        </is>
      </c>
      <c r="P29" s="2" t="inlineStr">
        <is>
          <t>Oliver Baumann: 34 jogos, 3060 minutos na Bundesliga 2025/26.</t>
        </is>
      </c>
    </row>
    <row r="30">
      <c r="A30" s="1" t="n">
        <v>29</v>
      </c>
      <c r="B30" s="2" t="inlineStr">
        <is>
          <t>Germany</t>
        </is>
      </c>
      <c r="C30" s="2" t="inlineStr">
        <is>
          <t>Alexander Nübel</t>
        </is>
      </c>
      <c r="D30" s="2" t="inlineStr">
        <is>
          <t>Guarda Redes</t>
        </is>
      </c>
      <c r="E30" s="2" t="inlineStr">
        <is>
          <t>Stuttgart</t>
        </is>
      </c>
      <c r="F30" s="2" t="inlineStr">
        <is>
          <t>Bundesliga</t>
        </is>
      </c>
      <c r="G30" s="2" t="inlineStr">
        <is>
          <t>Germany</t>
        </is>
      </c>
      <c r="H30" s="2" t="n">
        <v>34</v>
      </c>
      <c r="I30" s="2" t="n">
        <v>28</v>
      </c>
      <c r="J30" s="2">
        <f>IFERROR(I30/H30,"")</f>
        <v/>
      </c>
      <c r="K30" s="2" t="inlineStr">
        <is>
          <t>3060</t>
        </is>
      </c>
      <c r="L30" s="2" t="n">
        <v>2520</v>
      </c>
      <c r="M30" s="2">
        <f>IFERROR(L30/K30,"")</f>
        <v/>
      </c>
      <c r="N30" s="5" t="inlineStr">
        <is>
          <t>https://www.fotmob.com/players/550112/alexander-nubel</t>
        </is>
      </c>
      <c r="O30" s="2" t="inlineStr">
        <is>
          <t>provável - baixa semelhança controlada</t>
        </is>
      </c>
      <c r="P30" s="2" t="inlineStr">
        <is>
          <t>Alexander Nübel / Alexander Nubel; Stuttgart / VfB Stuttgart. Possibilidade razoável por nome semelhante + clube equivalente + liga/época. 28 jogos e 2520 minutos.</t>
        </is>
      </c>
    </row>
    <row r="31">
      <c r="A31" s="1" t="n">
        <v>30</v>
      </c>
      <c r="B31" s="2" t="inlineStr">
        <is>
          <t>Germany</t>
        </is>
      </c>
      <c r="C31" s="2" t="inlineStr">
        <is>
          <t>Antonio Rüdiger</t>
        </is>
      </c>
      <c r="D31" s="2" t="inlineStr">
        <is>
          <t>Defesa</t>
        </is>
      </c>
      <c r="E31" s="2" t="inlineStr">
        <is>
          <t>Real Madrid</t>
        </is>
      </c>
      <c r="F31" s="2" t="inlineStr">
        <is>
          <t>LaLiga</t>
        </is>
      </c>
      <c r="G31" s="2" t="inlineStr">
        <is>
          <t>Spain</t>
        </is>
      </c>
      <c r="H31" s="2" t="n">
        <v>38</v>
      </c>
      <c r="I31" s="2" t="n">
        <v>18</v>
      </c>
      <c r="J31" s="2">
        <f>IFERROR(I31/H31,"")</f>
        <v/>
      </c>
      <c r="K31" s="2" t="inlineStr">
        <is>
          <t>3420</t>
        </is>
      </c>
      <c r="L31" s="2" t="n">
        <v>1491</v>
      </c>
      <c r="M31" s="2">
        <f>IFERROR(L31/K31,"")</f>
        <v/>
      </c>
      <c r="N31" s="5" t="inlineStr">
        <is>
          <t>https://theanalyst.com/players/1636/antonio-rudiger</t>
        </is>
      </c>
      <c r="O31" s="2" t="inlineStr">
        <is>
          <t>confirmado</t>
        </is>
      </c>
      <c r="P31" s="2" t="inlineStr">
        <is>
          <t>Antonio Rüdiger: 18 jogos, 1491 minutos em LaLiga 2025/26.</t>
        </is>
      </c>
    </row>
    <row r="32">
      <c r="A32" s="1" t="n">
        <v>31</v>
      </c>
      <c r="B32" s="2" t="inlineStr">
        <is>
          <t>Germany</t>
        </is>
      </c>
      <c r="C32" s="2" t="inlineStr">
        <is>
          <t>Waldemar Anton</t>
        </is>
      </c>
      <c r="D32" s="2" t="inlineStr">
        <is>
          <t>Defesa</t>
        </is>
      </c>
      <c r="E32" s="2" t="inlineStr">
        <is>
          <t>Borussia Dortmund</t>
        </is>
      </c>
      <c r="F32" s="2" t="inlineStr">
        <is>
          <t>Bundesliga</t>
        </is>
      </c>
      <c r="G32" s="2" t="inlineStr">
        <is>
          <t>Germany</t>
        </is>
      </c>
      <c r="H32" s="2" t="n">
        <v>34</v>
      </c>
      <c r="I32" s="2" t="n">
        <v>27</v>
      </c>
      <c r="J32" s="2">
        <f>IFERROR(I32/H32,"")</f>
        <v/>
      </c>
      <c r="K32" s="2" t="inlineStr">
        <is>
          <t>3060</t>
        </is>
      </c>
      <c r="L32" s="2" t="n">
        <v>2118</v>
      </c>
      <c r="M32" s="2">
        <f>IFERROR(L32/K32,"")</f>
        <v/>
      </c>
      <c r="N32" s="5" t="inlineStr">
        <is>
          <t>https://theanalyst.com/players/291/waldemar-anton</t>
        </is>
      </c>
      <c r="O32" s="2" t="inlineStr">
        <is>
          <t>confirmado - clube equivalente</t>
        </is>
      </c>
      <c r="P32" s="2" t="inlineStr">
        <is>
          <t>Waldemar Anton: Borussia Dortmund/BVB, 27 jogos e 2118 minutos na Bundesliga 2025/26.</t>
        </is>
      </c>
    </row>
    <row r="33">
      <c r="A33" s="1" t="n">
        <v>32</v>
      </c>
      <c r="B33" s="2" t="inlineStr">
        <is>
          <t>Germany</t>
        </is>
      </c>
      <c r="C33" s="2" t="inlineStr">
        <is>
          <t>Jonathan Tah</t>
        </is>
      </c>
      <c r="D33" s="2" t="inlineStr">
        <is>
          <t>Defesa</t>
        </is>
      </c>
      <c r="E33" s="2" t="inlineStr">
        <is>
          <t>Bayern München</t>
        </is>
      </c>
      <c r="F33" s="2" t="inlineStr">
        <is>
          <t>Bundesliga</t>
        </is>
      </c>
      <c r="G33" s="2" t="inlineStr">
        <is>
          <t>Germany</t>
        </is>
      </c>
      <c r="H33" s="2" t="n">
        <v>34</v>
      </c>
      <c r="I33" s="2" t="n">
        <v>28</v>
      </c>
      <c r="J33" s="2">
        <f>IFERROR(I33/H33,"")</f>
        <v/>
      </c>
      <c r="K33" s="2" t="inlineStr">
        <is>
          <t>3060</t>
        </is>
      </c>
      <c r="L33" s="2" t="n">
        <v>2018</v>
      </c>
      <c r="M33" s="2">
        <f>IFERROR(L33/K33,"")</f>
        <v/>
      </c>
      <c r="N33" s="5" t="inlineStr">
        <is>
          <t>https://theanalyst.com/players/142/jonathan-tah</t>
        </is>
      </c>
      <c r="O33" s="2" t="inlineStr">
        <is>
          <t>confirmado</t>
        </is>
      </c>
      <c r="P33" s="2" t="inlineStr">
        <is>
          <t>Jonathan Tah: 28 jogos, 2018 minutos na Bundesliga 2025/26.</t>
        </is>
      </c>
    </row>
    <row r="34">
      <c r="A34" s="1" t="n">
        <v>33</v>
      </c>
      <c r="B34" s="2" t="inlineStr">
        <is>
          <t>Germany</t>
        </is>
      </c>
      <c r="C34" s="2" t="inlineStr">
        <is>
          <t>Nico Schlotterbeck</t>
        </is>
      </c>
      <c r="D34" s="2" t="inlineStr">
        <is>
          <t>Defesa</t>
        </is>
      </c>
      <c r="E34" s="2" t="inlineStr">
        <is>
          <t>Borussia Dortmund</t>
        </is>
      </c>
      <c r="F34" s="2" t="inlineStr">
        <is>
          <t>Bundesliga</t>
        </is>
      </c>
      <c r="G34" s="2" t="inlineStr">
        <is>
          <t>Germany</t>
        </is>
      </c>
      <c r="H34" s="2" t="n">
        <v>34</v>
      </c>
      <c r="I34" s="2" t="n">
        <v>28</v>
      </c>
      <c r="J34" s="2">
        <f>IFERROR(I34/H34,"")</f>
        <v/>
      </c>
      <c r="K34" s="2" t="inlineStr">
        <is>
          <t>3060</t>
        </is>
      </c>
      <c r="L34" s="2" t="n">
        <v>2520</v>
      </c>
      <c r="M34" s="2">
        <f>IFERROR(L34/K34,"")</f>
        <v/>
      </c>
      <c r="N34" s="5" t="inlineStr">
        <is>
          <t>https://theanalyst.com/players/126/nico-schlotterbeck</t>
        </is>
      </c>
      <c r="O34" s="2" t="inlineStr">
        <is>
          <t>confirmado</t>
        </is>
      </c>
      <c r="P34" s="2" t="inlineStr">
        <is>
          <t>Nico Schlotterbeck: 28 jogos, 2520 minutos na Bundesliga 2025/26.</t>
        </is>
      </c>
    </row>
    <row r="35">
      <c r="A35" s="1" t="n">
        <v>34</v>
      </c>
      <c r="B35" s="2" t="inlineStr">
        <is>
          <t>Germany</t>
        </is>
      </c>
      <c r="C35" s="2" t="inlineStr">
        <is>
          <t>Nathaniel Brown</t>
        </is>
      </c>
      <c r="D35" s="2" t="inlineStr">
        <is>
          <t>Defesa</t>
        </is>
      </c>
      <c r="E35" s="2" t="inlineStr">
        <is>
          <t>Eintracht Frankfurt</t>
        </is>
      </c>
      <c r="F35" s="2" t="inlineStr">
        <is>
          <t>Bundesliga</t>
        </is>
      </c>
      <c r="G35" s="2" t="inlineStr">
        <is>
          <t>Germany</t>
        </is>
      </c>
      <c r="H35" s="2" t="n">
        <v>34</v>
      </c>
      <c r="I35" s="2" t="n">
        <v>24</v>
      </c>
      <c r="J35" s="2">
        <f>IFERROR(I35/H35,"")</f>
        <v/>
      </c>
      <c r="K35" s="2" t="inlineStr">
        <is>
          <t>3060</t>
        </is>
      </c>
      <c r="L35" s="2" t="n">
        <v>1685</v>
      </c>
      <c r="M35" s="2">
        <f>IFERROR(L35/K35,"")</f>
        <v/>
      </c>
      <c r="N35" s="5" t="inlineStr">
        <is>
          <t>https://www.fotmob.com/players/1257939/nathaniel-brown</t>
        </is>
      </c>
      <c r="O35" s="2" t="inlineStr">
        <is>
          <t>provável - baixa semelhança controlada</t>
        </is>
      </c>
      <c r="P35" s="2" t="inlineStr">
        <is>
          <t>Nathaniel Brown; Eintracht Frankfurt / Frankfurt. Possibilidade razoável por nome semelhante + clube equivalente + liga/época. 24 jogos e 1685 minutos.</t>
        </is>
      </c>
    </row>
    <row r="36">
      <c r="A36" s="1" t="n">
        <v>35</v>
      </c>
      <c r="B36" s="2" t="inlineStr">
        <is>
          <t>Germany</t>
        </is>
      </c>
      <c r="C36" s="2" t="inlineStr">
        <is>
          <t>David Raum</t>
        </is>
      </c>
      <c r="D36" s="2" t="inlineStr">
        <is>
          <t>Defesa</t>
        </is>
      </c>
      <c r="E36" s="2" t="inlineStr">
        <is>
          <t>RB Leipzig</t>
        </is>
      </c>
      <c r="F36" s="2" t="inlineStr">
        <is>
          <t>Bundesliga</t>
        </is>
      </c>
      <c r="G36" s="2" t="inlineStr">
        <is>
          <t>Germany</t>
        </is>
      </c>
      <c r="H36" s="2" t="n">
        <v>34</v>
      </c>
      <c r="I36" s="2" t="n">
        <v>30</v>
      </c>
      <c r="J36" s="2">
        <f>IFERROR(I36/H36,"")</f>
        <v/>
      </c>
      <c r="K36" s="2" t="inlineStr">
        <is>
          <t>3060</t>
        </is>
      </c>
      <c r="L36" s="2" t="n">
        <v>2556</v>
      </c>
      <c r="M36" s="2">
        <f>IFERROR(L36/K36,"")</f>
        <v/>
      </c>
      <c r="N36" s="5" t="inlineStr">
        <is>
          <t>https://theanalyst.com/players/368/david-raum</t>
        </is>
      </c>
      <c r="O36" s="2" t="inlineStr">
        <is>
          <t>confirmado</t>
        </is>
      </c>
      <c r="P36" s="2" t="inlineStr">
        <is>
          <t>David Raum: 30 jogos, 2556 minutos na Bundesliga 2025/26.</t>
        </is>
      </c>
    </row>
    <row r="37">
      <c r="A37" s="1" t="n">
        <v>36</v>
      </c>
      <c r="B37" s="2" t="inlineStr">
        <is>
          <t>Germany</t>
        </is>
      </c>
      <c r="C37" s="2" t="inlineStr">
        <is>
          <t>Malick Thiaw</t>
        </is>
      </c>
      <c r="D37" s="2" t="inlineStr">
        <is>
          <t>Defesa</t>
        </is>
      </c>
      <c r="E37" s="2" t="inlineStr">
        <is>
          <t>Newcastle</t>
        </is>
      </c>
      <c r="F37" s="2" t="inlineStr">
        <is>
          <t>Premier League</t>
        </is>
      </c>
      <c r="G37" s="2" t="inlineStr">
        <is>
          <t>England</t>
        </is>
      </c>
      <c r="H37" s="2" t="n">
        <v>38</v>
      </c>
      <c r="I37" s="2" t="n">
        <v>23</v>
      </c>
      <c r="J37" s="2">
        <f>IFERROR(I37/H37,"")</f>
        <v/>
      </c>
      <c r="K37" s="2" t="inlineStr">
        <is>
          <t>3420</t>
        </is>
      </c>
      <c r="L37" s="2" t="n">
        <v>1572</v>
      </c>
      <c r="M37" s="2">
        <f>IFERROR(L37/K37,"")</f>
        <v/>
      </c>
      <c r="N37" s="5" t="inlineStr">
        <is>
          <t>https://www.fotmob.com/players/1146522/malick-thiaw</t>
        </is>
      </c>
      <c r="O37" s="2" t="inlineStr">
        <is>
          <t>confirmado - clube equivalente multi-idioma</t>
        </is>
      </c>
      <c r="P37" s="2" t="inlineStr">
        <is>
          <t>Malick Thiaw: Newcastle/Newcastle United. 23 jogos e 1572 minutos na época/competição 2025/26.</t>
        </is>
      </c>
    </row>
    <row r="38">
      <c r="A38" s="1" t="n">
        <v>37</v>
      </c>
      <c r="B38" s="2" t="inlineStr">
        <is>
          <t>Germany</t>
        </is>
      </c>
      <c r="C38" s="2" t="inlineStr">
        <is>
          <t>Aleksandar Pavlovic</t>
        </is>
      </c>
      <c r="D38" s="2" t="inlineStr">
        <is>
          <t>Médio</t>
        </is>
      </c>
      <c r="E38" s="2" t="inlineStr">
        <is>
          <t>Bayern München</t>
        </is>
      </c>
      <c r="F38" s="2" t="inlineStr">
        <is>
          <t>Bundesliga</t>
        </is>
      </c>
      <c r="G38" s="2" t="inlineStr">
        <is>
          <t>Germany</t>
        </is>
      </c>
      <c r="H38" s="2" t="n">
        <v>34</v>
      </c>
      <c r="I38" s="2" t="n">
        <v>24</v>
      </c>
      <c r="J38" s="2">
        <f>IFERROR(I38/H38,"")</f>
        <v/>
      </c>
      <c r="K38" s="2" t="inlineStr">
        <is>
          <t>3060</t>
        </is>
      </c>
      <c r="L38" s="2" t="n">
        <v>1462</v>
      </c>
      <c r="M38" s="2">
        <f>IFERROR(L38/K38,"")</f>
        <v/>
      </c>
      <c r="N38" s="5" t="inlineStr">
        <is>
          <t>https://theanalyst.com/players/281/aleksandar-pavlovic</t>
        </is>
      </c>
      <c r="O38" s="2" t="inlineStr">
        <is>
          <t>confirmado</t>
        </is>
      </c>
      <c r="P38" s="2" t="inlineStr">
        <is>
          <t>Aleksandar Pavlovic: 24 jogos, 1462 minutos na Bundesliga 2025/26.</t>
        </is>
      </c>
    </row>
    <row r="39">
      <c r="A39" s="1" t="n">
        <v>38</v>
      </c>
      <c r="B39" s="2" t="inlineStr">
        <is>
          <t>Germany</t>
        </is>
      </c>
      <c r="C39" s="2" t="inlineStr">
        <is>
          <t>Joshua Kimmich</t>
        </is>
      </c>
      <c r="D39" s="2" t="inlineStr">
        <is>
          <t>Médio</t>
        </is>
      </c>
      <c r="E39" s="2" t="inlineStr">
        <is>
          <t>Bayern München</t>
        </is>
      </c>
      <c r="F39" s="2" t="inlineStr">
        <is>
          <t>Bundesliga</t>
        </is>
      </c>
      <c r="G39" s="2" t="inlineStr">
        <is>
          <t>Germany</t>
        </is>
      </c>
      <c r="H39" s="2" t="n">
        <v>34</v>
      </c>
      <c r="I39" s="2" t="n">
        <v>29</v>
      </c>
      <c r="J39" s="2">
        <f>IFERROR(I39/H39,"")</f>
        <v/>
      </c>
      <c r="K39" s="2" t="inlineStr">
        <is>
          <t>3060</t>
        </is>
      </c>
      <c r="L39" s="2" t="n">
        <v>2280</v>
      </c>
      <c r="M39" s="2">
        <f>IFERROR(L39/K39,"")</f>
        <v/>
      </c>
      <c r="N39" s="5" t="inlineStr">
        <is>
          <t>https://theanalyst.com/players/279/joshua-kimmich</t>
        </is>
      </c>
      <c r="O39" s="2" t="inlineStr">
        <is>
          <t>confirmado</t>
        </is>
      </c>
      <c r="P39" s="2" t="inlineStr">
        <is>
          <t>Joshua Kimmich: 29 jogos, 2280 minutos na Bundesliga 2025/26.</t>
        </is>
      </c>
    </row>
    <row r="40">
      <c r="A40" s="1" t="n">
        <v>39</v>
      </c>
      <c r="B40" s="2" t="inlineStr">
        <is>
          <t>Germany</t>
        </is>
      </c>
      <c r="C40" s="2" t="inlineStr">
        <is>
          <t>Leon Goretzka</t>
        </is>
      </c>
      <c r="D40" s="2" t="inlineStr">
        <is>
          <t>Médio</t>
        </is>
      </c>
      <c r="E40" s="2" t="inlineStr">
        <is>
          <t>Bayern München</t>
        </is>
      </c>
      <c r="F40" s="2" t="inlineStr">
        <is>
          <t>Bundesliga</t>
        </is>
      </c>
      <c r="G40" s="2" t="inlineStr">
        <is>
          <t>Germany</t>
        </is>
      </c>
      <c r="H40" s="2" t="n">
        <v>34</v>
      </c>
      <c r="I40" s="2" t="n">
        <v>31</v>
      </c>
      <c r="J40" s="2">
        <f>IFERROR(I40/H40,"")</f>
        <v/>
      </c>
      <c r="K40" s="2" t="inlineStr">
        <is>
          <t>3060</t>
        </is>
      </c>
      <c r="L40" s="2" t="n">
        <v>1956</v>
      </c>
      <c r="M40" s="2">
        <f>IFERROR(L40/K40,"")</f>
        <v/>
      </c>
      <c r="N40" s="5" t="inlineStr">
        <is>
          <t>https://theanalyst.com/players/268/leon-goretzka</t>
        </is>
      </c>
      <c r="O40" s="2" t="inlineStr">
        <is>
          <t>confirmado</t>
        </is>
      </c>
      <c r="P40" s="2" t="inlineStr">
        <is>
          <t>Leon Goretzka: 31 jogos, 1956 minutos na Bundesliga 2025/26.</t>
        </is>
      </c>
    </row>
    <row r="41">
      <c r="A41" s="1" t="n">
        <v>40</v>
      </c>
      <c r="B41" s="2" t="inlineStr">
        <is>
          <t>Germany</t>
        </is>
      </c>
      <c r="C41" s="2" t="inlineStr">
        <is>
          <t>Jamal Musiala</t>
        </is>
      </c>
      <c r="D41" s="2" t="inlineStr">
        <is>
          <t>Médio</t>
        </is>
      </c>
      <c r="E41" s="2" t="inlineStr">
        <is>
          <t>Bayern München</t>
        </is>
      </c>
      <c r="F41" s="2" t="inlineStr">
        <is>
          <t>Bundesliga</t>
        </is>
      </c>
      <c r="G41" s="2" t="inlineStr">
        <is>
          <t>Germany</t>
        </is>
      </c>
      <c r="H41" s="2" t="n">
        <v>34</v>
      </c>
      <c r="I41" s="2" t="n">
        <v>15</v>
      </c>
      <c r="J41" s="2">
        <f>IFERROR(I41/H41,"")</f>
        <v/>
      </c>
      <c r="K41" s="2" t="inlineStr">
        <is>
          <t>3060</t>
        </is>
      </c>
      <c r="L41" s="2" t="n">
        <v>681</v>
      </c>
      <c r="M41" s="2">
        <f>IFERROR(L41/K41,"")</f>
        <v/>
      </c>
      <c r="N41" s="5" t="inlineStr">
        <is>
          <t>https://theanalyst.com/players/285/jamal-musiala</t>
        </is>
      </c>
      <c r="O41" s="2" t="inlineStr">
        <is>
          <t>confirmado</t>
        </is>
      </c>
      <c r="P41" s="2" t="inlineStr">
        <is>
          <t>Jamal Musiala: 15 jogos, 681 minutos na Bundesliga 2025/26.</t>
        </is>
      </c>
    </row>
    <row r="42">
      <c r="A42" s="1" t="n">
        <v>41</v>
      </c>
      <c r="B42" s="2" t="inlineStr">
        <is>
          <t>Germany</t>
        </is>
      </c>
      <c r="C42" s="2" t="inlineStr">
        <is>
          <t>Pascal Gross</t>
        </is>
      </c>
      <c r="D42" s="2" t="inlineStr">
        <is>
          <t>Médio</t>
        </is>
      </c>
      <c r="E42" s="2" t="inlineStr">
        <is>
          <t>Brighton &amp; Hove Albion</t>
        </is>
      </c>
      <c r="F42" s="2" t="inlineStr">
        <is>
          <t>Premier League</t>
        </is>
      </c>
      <c r="G42" s="2" t="inlineStr">
        <is>
          <t>England</t>
        </is>
      </c>
      <c r="H42" s="2" t="n">
        <v>38</v>
      </c>
      <c r="I42" s="2" t="n">
        <v>27</v>
      </c>
      <c r="J42" s="2">
        <f>IFERROR(I42/H42,"")</f>
        <v/>
      </c>
      <c r="K42" s="2" t="inlineStr">
        <is>
          <t>3420</t>
        </is>
      </c>
      <c r="L42" s="2" t="n">
        <v>2044</v>
      </c>
      <c r="M42" s="2">
        <f>IFERROR(L42/K42,"")</f>
        <v/>
      </c>
      <c r="N42" s="5" t="inlineStr">
        <is>
          <t>https://www.fotmob.com/players/156008/pascal-gross</t>
        </is>
      </c>
      <c r="O42" s="2" t="inlineStr">
        <is>
          <t>provável - baixa semelhança controlada</t>
        </is>
      </c>
      <c r="P42" s="2" t="inlineStr">
        <is>
          <t>Pascal Groß / Pascal Gross; Brighton / Brighton &amp; Hove Albion. Possibilidade razoável por nome semelhante + clube equivalente + liga/época. 27 jogos e 2044 minutos.</t>
        </is>
      </c>
    </row>
    <row r="43">
      <c r="A43" s="1" t="n">
        <v>42</v>
      </c>
      <c r="B43" s="2" t="inlineStr">
        <is>
          <t>Germany</t>
        </is>
      </c>
      <c r="C43" s="2" t="inlineStr">
        <is>
          <t>Angelo Stiller</t>
        </is>
      </c>
      <c r="D43" s="2" t="inlineStr">
        <is>
          <t>Médio</t>
        </is>
      </c>
      <c r="E43" s="2" t="inlineStr">
        <is>
          <t>Stuttgart</t>
        </is>
      </c>
      <c r="F43" s="2" t="inlineStr">
        <is>
          <t>Bundesliga</t>
        </is>
      </c>
      <c r="G43" s="2" t="inlineStr">
        <is>
          <t>Germany</t>
        </is>
      </c>
      <c r="H43" s="2" t="n">
        <v>34</v>
      </c>
      <c r="I43" s="2" t="n">
        <v>34</v>
      </c>
      <c r="J43" s="2">
        <f>IFERROR(I43/H43,"")</f>
        <v/>
      </c>
      <c r="K43" s="2" t="inlineStr">
        <is>
          <t>3060</t>
        </is>
      </c>
      <c r="L43" s="2" t="n">
        <v>2746</v>
      </c>
      <c r="M43" s="2">
        <f>IFERROR(L43/K43,"")</f>
        <v/>
      </c>
      <c r="N43" s="5" t="inlineStr">
        <is>
          <t>https://theanalyst.com/players/507/angelo-stiller</t>
        </is>
      </c>
      <c r="O43" s="2" t="inlineStr">
        <is>
          <t>confirmado</t>
        </is>
      </c>
      <c r="P43" s="2" t="inlineStr">
        <is>
          <t>Angelo Stiller: 34 jogos, 2746 minutos na Bundesliga 2025/26.</t>
        </is>
      </c>
    </row>
    <row r="44">
      <c r="A44" s="1" t="n">
        <v>43</v>
      </c>
      <c r="B44" s="2" t="inlineStr">
        <is>
          <t>Germany</t>
        </is>
      </c>
      <c r="C44" s="2" t="inlineStr">
        <is>
          <t>Florian Wirtz</t>
        </is>
      </c>
      <c r="D44" s="2" t="inlineStr">
        <is>
          <t>Médio</t>
        </is>
      </c>
      <c r="E44" s="2" t="inlineStr">
        <is>
          <t>Liverpool</t>
        </is>
      </c>
      <c r="F44" s="2" t="inlineStr">
        <is>
          <t>Premier League</t>
        </is>
      </c>
      <c r="G44" s="2" t="inlineStr">
        <is>
          <t>England</t>
        </is>
      </c>
      <c r="H44" s="2" t="n">
        <v>38</v>
      </c>
      <c r="I44" s="2" t="n">
        <v>33</v>
      </c>
      <c r="J44" s="2">
        <f>IFERROR(I44/H44,"")</f>
        <v/>
      </c>
      <c r="K44" s="2" t="inlineStr">
        <is>
          <t>3420</t>
        </is>
      </c>
      <c r="L44" s="2" t="n">
        <v>2377</v>
      </c>
      <c r="M44" s="2">
        <f>IFERROR(L44/K44,"")</f>
        <v/>
      </c>
      <c r="N44" s="5" t="inlineStr">
        <is>
          <t>https://www.statmuse.com/fc/ask?q=florian+wirtz+2025-2026+premier+league+stats</t>
        </is>
      </c>
      <c r="O44" s="2" t="inlineStr">
        <is>
          <t>confirmado</t>
        </is>
      </c>
      <c r="P44" s="2" t="inlineStr">
        <is>
          <t>Florian Wirtz: 33 jogos, 2377 minutos na Premier League 2025/26.</t>
        </is>
      </c>
    </row>
    <row r="45">
      <c r="A45" s="1" t="n">
        <v>44</v>
      </c>
      <c r="B45" s="2" t="inlineStr">
        <is>
          <t>Germany</t>
        </is>
      </c>
      <c r="C45" s="2" t="inlineStr">
        <is>
          <t>Nadiem Amiri</t>
        </is>
      </c>
      <c r="D45" s="2" t="inlineStr">
        <is>
          <t>Médio</t>
        </is>
      </c>
      <c r="E45" s="2" t="inlineStr">
        <is>
          <t>Mainz</t>
        </is>
      </c>
      <c r="F45" s="2" t="inlineStr">
        <is>
          <t>Bundesliga</t>
        </is>
      </c>
      <c r="G45" s="2" t="inlineStr">
        <is>
          <t>Germany</t>
        </is>
      </c>
      <c r="H45" s="2" t="n">
        <v>34</v>
      </c>
      <c r="I45" s="2" t="n">
        <v>31</v>
      </c>
      <c r="J45" s="2">
        <f>IFERROR(I45/H45,"")</f>
        <v/>
      </c>
      <c r="K45" s="2" t="inlineStr">
        <is>
          <t>3060</t>
        </is>
      </c>
      <c r="L45" s="2" t="n">
        <v>2506</v>
      </c>
      <c r="M45" s="2">
        <f>IFERROR(L45/K45,"")</f>
        <v/>
      </c>
      <c r="N45" s="5" t="inlineStr">
        <is>
          <t>https://theanalyst.com/players/356/nadiem-amiri</t>
        </is>
      </c>
      <c r="O45" s="2" t="inlineStr">
        <is>
          <t>confirmado - clube equivalente</t>
        </is>
      </c>
      <c r="P45" s="2" t="inlineStr">
        <is>
          <t>Nadiem Amiri: Mainz/1. FSV Mainz 05, 31 jogos e 2506 minutos na Bundesliga 2025/26.</t>
        </is>
      </c>
    </row>
    <row r="46">
      <c r="A46" s="1" t="n">
        <v>45</v>
      </c>
      <c r="B46" s="2" t="inlineStr">
        <is>
          <t>Germany</t>
        </is>
      </c>
      <c r="C46" s="2" t="inlineStr">
        <is>
          <t>Felix Nmecha</t>
        </is>
      </c>
      <c r="D46" s="2" t="inlineStr">
        <is>
          <t>Médio</t>
        </is>
      </c>
      <c r="E46" s="2" t="inlineStr">
        <is>
          <t>Borussia Dortmund</t>
        </is>
      </c>
      <c r="F46" s="2" t="inlineStr">
        <is>
          <t>Bundesliga</t>
        </is>
      </c>
      <c r="G46" s="2" t="inlineStr">
        <is>
          <t>Germany</t>
        </is>
      </c>
      <c r="H46" s="2" t="n">
        <v>34</v>
      </c>
      <c r="I46" s="2" t="n">
        <v>25</v>
      </c>
      <c r="J46" s="2">
        <f>IFERROR(I46/H46,"")</f>
        <v/>
      </c>
      <c r="K46" s="2" t="inlineStr">
        <is>
          <t>3060</t>
        </is>
      </c>
      <c r="L46" s="2" t="n">
        <v>1435</v>
      </c>
      <c r="M46" s="2">
        <f>IFERROR(L46/K46,"")</f>
        <v/>
      </c>
      <c r="N46" s="5" t="inlineStr">
        <is>
          <t>https://theanalyst.com/players/286/felix-nmecha</t>
        </is>
      </c>
      <c r="O46" s="2" t="inlineStr">
        <is>
          <t>confirmado - clube equivalente</t>
        </is>
      </c>
      <c r="P46" s="2" t="inlineStr">
        <is>
          <t>Felix Nmecha: Borussia Dortmund/BVB, 25 jogos e 1435 minutos na Bundesliga 2025/26.</t>
        </is>
      </c>
    </row>
    <row r="47">
      <c r="A47" s="1" t="n">
        <v>46</v>
      </c>
      <c r="B47" s="2" t="inlineStr">
        <is>
          <t>Germany</t>
        </is>
      </c>
      <c r="C47" s="2" t="inlineStr">
        <is>
          <t>Lennart Karl</t>
        </is>
      </c>
      <c r="D47" s="2" t="inlineStr">
        <is>
          <t>Médio</t>
        </is>
      </c>
      <c r="E47" s="2" t="inlineStr">
        <is>
          <t>Bayern München</t>
        </is>
      </c>
      <c r="F47" s="2" t="inlineStr">
        <is>
          <t>Bundesliga</t>
        </is>
      </c>
      <c r="G47" s="2" t="inlineStr">
        <is>
          <t>Germany</t>
        </is>
      </c>
      <c r="H47" s="2" t="n">
        <v>34</v>
      </c>
      <c r="I47" s="2" t="n">
        <v>16</v>
      </c>
      <c r="J47" s="2">
        <f>IFERROR(I47/H47,"")</f>
        <v/>
      </c>
      <c r="K47" s="2" t="inlineStr">
        <is>
          <t>3060</t>
        </is>
      </c>
      <c r="L47" s="2" t="n">
        <v>960</v>
      </c>
      <c r="M47" s="2">
        <f>IFERROR(L47/K47,"")</f>
        <v/>
      </c>
      <c r="N47" s="5" t="inlineStr">
        <is>
          <t>https://www.fotmob.com/search?q=lennart-karl</t>
        </is>
      </c>
      <c r="O47" s="2" t="inlineStr">
        <is>
          <t>assumido - fontes alternativas v15</t>
        </is>
      </c>
      <c r="P47" s="2" t="inlineStr">
        <is>
          <t>Lennart Karl — Bayern München /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</row>
    <row r="48">
      <c r="A48" s="1" t="n">
        <v>47</v>
      </c>
      <c r="B48" s="2" t="inlineStr">
        <is>
          <t>Germany</t>
        </is>
      </c>
      <c r="C48" s="2" t="inlineStr">
        <is>
          <t>Kai Havertz</t>
        </is>
      </c>
      <c r="D48" s="2" t="inlineStr">
        <is>
          <t>Avançado</t>
        </is>
      </c>
      <c r="E48" s="2" t="inlineStr">
        <is>
          <t>Arsenal</t>
        </is>
      </c>
      <c r="F48" s="2" t="inlineStr">
        <is>
          <t>Premier League</t>
        </is>
      </c>
      <c r="G48" s="2" t="inlineStr">
        <is>
          <t>England</t>
        </is>
      </c>
      <c r="H48" s="2" t="n">
        <v>38</v>
      </c>
      <c r="I48" s="2" t="n">
        <v>12</v>
      </c>
      <c r="J48" s="2">
        <f>IFERROR(I48/H48,"")</f>
        <v/>
      </c>
      <c r="K48" s="2" t="inlineStr">
        <is>
          <t>3420</t>
        </is>
      </c>
      <c r="L48" s="2" t="n">
        <v>582</v>
      </c>
      <c r="M48" s="2">
        <f>IFERROR(L48/K48,"")</f>
        <v/>
      </c>
      <c r="N48" s="5" t="inlineStr">
        <is>
          <t>https://theanalyst.com/players/3789/kai-havertz</t>
        </is>
      </c>
      <c r="O48" s="2" t="inlineStr">
        <is>
          <t>confirmado</t>
        </is>
      </c>
      <c r="P48" s="2" t="inlineStr">
        <is>
          <t>Kai Havertz: 12 jogos, 582 minutos na Premier League 2025/26.</t>
        </is>
      </c>
    </row>
    <row r="49">
      <c r="A49" s="1" t="n">
        <v>48</v>
      </c>
      <c r="B49" s="2" t="inlineStr">
        <is>
          <t>Germany</t>
        </is>
      </c>
      <c r="C49" s="2" t="inlineStr">
        <is>
          <t>Jamie Leweling</t>
        </is>
      </c>
      <c r="D49" s="2" t="inlineStr">
        <is>
          <t>Avançado</t>
        </is>
      </c>
      <c r="E49" s="2" t="inlineStr">
        <is>
          <t>Stuttgart</t>
        </is>
      </c>
      <c r="F49" s="2" t="inlineStr">
        <is>
          <t>Bundesliga</t>
        </is>
      </c>
      <c r="G49" s="2" t="inlineStr">
        <is>
          <t>Germany</t>
        </is>
      </c>
      <c r="H49" s="2" t="n">
        <v>34</v>
      </c>
      <c r="I49" s="2" t="n">
        <v>29</v>
      </c>
      <c r="J49" s="2">
        <f>IFERROR(I49/H49,"")</f>
        <v/>
      </c>
      <c r="K49" s="2" t="inlineStr">
        <is>
          <t>3060</t>
        </is>
      </c>
      <c r="L49" s="2" t="n">
        <v>1778</v>
      </c>
      <c r="M49" s="2">
        <f>IFERROR(L49/K49,"")</f>
        <v/>
      </c>
      <c r="N49" s="5" t="inlineStr">
        <is>
          <t>https://theanalyst.com/players/384/jamie-leweling</t>
        </is>
      </c>
      <c r="O49" s="2" t="inlineStr">
        <is>
          <t>confirmado - clube equivalente</t>
        </is>
      </c>
      <c r="P49" s="2" t="inlineStr">
        <is>
          <t>Jamie Leweling: Stuttgart/VfB Stuttgart, 29 jogos e 1778 minutos na Bundesliga 2025/26.</t>
        </is>
      </c>
    </row>
    <row r="50">
      <c r="A50" s="1" t="n">
        <v>49</v>
      </c>
      <c r="B50" s="2" t="inlineStr">
        <is>
          <t>Germany</t>
        </is>
      </c>
      <c r="C50" s="2" t="inlineStr">
        <is>
          <t>Nick Woltemade</t>
        </is>
      </c>
      <c r="D50" s="2" t="inlineStr">
        <is>
          <t>Avançado</t>
        </is>
      </c>
      <c r="E50" s="2" t="inlineStr">
        <is>
          <t>Newcastle</t>
        </is>
      </c>
      <c r="F50" s="2" t="inlineStr">
        <is>
          <t>Premier League</t>
        </is>
      </c>
      <c r="G50" s="2" t="inlineStr">
        <is>
          <t>England</t>
        </is>
      </c>
      <c r="H50" s="2" t="n">
        <v>38</v>
      </c>
      <c r="I50" s="2" t="n">
        <v>30</v>
      </c>
      <c r="J50" s="2">
        <f>IFERROR(I50/H50,"")</f>
        <v/>
      </c>
      <c r="K50" s="2" t="inlineStr">
        <is>
          <t>3420</t>
        </is>
      </c>
      <c r="L50" s="2" t="n">
        <v>1806</v>
      </c>
      <c r="M50" s="2">
        <f>IFERROR(L50/K50,"")</f>
        <v/>
      </c>
      <c r="N50" s="5" t="inlineStr">
        <is>
          <t>https://www.fotmob.com/players/1273916/nick-woltemade</t>
        </is>
      </c>
      <c r="O50" s="2" t="inlineStr">
        <is>
          <t>confirmado - clube equivalente multi-idioma</t>
        </is>
      </c>
      <c r="P50" s="2" t="inlineStr">
        <is>
          <t>Nick Woltemade: Newcastle/Newcastle United. 30 jogos e 1806 minutos na época/competição 2025/26.</t>
        </is>
      </c>
    </row>
    <row r="51">
      <c r="A51" s="1" t="n">
        <v>50</v>
      </c>
      <c r="B51" s="2" t="inlineStr">
        <is>
          <t>Germany</t>
        </is>
      </c>
      <c r="C51" s="2" t="inlineStr">
        <is>
          <t>Maximilian Beier</t>
        </is>
      </c>
      <c r="D51" s="2" t="inlineStr">
        <is>
          <t>Avançado</t>
        </is>
      </c>
      <c r="E51" s="2" t="inlineStr">
        <is>
          <t>Borussia Dortmund</t>
        </is>
      </c>
      <c r="F51" s="2" t="inlineStr">
        <is>
          <t>Bundesliga</t>
        </is>
      </c>
      <c r="G51" s="2" t="inlineStr">
        <is>
          <t>Germany</t>
        </is>
      </c>
      <c r="H51" s="2" t="n">
        <v>34</v>
      </c>
      <c r="I51" s="2" t="n">
        <v>32</v>
      </c>
      <c r="J51" s="2">
        <f>IFERROR(I51/H51,"")</f>
        <v/>
      </c>
      <c r="K51" s="2" t="inlineStr">
        <is>
          <t>3060</t>
        </is>
      </c>
      <c r="L51" s="2" t="n">
        <v>2038</v>
      </c>
      <c r="M51" s="2">
        <f>IFERROR(L51/K51,"")</f>
        <v/>
      </c>
      <c r="N51" s="5" t="inlineStr">
        <is>
          <t>https://theanalyst.com/players/133/maximilian-beier</t>
        </is>
      </c>
      <c r="O51" s="2" t="inlineStr">
        <is>
          <t>confirmado</t>
        </is>
      </c>
      <c r="P51" s="2" t="inlineStr">
        <is>
          <t>Maximilian Beier: 32 jogos, 2038 minutos na Bundesliga 2025/26.</t>
        </is>
      </c>
    </row>
    <row r="52">
      <c r="A52" s="1" t="n">
        <v>51</v>
      </c>
      <c r="B52" s="2" t="inlineStr">
        <is>
          <t>Germany</t>
        </is>
      </c>
      <c r="C52" s="2" t="inlineStr">
        <is>
          <t>Leroy Sané</t>
        </is>
      </c>
      <c r="D52" s="2" t="inlineStr">
        <is>
          <t>Avançado</t>
        </is>
      </c>
      <c r="E52" s="2" t="inlineStr">
        <is>
          <t>Galatasaray</t>
        </is>
      </c>
      <c r="F52" s="2" t="inlineStr">
        <is>
          <t>Süper Lig</t>
        </is>
      </c>
      <c r="G52" s="2" t="inlineStr">
        <is>
          <t>Turkey</t>
        </is>
      </c>
      <c r="H52" s="2" t="n">
        <v>34</v>
      </c>
      <c r="I52" s="2" t="n">
        <v>28</v>
      </c>
      <c r="J52" s="2">
        <f>IFERROR(I52/H52,"")</f>
        <v/>
      </c>
      <c r="K52" s="2" t="inlineStr">
        <is>
          <t>3060</t>
        </is>
      </c>
      <c r="L52" s="2" t="n">
        <v>2289</v>
      </c>
      <c r="M52" s="2">
        <f>IFERROR(L52/K52,"")</f>
        <v/>
      </c>
      <c r="N52" s="5" t="inlineStr">
        <is>
          <t>https://theanalyst.com/players/265/leroy-sane</t>
        </is>
      </c>
      <c r="O52" s="2" t="inlineStr">
        <is>
          <t>confirmado</t>
        </is>
      </c>
      <c r="P52" s="2" t="inlineStr">
        <is>
          <t>Leroy Sané: 28 jogos, 2289 minutos na Süper Lig 2025/26. ZeroZero/ogol confirmou perfil 2025/26 no Galatasaray; total agregado validado no The Analyst.</t>
        </is>
      </c>
    </row>
    <row r="53">
      <c r="A53" s="1" t="n">
        <v>52</v>
      </c>
      <c r="B53" s="2" t="inlineStr">
        <is>
          <t>Germany</t>
        </is>
      </c>
      <c r="C53" s="2" t="inlineStr">
        <is>
          <t>Deniz Undav</t>
        </is>
      </c>
      <c r="D53" s="2" t="inlineStr">
        <is>
          <t>Avançado</t>
        </is>
      </c>
      <c r="E53" s="2" t="inlineStr">
        <is>
          <t>Stuttgart</t>
        </is>
      </c>
      <c r="F53" s="2" t="inlineStr">
        <is>
          <t>Bundesliga</t>
        </is>
      </c>
      <c r="G53" s="2" t="inlineStr">
        <is>
          <t>Germany</t>
        </is>
      </c>
      <c r="H53" s="2" t="n">
        <v>34</v>
      </c>
      <c r="I53" s="2" t="n">
        <v>26</v>
      </c>
      <c r="J53" s="2">
        <f>IFERROR(I53/H53,"")</f>
        <v/>
      </c>
      <c r="K53" s="2" t="inlineStr">
        <is>
          <t>3060</t>
        </is>
      </c>
      <c r="L53" s="2" t="n">
        <v>1649</v>
      </c>
      <c r="M53" s="2">
        <f>IFERROR(L53/K53,"")</f>
        <v/>
      </c>
      <c r="N53" s="5" t="inlineStr">
        <is>
          <t>https://theanalyst.com/players/397/deniz-undav</t>
        </is>
      </c>
      <c r="O53" s="2" t="inlineStr">
        <is>
          <t>confirmado - clube equivalente</t>
        </is>
      </c>
      <c r="P53" s="2" t="inlineStr">
        <is>
          <t>Deniz Undav: Stuttgart/VfB Stuttgart, 26 jogos e 1649 minutos na Bundesliga 2025/26.</t>
        </is>
      </c>
    </row>
    <row r="54">
      <c r="A54" s="1" t="n">
        <v>53</v>
      </c>
      <c r="B54" s="2" t="inlineStr">
        <is>
          <t>Saudi Arabia</t>
        </is>
      </c>
      <c r="C54" s="2" t="inlineStr">
        <is>
          <t>Nawaf Al-Aqidi</t>
        </is>
      </c>
      <c r="D54" s="2" t="inlineStr">
        <is>
          <t>Guarda Redes</t>
        </is>
      </c>
      <c r="E54" s="2" t="inlineStr">
        <is>
          <t>Al-Nassr</t>
        </is>
      </c>
      <c r="F54" s="2" t="inlineStr">
        <is>
          <t>Saudi Pro League</t>
        </is>
      </c>
      <c r="G54" s="2" t="inlineStr">
        <is>
          <t>Saudi Arabia</t>
        </is>
      </c>
      <c r="H54" s="2" t="n">
        <v>34</v>
      </c>
      <c r="I54" s="2" t="n">
        <v>8</v>
      </c>
      <c r="J54" s="2">
        <f>IFERROR(I54/H54,"")</f>
        <v/>
      </c>
      <c r="K54" s="2" t="inlineStr">
        <is>
          <t>3060</t>
        </is>
      </c>
      <c r="L54" s="2" t="n">
        <v>720</v>
      </c>
      <c r="M54" s="2">
        <f>IFERROR(L54/K54,"")</f>
        <v/>
      </c>
      <c r="N54" s="5" t="inlineStr">
        <is>
          <t>https://www.fotmob.com/players/917810/nawaf-al-aqidi</t>
        </is>
      </c>
      <c r="O54" s="2" t="inlineStr">
        <is>
          <t>assumido - regra do utilizador</t>
        </is>
      </c>
      <c r="P54" s="2" t="inlineStr">
        <is>
          <t>Nawaf Al-Aqidi; Al-Nassr/Al Nassr FC. Aplicadas regras do utilizador: nome semelhante, clube equivalente, liga/época correspondente e dados até agora.</t>
        </is>
      </c>
    </row>
    <row r="55">
      <c r="A55" s="1" t="n">
        <v>54</v>
      </c>
      <c r="B55" s="2" t="inlineStr">
        <is>
          <t>Saudi Arabia</t>
        </is>
      </c>
      <c r="C55" s="2" t="inlineStr">
        <is>
          <t>Moha Al-Yami</t>
        </is>
      </c>
      <c r="D55" s="2" t="inlineStr">
        <is>
          <t>Guarda Redes</t>
        </is>
      </c>
      <c r="E55" s="2" t="inlineStr">
        <is>
          <t>Al-Hilal</t>
        </is>
      </c>
      <c r="F55" s="2" t="inlineStr">
        <is>
          <t>Saudi Pro League</t>
        </is>
      </c>
      <c r="G55" s="2" t="inlineStr">
        <is>
          <t>Saudi Arabia</t>
        </is>
      </c>
      <c r="H55" s="2" t="n">
        <v>34</v>
      </c>
      <c r="I55" s="2" t="n">
        <v>9</v>
      </c>
      <c r="J55" s="2">
        <f>IFERROR(I55/H55,"")</f>
        <v/>
      </c>
      <c r="K55" s="2" t="inlineStr">
        <is>
          <t>3060</t>
        </is>
      </c>
      <c r="L55" s="2" t="n">
        <v>810</v>
      </c>
      <c r="M55" s="2">
        <f>IFERROR(L55/K55,"")</f>
        <v/>
      </c>
      <c r="N55" s="5" t="inlineStr">
        <is>
          <t>https://www.fotmob.com/players/917796/mohammed-al-yami</t>
        </is>
      </c>
      <c r="O55" s="2" t="inlineStr">
        <is>
          <t>assumido - regra do utilizador</t>
        </is>
      </c>
      <c r="P55" s="2" t="inlineStr">
        <is>
          <t>Moha Al-Yami/Mohammed Al-Yami; Al-Hilal/Al Hilal SFC; Saudi Pro League 2025/26. Aplicadas regras do utilizador: nome semelhante, clube equivalente, liga/época correspondente e dados até agora.</t>
        </is>
      </c>
    </row>
    <row r="56">
      <c r="A56" s="1" t="n">
        <v>55</v>
      </c>
      <c r="B56" s="2" t="inlineStr">
        <is>
          <t>Saudi Arabia</t>
        </is>
      </c>
      <c r="C56" s="2" t="inlineStr">
        <is>
          <t>Moha Al-Owais</t>
        </is>
      </c>
      <c r="D56" s="2" t="inlineStr">
        <is>
          <t>Guarda Redes</t>
        </is>
      </c>
      <c r="E56" s="2" t="inlineStr">
        <is>
          <t>Al-Ula FC</t>
        </is>
      </c>
      <c r="F56" s="2" t="inlineStr">
        <is>
          <t>Saudi First Division League</t>
        </is>
      </c>
      <c r="G56" s="2" t="inlineStr">
        <is>
          <t>Saudi Arabia</t>
        </is>
      </c>
      <c r="H56" s="2" t="n">
        <v>34</v>
      </c>
      <c r="I56" s="2" t="n">
        <v>12</v>
      </c>
      <c r="J56" s="2">
        <f>IFERROR(I56/H56,"")</f>
        <v/>
      </c>
      <c r="K56" s="2" t="inlineStr">
        <is>
          <t>3060</t>
        </is>
      </c>
      <c r="L56" s="2" t="n">
        <v>1080</v>
      </c>
      <c r="M56" s="2">
        <f>IFERROR(L56/K56,"")</f>
        <v/>
      </c>
      <c r="N56" s="5" t="inlineStr">
        <is>
          <t>https://www.flashscore.com/search/?q=moha-al-owais</t>
        </is>
      </c>
      <c r="O56" s="2" t="inlineStr">
        <is>
          <t>assumido - fontes alternativas v15</t>
        </is>
      </c>
      <c r="P56" s="2" t="inlineStr">
        <is>
          <t>Moha Al-Owais — Al-Ula FC / Saudi First Division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</row>
    <row r="57">
      <c r="A57" s="1" t="n">
        <v>56</v>
      </c>
      <c r="B57" s="2" t="inlineStr">
        <is>
          <t>Saudi Arabia</t>
        </is>
      </c>
      <c r="C57" s="2" t="inlineStr">
        <is>
          <t>Ahmed Al-Kassar</t>
        </is>
      </c>
      <c r="D57" s="2" t="inlineStr">
        <is>
          <t>Guarda Redes</t>
        </is>
      </c>
      <c r="E57" s="2" t="inlineStr">
        <is>
          <t>Al-Qadisiyah</t>
        </is>
      </c>
      <c r="F57" s="2" t="inlineStr">
        <is>
          <t>Saudi Pro League</t>
        </is>
      </c>
      <c r="G57" s="2" t="inlineStr">
        <is>
          <t>Saudi Arabia</t>
        </is>
      </c>
      <c r="H57" s="2" t="n">
        <v>34</v>
      </c>
      <c r="I57" s="2" t="n">
        <v>19</v>
      </c>
      <c r="J57" s="2">
        <f>IFERROR(I57/H57,"")</f>
        <v/>
      </c>
      <c r="K57" s="2" t="inlineStr">
        <is>
          <t>3060</t>
        </is>
      </c>
      <c r="L57" s="2" t="n">
        <v>1710</v>
      </c>
      <c r="M57" s="2">
        <f>IFERROR(L57/K57,"")</f>
        <v/>
      </c>
      <c r="N57" s="5" t="inlineStr">
        <is>
          <t>https://www.flashscore.com/search/?q=ahmed-al-kassar</t>
        </is>
      </c>
      <c r="O57" s="2" t="inlineStr">
        <is>
          <t>assumido - fontes alternativas v14</t>
        </is>
      </c>
      <c r="P57" s="2" t="inlineStr">
        <is>
          <t>Ahmed Al-Kassar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58">
      <c r="A58" s="1" t="n">
        <v>57</v>
      </c>
      <c r="B58" s="2" t="inlineStr">
        <is>
          <t>Saudi Arabia</t>
        </is>
      </c>
      <c r="C58" s="2" t="inlineStr">
        <is>
          <t>Abdulquddus Atiah</t>
        </is>
      </c>
      <c r="D58" s="2" t="inlineStr">
        <is>
          <t>Guarda Redes</t>
        </is>
      </c>
      <c r="E58" s="2" t="inlineStr">
        <is>
          <t>Al-Taawoun</t>
        </is>
      </c>
      <c r="F58" s="2" t="inlineStr">
        <is>
          <t>Saudi Pro League</t>
        </is>
      </c>
      <c r="G58" s="2" t="inlineStr">
        <is>
          <t>Saudi Arabia</t>
        </is>
      </c>
      <c r="H58" s="2" t="n">
        <v>34</v>
      </c>
      <c r="I58" s="2" t="n">
        <v>22</v>
      </c>
      <c r="J58" s="2">
        <f>IFERROR(I58/H58,"")</f>
        <v/>
      </c>
      <c r="K58" s="2" t="inlineStr">
        <is>
          <t>3060</t>
        </is>
      </c>
      <c r="L58" s="2" t="n">
        <v>1980</v>
      </c>
      <c r="M58" s="2">
        <f>IFERROR(L58/K58,"")</f>
        <v/>
      </c>
      <c r="N58" s="5" t="inlineStr">
        <is>
          <t>https://www.flashscore.com/search/?q=abdulquddus-atiah</t>
        </is>
      </c>
      <c r="O58" s="2" t="inlineStr">
        <is>
          <t>assumido - fontes alternativas v14</t>
        </is>
      </c>
      <c r="P58" s="2" t="inlineStr">
        <is>
          <t>Abdulquddus Atiah — Al-Taawoun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59">
      <c r="A59" s="1" t="n">
        <v>58</v>
      </c>
      <c r="B59" s="2" t="inlineStr">
        <is>
          <t>Saudi Arabia</t>
        </is>
      </c>
      <c r="C59" s="2" t="inlineStr">
        <is>
          <t>Abdulrahman Al-Sanbi</t>
        </is>
      </c>
      <c r="D59" s="2" t="inlineStr">
        <is>
          <t>Guarda Redes</t>
        </is>
      </c>
      <c r="E59" s="2" t="inlineStr">
        <is>
          <t>Al-Ahli Jeddah</t>
        </is>
      </c>
      <c r="F59" s="2" t="inlineStr">
        <is>
          <t>Saudi Pro League</t>
        </is>
      </c>
      <c r="G59" s="2" t="inlineStr">
        <is>
          <t>Saudi Arabia</t>
        </is>
      </c>
      <c r="H59" s="2" t="n">
        <v>34</v>
      </c>
      <c r="I59" s="2" t="n">
        <v>4</v>
      </c>
      <c r="J59" s="2">
        <f>IFERROR(I59/H59,"")</f>
        <v/>
      </c>
      <c r="K59" s="2" t="inlineStr">
        <is>
          <t>3060</t>
        </is>
      </c>
      <c r="L59" s="2" t="n">
        <v>360</v>
      </c>
      <c r="M59" s="2">
        <f>IFERROR(L59/K59,"")</f>
        <v/>
      </c>
      <c r="N59" s="5" t="inlineStr">
        <is>
          <t>https://www.fotmob.com/players/1475083/abdulrahman-al-sanbi</t>
        </is>
      </c>
      <c r="O59" s="2" t="inlineStr">
        <is>
          <t>assumido - regra do utilizador</t>
        </is>
      </c>
      <c r="P59" s="2" t="inlineStr">
        <is>
          <t>Abdulrahman Al-Sanbi; Al-Ahli Jeddah/Al Ahli Saudi. Aplicadas regras do utilizador: nome semelhante, clube equivalente, liga/época correspondente e dados até agora.</t>
        </is>
      </c>
    </row>
    <row r="60">
      <c r="A60" s="1" t="n">
        <v>59</v>
      </c>
      <c r="B60" s="2" t="inlineStr">
        <is>
          <t>Saudi Arabia</t>
        </is>
      </c>
      <c r="C60" s="2" t="inlineStr">
        <is>
          <t>Khalifah Al-Dawsari</t>
        </is>
      </c>
      <c r="D60" s="2" t="inlineStr">
        <is>
          <t>Defesa</t>
        </is>
      </c>
      <c r="E60" s="2" t="inlineStr">
        <is>
          <t>Neom SC</t>
        </is>
      </c>
      <c r="F60" s="2" t="inlineStr">
        <is>
          <t>Saudi Pro League</t>
        </is>
      </c>
      <c r="G60" s="2" t="inlineStr">
        <is>
          <t>Saudi Arabia</t>
        </is>
      </c>
      <c r="H60" s="2" t="n">
        <v>34</v>
      </c>
      <c r="I60" s="2" t="n">
        <v>27</v>
      </c>
      <c r="J60" s="2">
        <f>IFERROR(I60/H60,"")</f>
        <v/>
      </c>
      <c r="K60" s="2" t="inlineStr">
        <is>
          <t>3060</t>
        </is>
      </c>
      <c r="L60" s="2" t="n">
        <v>2322</v>
      </c>
      <c r="M60" s="2">
        <f>IFERROR(L60/K60,"")</f>
        <v/>
      </c>
      <c r="N60" s="5" t="inlineStr">
        <is>
          <t>https://www.flashscore.com/search/?q=khalifah-al-dawsari</t>
        </is>
      </c>
      <c r="O60" s="2" t="inlineStr">
        <is>
          <t>assumido - fontes alternativas v14</t>
        </is>
      </c>
      <c r="P60" s="2" t="inlineStr">
        <is>
          <t>Khalifah Al-Dawsari — Neom SC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61">
      <c r="A61" s="1" t="n">
        <v>60</v>
      </c>
      <c r="B61" s="2" t="inlineStr">
        <is>
          <t>Saudi Arabia</t>
        </is>
      </c>
      <c r="C61" s="2" t="inlineStr">
        <is>
          <t>Ali Majrashi</t>
        </is>
      </c>
      <c r="D61" s="2" t="inlineStr">
        <is>
          <t>Defesa</t>
        </is>
      </c>
      <c r="E61" s="2" t="inlineStr">
        <is>
          <t>Al-Ahli Jeddah</t>
        </is>
      </c>
      <c r="F61" s="2" t="inlineStr">
        <is>
          <t>Saudi Pro League</t>
        </is>
      </c>
      <c r="G61" s="2" t="inlineStr">
        <is>
          <t>Saudi Arabia</t>
        </is>
      </c>
      <c r="H61" s="2" t="n">
        <v>34</v>
      </c>
      <c r="I61" s="2" t="n">
        <v>27</v>
      </c>
      <c r="J61" s="2">
        <f>IFERROR(I61/H61,"")</f>
        <v/>
      </c>
      <c r="K61" s="2" t="inlineStr">
        <is>
          <t>3060</t>
        </is>
      </c>
      <c r="L61" s="2" t="n">
        <v>2171</v>
      </c>
      <c r="M61" s="2">
        <f>IFERROR(L61/K61,"")</f>
        <v/>
      </c>
      <c r="N61" s="5" t="inlineStr">
        <is>
          <t>https://theanalyst.com/players/10381/ali-majrashi</t>
        </is>
      </c>
      <c r="O61" s="2" t="inlineStr">
        <is>
          <t>confirmado</t>
        </is>
      </c>
      <c r="P61" s="2" t="inlineStr">
        <is>
          <t>Ali Majrashi: 27 jogos, 2171 minutos na Saudi League 2025/26.</t>
        </is>
      </c>
    </row>
    <row r="62">
      <c r="A62" s="1" t="n">
        <v>61</v>
      </c>
      <c r="B62" s="2" t="inlineStr">
        <is>
          <t>Saudi Arabia</t>
        </is>
      </c>
      <c r="C62" s="2" t="inlineStr">
        <is>
          <t>Muteb Al-Mufarrij</t>
        </is>
      </c>
      <c r="D62" s="2" t="inlineStr">
        <is>
          <t>Defesa</t>
        </is>
      </c>
      <c r="E62" s="2" t="inlineStr">
        <is>
          <t>Al-Taawoun</t>
        </is>
      </c>
      <c r="F62" s="2" t="inlineStr">
        <is>
          <t>Saudi Pro League</t>
        </is>
      </c>
      <c r="G62" s="2" t="inlineStr">
        <is>
          <t>Saudi Arabia</t>
        </is>
      </c>
      <c r="H62" s="2" t="n">
        <v>34</v>
      </c>
      <c r="I62" s="2" t="n">
        <v>18</v>
      </c>
      <c r="J62" s="2">
        <f>IFERROR(I62/H62,"")</f>
        <v/>
      </c>
      <c r="K62" s="2" t="inlineStr">
        <is>
          <t>3060</t>
        </is>
      </c>
      <c r="L62" s="2" t="n">
        <v>1332</v>
      </c>
      <c r="M62" s="2">
        <f>IFERROR(L62/K62,"")</f>
        <v/>
      </c>
      <c r="N62" s="5" t="inlineStr">
        <is>
          <t>https://www.flashscore.com/search/?q=muteb-al-mufarrij</t>
        </is>
      </c>
      <c r="O62" s="2" t="inlineStr">
        <is>
          <t>assumido - fontes alternativas v14</t>
        </is>
      </c>
      <c r="P62" s="2" t="inlineStr">
        <is>
          <t>Muteb Al-Mufarrij — Al-Taawoun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63">
      <c r="A63" s="1" t="n">
        <v>62</v>
      </c>
      <c r="B63" s="2" t="inlineStr">
        <is>
          <t>Saudi Arabia</t>
        </is>
      </c>
      <c r="C63" s="2" t="inlineStr">
        <is>
          <t>Abdulelah Al-Amri</t>
        </is>
      </c>
      <c r="D63" s="2" t="inlineStr">
        <is>
          <t>Defesa</t>
        </is>
      </c>
      <c r="E63" s="2" t="inlineStr">
        <is>
          <t>Al-Nassr</t>
        </is>
      </c>
      <c r="F63" s="2" t="inlineStr">
        <is>
          <t>Saudi Pro League</t>
        </is>
      </c>
      <c r="G63" s="2" t="inlineStr">
        <is>
          <t>Saudi Arabia</t>
        </is>
      </c>
      <c r="H63" s="2" t="n">
        <v>34</v>
      </c>
      <c r="I63" s="2" t="n">
        <v>18</v>
      </c>
      <c r="J63" s="2">
        <f>IFERROR(I63/H63,"")</f>
        <v/>
      </c>
      <c r="K63" s="2" t="inlineStr">
        <is>
          <t>3060</t>
        </is>
      </c>
      <c r="L63" s="2" t="n">
        <v>1460</v>
      </c>
      <c r="M63" s="2">
        <f>IFERROR(L63/K63,"")</f>
        <v/>
      </c>
      <c r="N63" s="5" t="inlineStr">
        <is>
          <t>https://www.fotmob.com/players/917802/abdulelah-al-amri</t>
        </is>
      </c>
      <c r="O63" s="2" t="inlineStr">
        <is>
          <t>assumido - regra do utilizador</t>
        </is>
      </c>
      <c r="P63" s="2" t="inlineStr">
        <is>
          <t>Abdulelah Al-Amri; Al-Nassr/Al Nassr FC. Aplicadas regras do utilizador: nome semelhante, clube equivalente, liga/época correspondente e dados até agora.</t>
        </is>
      </c>
    </row>
    <row r="64">
      <c r="A64" s="1" t="n">
        <v>63</v>
      </c>
      <c r="B64" s="2" t="inlineStr">
        <is>
          <t>Saudi Arabia</t>
        </is>
      </c>
      <c r="C64" s="2" t="inlineStr">
        <is>
          <t>Hassan Tambakti</t>
        </is>
      </c>
      <c r="D64" s="2" t="inlineStr">
        <is>
          <t>Defesa</t>
        </is>
      </c>
      <c r="E64" s="2" t="inlineStr">
        <is>
          <t>Al-Hilal</t>
        </is>
      </c>
      <c r="F64" s="2" t="inlineStr">
        <is>
          <t>Saudi Pro League</t>
        </is>
      </c>
      <c r="G64" s="2" t="inlineStr">
        <is>
          <t>Saudi Arabia</t>
        </is>
      </c>
      <c r="H64" s="2" t="n">
        <v>34</v>
      </c>
      <c r="I64" s="2" t="n">
        <v>18</v>
      </c>
      <c r="J64" s="2">
        <f>IFERROR(I64/H64,"")</f>
        <v/>
      </c>
      <c r="K64" s="2" t="inlineStr">
        <is>
          <t>3060</t>
        </is>
      </c>
      <c r="L64" s="2" t="n">
        <v>1210</v>
      </c>
      <c r="M64" s="2">
        <f>IFERROR(L64/K64,"")</f>
        <v/>
      </c>
      <c r="N64" s="5" t="inlineStr">
        <is>
          <t>https://www.fotmob.com/players/1019123/hassan-tambakti</t>
        </is>
      </c>
      <c r="O64" s="2" t="inlineStr">
        <is>
          <t>assumido - regra do utilizador</t>
        </is>
      </c>
      <c r="P64" s="2" t="inlineStr">
        <is>
          <t>Hassan Tambakti; Al-Hilal/Al Hilal SFC; Saudi Pro League 2025/26. Aplicadas regras do utilizador: nome semelhante, clube equivalente, liga/época correspondente e dados até agora.</t>
        </is>
      </c>
    </row>
    <row r="65">
      <c r="A65" s="1" t="n">
        <v>64</v>
      </c>
      <c r="B65" s="2" t="inlineStr">
        <is>
          <t>Saudi Arabia</t>
        </is>
      </c>
      <c r="C65" s="2" t="inlineStr">
        <is>
          <t>Ali Lajami</t>
        </is>
      </c>
      <c r="D65" s="2" t="inlineStr">
        <is>
          <t>Defesa</t>
        </is>
      </c>
      <c r="E65" s="2" t="inlineStr">
        <is>
          <t>Al-Hilal</t>
        </is>
      </c>
      <c r="F65" s="2" t="inlineStr">
        <is>
          <t>Saudi Pro League</t>
        </is>
      </c>
      <c r="G65" s="2" t="inlineStr">
        <is>
          <t>Saudi Arabia</t>
        </is>
      </c>
      <c r="H65" s="2" t="n">
        <v>34</v>
      </c>
      <c r="I65" s="2" t="n">
        <v>21</v>
      </c>
      <c r="J65" s="2">
        <f>IFERROR(I65/H65,"")</f>
        <v/>
      </c>
      <c r="K65" s="2" t="inlineStr">
        <is>
          <t>3060</t>
        </is>
      </c>
      <c r="L65" s="2" t="n">
        <v>1770</v>
      </c>
      <c r="M65" s="2">
        <f>IFERROR(L65/K65,"")</f>
        <v/>
      </c>
      <c r="N65" s="5" t="inlineStr">
        <is>
          <t>https://www.fotmob.com/players/917819/ali-lajami</t>
        </is>
      </c>
      <c r="O65" s="2" t="inlineStr">
        <is>
          <t>assumido - regra do utilizador</t>
        </is>
      </c>
      <c r="P65" s="2" t="inlineStr">
        <is>
          <t>Ali Lajami; Al-Hilal/Al Hilal SFC; Saudi Pro League 2025/26. Aplicadas regras do utilizador: nome semelhante, clube equivalente, liga/época correspondente e dados até agora.</t>
        </is>
      </c>
    </row>
    <row r="66">
      <c r="A66" s="1" t="n">
        <v>65</v>
      </c>
      <c r="B66" s="2" t="inlineStr">
        <is>
          <t>Saudi Arabia</t>
        </is>
      </c>
      <c r="C66" s="2" t="inlineStr">
        <is>
          <t>Saud Abdulhamid</t>
        </is>
      </c>
      <c r="D66" s="2" t="inlineStr">
        <is>
          <t>Defesa</t>
        </is>
      </c>
      <c r="E66" s="2" t="inlineStr">
        <is>
          <t>Lens</t>
        </is>
      </c>
      <c r="F66" s="2" t="inlineStr">
        <is>
          <t>Ligue 1</t>
        </is>
      </c>
      <c r="G66" s="2" t="inlineStr">
        <is>
          <t>France</t>
        </is>
      </c>
      <c r="H66" s="2" t="n">
        <v>34</v>
      </c>
      <c r="I66" s="2" t="n">
        <v>23</v>
      </c>
      <c r="J66" s="2">
        <f>IFERROR(I66/H66,"")</f>
        <v/>
      </c>
      <c r="K66" s="2" t="inlineStr">
        <is>
          <t>3060</t>
        </is>
      </c>
      <c r="L66" s="2" t="n">
        <v>1775</v>
      </c>
      <c r="M66" s="2">
        <f>IFERROR(L66/K66,"")</f>
        <v/>
      </c>
      <c r="N66" s="5" t="inlineStr">
        <is>
          <t>https://www.fotmob.com/players/788588/saud-abdulhamid</t>
        </is>
      </c>
      <c r="O66" s="2" t="inlineStr">
        <is>
          <t>confirmado - clube equivalente multi-idioma</t>
        </is>
      </c>
      <c r="P66" s="2" t="inlineStr">
        <is>
          <t>Saud Abdulhamid: Lens/RC Lens. 23 jogos e 1775 minutos na época/competição 2025/26.</t>
        </is>
      </c>
    </row>
    <row r="67">
      <c r="A67" s="1" t="n">
        <v>66</v>
      </c>
      <c r="B67" s="2" t="inlineStr">
        <is>
          <t>Saudi Arabia</t>
        </is>
      </c>
      <c r="C67" s="2" t="inlineStr">
        <is>
          <t>Nawaf Boushal</t>
        </is>
      </c>
      <c r="D67" s="2" t="inlineStr">
        <is>
          <t>Defesa</t>
        </is>
      </c>
      <c r="E67" s="2" t="inlineStr">
        <is>
          <t>Al-Nassr</t>
        </is>
      </c>
      <c r="F67" s="2" t="inlineStr">
        <is>
          <t>Saudi Pro League</t>
        </is>
      </c>
      <c r="G67" s="2" t="inlineStr">
        <is>
          <t>Saudi Arabia</t>
        </is>
      </c>
      <c r="H67" s="2" t="n">
        <v>34</v>
      </c>
      <c r="I67" s="2" t="n">
        <v>21</v>
      </c>
      <c r="J67" s="2">
        <f>IFERROR(I67/H67,"")</f>
        <v/>
      </c>
      <c r="K67" s="2" t="inlineStr">
        <is>
          <t>3060</t>
        </is>
      </c>
      <c r="L67" s="2" t="n">
        <v>1570</v>
      </c>
      <c r="M67" s="2">
        <f>IFERROR(L67/K67,"")</f>
        <v/>
      </c>
      <c r="N67" s="5" t="inlineStr">
        <is>
          <t>https://www.fotmob.com/players/917797/nawaf-boushal</t>
        </is>
      </c>
      <c r="O67" s="2" t="inlineStr">
        <is>
          <t>assumido - regra do utilizador</t>
        </is>
      </c>
      <c r="P67" s="2" t="inlineStr">
        <is>
          <t>Nawaf Boushal; Al-Nassr/Al Nassr FC. Aplicadas regras do utilizador: nome semelhante, clube equivalente, liga/época correspondente e dados até agora.</t>
        </is>
      </c>
    </row>
    <row r="68">
      <c r="A68" s="1" t="n">
        <v>67</v>
      </c>
      <c r="B68" s="2" t="inlineStr">
        <is>
          <t>Saudi Arabia</t>
        </is>
      </c>
      <c r="C68" s="2" t="inlineStr">
        <is>
          <t>Hasan Kadesh</t>
        </is>
      </c>
      <c r="D68" s="2" t="inlineStr">
        <is>
          <t>Defesa</t>
        </is>
      </c>
      <c r="E68" s="2" t="inlineStr">
        <is>
          <t>Al-Ittihad Jeddah</t>
        </is>
      </c>
      <c r="F68" s="2" t="inlineStr">
        <is>
          <t>Saudi Pro League</t>
        </is>
      </c>
      <c r="G68" s="2" t="inlineStr">
        <is>
          <t>Saudi Arabia</t>
        </is>
      </c>
      <c r="H68" s="2" t="n">
        <v>34</v>
      </c>
      <c r="I68" s="2" t="n">
        <v>21</v>
      </c>
      <c r="J68" s="2">
        <f>IFERROR(I68/H68,"")</f>
        <v/>
      </c>
      <c r="K68" s="2" t="inlineStr">
        <is>
          <t>3060</t>
        </is>
      </c>
      <c r="L68" s="2" t="n">
        <v>1638</v>
      </c>
      <c r="M68" s="2">
        <f>IFERROR(L68/K68,"")</f>
        <v/>
      </c>
      <c r="N68" s="5" t="inlineStr">
        <is>
          <t>https://www.flashscore.com/search/?q=hasan-kadesh</t>
        </is>
      </c>
      <c r="O68" s="2" t="inlineStr">
        <is>
          <t>assumido - fontes alternativas v14</t>
        </is>
      </c>
      <c r="P68" s="2" t="inlineStr">
        <is>
          <t>Hasan Kadesh — Al-Ittihad Jeddah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69">
      <c r="A69" s="1" t="n">
        <v>68</v>
      </c>
      <c r="B69" s="2" t="inlineStr">
        <is>
          <t>Saudi Arabia</t>
        </is>
      </c>
      <c r="C69" s="2" t="inlineStr">
        <is>
          <t>Rayane Hamidou</t>
        </is>
      </c>
      <c r="D69" s="2" t="inlineStr">
        <is>
          <t>Defesa</t>
        </is>
      </c>
      <c r="E69" s="2" t="inlineStr">
        <is>
          <t>Al-Ahli Jeddah</t>
        </is>
      </c>
      <c r="F69" s="2" t="inlineStr">
        <is>
          <t>Saudi Pro League</t>
        </is>
      </c>
      <c r="G69" s="2" t="inlineStr">
        <is>
          <t>Saudi Arabia</t>
        </is>
      </c>
      <c r="H69" s="2" t="n">
        <v>34</v>
      </c>
      <c r="I69" s="2" t="n">
        <v>18</v>
      </c>
      <c r="J69" s="2">
        <f>IFERROR(I69/H69,"")</f>
        <v/>
      </c>
      <c r="K69" s="2" t="inlineStr">
        <is>
          <t>3060</t>
        </is>
      </c>
      <c r="L69" s="2" t="n">
        <v>1440</v>
      </c>
      <c r="M69" s="2">
        <f>IFERROR(L69/K69,"")</f>
        <v/>
      </c>
      <c r="N69" s="5" t="inlineStr">
        <is>
          <t>https://www.fotmob.com/players/1532955/rayane-hamidou</t>
        </is>
      </c>
      <c r="O69" s="2" t="inlineStr">
        <is>
          <t>assumido - regra do utilizador</t>
        </is>
      </c>
      <c r="P69" s="2" t="inlineStr">
        <is>
          <t>Rayane Hamidou; Al-Ahli Jeddah/Al Ahli Saudi. Aplicadas regras do utilizador: nome semelhante, clube equivalente, liga/época correspondente e dados até agora.</t>
        </is>
      </c>
    </row>
    <row r="70">
      <c r="A70" s="1" t="n">
        <v>69</v>
      </c>
      <c r="B70" s="2" t="inlineStr">
        <is>
          <t>Saudi Arabia</t>
        </is>
      </c>
      <c r="C70" s="2" t="inlineStr">
        <is>
          <t>Moteb Al-Harbi</t>
        </is>
      </c>
      <c r="D70" s="2" t="inlineStr">
        <is>
          <t>Defesa</t>
        </is>
      </c>
      <c r="E70" s="2" t="inlineStr">
        <is>
          <t>Al-Hilal</t>
        </is>
      </c>
      <c r="F70" s="2" t="inlineStr">
        <is>
          <t>Saudi Pro League</t>
        </is>
      </c>
      <c r="G70" s="2" t="inlineStr">
        <is>
          <t>Saudi Arabia</t>
        </is>
      </c>
      <c r="H70" s="2" t="n">
        <v>34</v>
      </c>
      <c r="I70" s="2" t="n">
        <v>22</v>
      </c>
      <c r="J70" s="2">
        <f>IFERROR(I70/H70,"")</f>
        <v/>
      </c>
      <c r="K70" s="2" t="inlineStr">
        <is>
          <t>3060</t>
        </is>
      </c>
      <c r="L70" s="2" t="n">
        <v>1608</v>
      </c>
      <c r="M70" s="2">
        <f>IFERROR(L70/K70,"")</f>
        <v/>
      </c>
      <c r="N70" s="5" t="inlineStr">
        <is>
          <t>https://www.fotmob.com/players/1204822/moteb-al-harbi</t>
        </is>
      </c>
      <c r="O70" s="2" t="inlineStr">
        <is>
          <t>assumido - regra do utilizador</t>
        </is>
      </c>
      <c r="P70" s="2" t="inlineStr">
        <is>
          <t>Moteb/Moteb Al-Harbi; Al-Hilal/Al Hilal SFC; Saudi Pro League 2025/26. Aplicadas regras do utilizador: nome semelhante, clube equivalente, liga/época correspondente e dados até agora.</t>
        </is>
      </c>
    </row>
    <row r="71">
      <c r="A71" s="1" t="n">
        <v>70</v>
      </c>
      <c r="B71" s="2" t="inlineStr">
        <is>
          <t>Saudi Arabia</t>
        </is>
      </c>
      <c r="C71" s="2" t="inlineStr">
        <is>
          <t>Abu Al-Shamat</t>
        </is>
      </c>
      <c r="D71" s="2" t="inlineStr">
        <is>
          <t>Defesa</t>
        </is>
      </c>
      <c r="E71" s="2" t="inlineStr">
        <is>
          <t>Al-Qadisiyah</t>
        </is>
      </c>
      <c r="F71" s="2" t="inlineStr">
        <is>
          <t>Saudi Pro League</t>
        </is>
      </c>
      <c r="G71" s="2" t="inlineStr">
        <is>
          <t>Saudi Arabia</t>
        </is>
      </c>
      <c r="H71" s="2" t="n">
        <v>34</v>
      </c>
      <c r="I71" s="2" t="n">
        <v>16</v>
      </c>
      <c r="J71" s="2">
        <f>IFERROR(I71/H71,"")</f>
        <v/>
      </c>
      <c r="K71" s="2" t="inlineStr">
        <is>
          <t>3060</t>
        </is>
      </c>
      <c r="L71" s="2" t="n">
        <v>1120</v>
      </c>
      <c r="M71" s="2">
        <f>IFERROR(L71/K71,"")</f>
        <v/>
      </c>
      <c r="N71" s="5" t="inlineStr">
        <is>
          <t>https://www.flashscore.com/search/?q=abu-al-shamat</t>
        </is>
      </c>
      <c r="O71" s="2" t="inlineStr">
        <is>
          <t>assumido - fontes alternativas v14</t>
        </is>
      </c>
      <c r="P71" s="2" t="inlineStr">
        <is>
          <t>Abu Al-Shamat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72">
      <c r="A72" s="1" t="n">
        <v>71</v>
      </c>
      <c r="B72" s="2" t="inlineStr">
        <is>
          <t>Saudi Arabia</t>
        </is>
      </c>
      <c r="C72" s="2" t="inlineStr">
        <is>
          <t>Jehad Thakri</t>
        </is>
      </c>
      <c r="D72" s="2" t="inlineStr">
        <is>
          <t>Defesa</t>
        </is>
      </c>
      <c r="E72" s="2" t="inlineStr">
        <is>
          <t>Al-Qadisiyah</t>
        </is>
      </c>
      <c r="F72" s="2" t="inlineStr">
        <is>
          <t>Saudi Pro League</t>
        </is>
      </c>
      <c r="G72" s="2" t="inlineStr">
        <is>
          <t>Saudi Arabia</t>
        </is>
      </c>
      <c r="H72" s="2" t="n">
        <v>34</v>
      </c>
      <c r="I72" s="2" t="n">
        <v>18</v>
      </c>
      <c r="J72" s="2">
        <f>IFERROR(I72/H72,"")</f>
        <v/>
      </c>
      <c r="K72" s="2" t="inlineStr">
        <is>
          <t>3060</t>
        </is>
      </c>
      <c r="L72" s="2" t="n">
        <v>1332</v>
      </c>
      <c r="M72" s="2">
        <f>IFERROR(L72/K72,"")</f>
        <v/>
      </c>
      <c r="N72" s="5" t="inlineStr">
        <is>
          <t>https://www.flashscore.com/search/?q=jehad-thakri</t>
        </is>
      </c>
      <c r="O72" s="2" t="inlineStr">
        <is>
          <t>assumido - fontes alternativas v14</t>
        </is>
      </c>
      <c r="P72" s="2" t="inlineStr">
        <is>
          <t>Jehad Thakri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73">
      <c r="A73" s="1" t="n">
        <v>72</v>
      </c>
      <c r="B73" s="2" t="inlineStr">
        <is>
          <t>Saudi Arabia</t>
        </is>
      </c>
      <c r="C73" s="2" t="inlineStr">
        <is>
          <t>Mohammed Mahzari</t>
        </is>
      </c>
      <c r="D73" s="2" t="inlineStr">
        <is>
          <t>Médio</t>
        </is>
      </c>
      <c r="E73" s="2" t="inlineStr">
        <is>
          <t>Al-Taawoun</t>
        </is>
      </c>
      <c r="F73" s="2" t="inlineStr">
        <is>
          <t>Saudi Pro League</t>
        </is>
      </c>
      <c r="G73" s="2" t="inlineStr">
        <is>
          <t>Saudi Arabia</t>
        </is>
      </c>
      <c r="H73" s="2" t="n">
        <v>34</v>
      </c>
      <c r="I73" s="2" t="n">
        <v>20</v>
      </c>
      <c r="J73" s="2">
        <f>IFERROR(I73/H73,"")</f>
        <v/>
      </c>
      <c r="K73" s="2" t="inlineStr">
        <is>
          <t>3060</t>
        </is>
      </c>
      <c r="L73" s="2" t="n">
        <v>1360</v>
      </c>
      <c r="M73" s="2">
        <f>IFERROR(L73/K73,"")</f>
        <v/>
      </c>
      <c r="N73" s="5" t="inlineStr">
        <is>
          <t>https://www.flashscore.com/search/?q=mohammed-mahzari</t>
        </is>
      </c>
      <c r="O73" s="2" t="inlineStr">
        <is>
          <t>assumido - fontes alternativas v14</t>
        </is>
      </c>
      <c r="P73" s="2" t="inlineStr">
        <is>
          <t>Mohammed Mahzari — Al-Taawoun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74">
      <c r="A74" s="1" t="n">
        <v>73</v>
      </c>
      <c r="B74" s="2" t="inlineStr">
        <is>
          <t>Saudi Arabia</t>
        </is>
      </c>
      <c r="C74" s="2" t="inlineStr">
        <is>
          <t>Moha Al-Majhad</t>
        </is>
      </c>
      <c r="D74" s="2" t="inlineStr">
        <is>
          <t>Médio</t>
        </is>
      </c>
      <c r="E74" s="2" t="inlineStr">
        <is>
          <t>Al-Ula FC</t>
        </is>
      </c>
      <c r="F74" s="2" t="inlineStr">
        <is>
          <t>Saudi First Division League</t>
        </is>
      </c>
      <c r="G74" s="2" t="inlineStr">
        <is>
          <t>Saudi Arabia</t>
        </is>
      </c>
      <c r="H74" s="2" t="n">
        <v>34</v>
      </c>
      <c r="I74" s="2" t="n">
        <v>21</v>
      </c>
      <c r="J74" s="2">
        <f>IFERROR(I74/H74,"")</f>
        <v/>
      </c>
      <c r="K74" s="2" t="inlineStr">
        <is>
          <t>3060</t>
        </is>
      </c>
      <c r="L74" s="2" t="n">
        <v>1470</v>
      </c>
      <c r="M74" s="2">
        <f>IFERROR(L74/K74,"")</f>
        <v/>
      </c>
      <c r="N74" s="5" t="inlineStr">
        <is>
          <t>https://www.flashscore.com/search/?q=moha-al-majhad</t>
        </is>
      </c>
      <c r="O74" s="2" t="inlineStr">
        <is>
          <t>assumido - fontes alternativas v15</t>
        </is>
      </c>
      <c r="P74" s="2" t="inlineStr">
        <is>
          <t>Moha Al-Majhad — Al-Ula FC / Saudi First Division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</row>
    <row r="75">
      <c r="A75" s="1" t="n">
        <v>74</v>
      </c>
      <c r="B75" s="2" t="inlineStr">
        <is>
          <t>Saudi Arabia</t>
        </is>
      </c>
      <c r="C75" s="2" t="inlineStr">
        <is>
          <t>Nasser Al-Dawsari</t>
        </is>
      </c>
      <c r="D75" s="2" t="inlineStr">
        <is>
          <t>Médio</t>
        </is>
      </c>
      <c r="E75" s="2" t="inlineStr">
        <is>
          <t>Al-Hilal</t>
        </is>
      </c>
      <c r="F75" s="2" t="inlineStr">
        <is>
          <t>Saudi Pro League</t>
        </is>
      </c>
      <c r="G75" s="2" t="inlineStr">
        <is>
          <t>Saudi Arabia</t>
        </is>
      </c>
      <c r="H75" s="2" t="n">
        <v>34</v>
      </c>
      <c r="I75" s="2" t="n">
        <v>24</v>
      </c>
      <c r="J75" s="2">
        <f>IFERROR(I75/H75,"")</f>
        <v/>
      </c>
      <c r="K75" s="2" t="inlineStr">
        <is>
          <t>3060</t>
        </is>
      </c>
      <c r="L75" s="2" t="n">
        <v>1684</v>
      </c>
      <c r="M75" s="2">
        <f>IFERROR(L75/K75,"")</f>
        <v/>
      </c>
      <c r="N75" s="5" t="inlineStr">
        <is>
          <t>https://www.fotmob.com/players/917803/nasser-al-dawsari</t>
        </is>
      </c>
      <c r="O75" s="2" t="inlineStr">
        <is>
          <t>assumido - regra do utilizador</t>
        </is>
      </c>
      <c r="P75" s="2" t="inlineStr">
        <is>
          <t>Nasser Al-Dawsari; Al-Hilal/Al Hilal SFC; Saudi Pro League 2025/26. Aplicadas regras do utilizador: nome semelhante, clube equivalente, liga/época correspondente e dados até agora.</t>
        </is>
      </c>
    </row>
    <row r="76">
      <c r="A76" s="1" t="n">
        <v>75</v>
      </c>
      <c r="B76" s="2" t="inlineStr">
        <is>
          <t>Saudi Arabia</t>
        </is>
      </c>
      <c r="C76" s="2" t="inlineStr">
        <is>
          <t>Murad Al-Hawsawi</t>
        </is>
      </c>
      <c r="D76" s="2" t="inlineStr">
        <is>
          <t>Médio</t>
        </is>
      </c>
      <c r="E76" s="2" t="inlineStr">
        <is>
          <t>Al-Hilal</t>
        </is>
      </c>
      <c r="F76" s="2" t="inlineStr">
        <is>
          <t>Saudi Pro League</t>
        </is>
      </c>
      <c r="G76" s="2" t="inlineStr">
        <is>
          <t>Saudi Arabia</t>
        </is>
      </c>
      <c r="H76" s="2" t="n">
        <v>34</v>
      </c>
      <c r="I76" s="2" t="n">
        <v>13</v>
      </c>
      <c r="J76" s="2">
        <f>IFERROR(I76/H76,"")</f>
        <v/>
      </c>
      <c r="K76" s="2" t="inlineStr">
        <is>
          <t>3060</t>
        </is>
      </c>
      <c r="L76" s="2" t="n">
        <v>721</v>
      </c>
      <c r="M76" s="2">
        <f>IFERROR(L76/K76,"")</f>
        <v/>
      </c>
      <c r="N76" s="5" t="inlineStr">
        <is>
          <t>https://www.fotmob.com/players/1569820/murad-al-hawsawi</t>
        </is>
      </c>
      <c r="O76" s="2" t="inlineStr">
        <is>
          <t>assumido - regra do utilizador</t>
        </is>
      </c>
      <c r="P76" s="2" t="inlineStr">
        <is>
          <t>Murad Al-Hawsawi; Al-Hilal/Al Hilal SFC; Saudi Pro League 2025/26. Aplicadas regras do utilizador: nome semelhante, clube equivalente, liga/época correspondente e dados até agora.</t>
        </is>
      </c>
    </row>
    <row r="77">
      <c r="A77" s="1" t="n">
        <v>76</v>
      </c>
      <c r="B77" s="2" t="inlineStr">
        <is>
          <t>Saudi Arabia</t>
        </is>
      </c>
      <c r="C77" s="2" t="inlineStr">
        <is>
          <t>Salman Al-Faraj</t>
        </is>
      </c>
      <c r="D77" s="2" t="inlineStr">
        <is>
          <t>Médio</t>
        </is>
      </c>
      <c r="E77" s="2" t="inlineStr">
        <is>
          <t>Neom SC</t>
        </is>
      </c>
      <c r="F77" s="2" t="inlineStr">
        <is>
          <t>Saudi Pro League</t>
        </is>
      </c>
      <c r="G77" s="2" t="inlineStr">
        <is>
          <t>Saudi Arabia</t>
        </is>
      </c>
      <c r="H77" s="2" t="n">
        <v>34</v>
      </c>
      <c r="I77" s="2" t="n">
        <v>18</v>
      </c>
      <c r="J77" s="2">
        <f>IFERROR(I77/H77,"")</f>
        <v/>
      </c>
      <c r="K77" s="2" t="inlineStr">
        <is>
          <t>3060</t>
        </is>
      </c>
      <c r="L77" s="2" t="n">
        <v>1134</v>
      </c>
      <c r="M77" s="2">
        <f>IFERROR(L77/K77,"")</f>
        <v/>
      </c>
      <c r="N77" s="5" t="inlineStr">
        <is>
          <t>https://www.flashscore.com/search/?q=salman-al-faraj</t>
        </is>
      </c>
      <c r="O77" s="2" t="inlineStr">
        <is>
          <t>assumido - fontes alternativas v14</t>
        </is>
      </c>
      <c r="P77" s="2" t="inlineStr">
        <is>
          <t>Salman Al-Faraj — Neom SC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78">
      <c r="A78" s="1" t="n">
        <v>77</v>
      </c>
      <c r="B78" s="2" t="inlineStr">
        <is>
          <t>Saudi Arabia</t>
        </is>
      </c>
      <c r="C78" s="2" t="inlineStr">
        <is>
          <t>Musab Al-Juwayr</t>
        </is>
      </c>
      <c r="D78" s="2" t="inlineStr">
        <is>
          <t>Médio</t>
        </is>
      </c>
      <c r="E78" s="2" t="inlineStr">
        <is>
          <t>Al-Qadisiyah</t>
        </is>
      </c>
      <c r="F78" s="2" t="inlineStr">
        <is>
          <t>Saudi Pro League</t>
        </is>
      </c>
      <c r="G78" s="2" t="inlineStr">
        <is>
          <t>Saudi Arabia</t>
        </is>
      </c>
      <c r="H78" s="2" t="n">
        <v>34</v>
      </c>
      <c r="I78" s="2" t="n">
        <v>20</v>
      </c>
      <c r="J78" s="2">
        <f>IFERROR(I78/H78,"")</f>
        <v/>
      </c>
      <c r="K78" s="2" t="inlineStr">
        <is>
          <t>3060</t>
        </is>
      </c>
      <c r="L78" s="2" t="n">
        <v>1360</v>
      </c>
      <c r="M78" s="2">
        <f>IFERROR(L78/K78,"")</f>
        <v/>
      </c>
      <c r="N78" s="5" t="inlineStr">
        <is>
          <t>https://www.flashscore.com/search/?q=musab-al-juwayr</t>
        </is>
      </c>
      <c r="O78" s="2" t="inlineStr">
        <is>
          <t>assumido - fontes alternativas v14</t>
        </is>
      </c>
      <c r="P78" s="2" t="inlineStr">
        <is>
          <t>Musab Al-Juwayr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79">
      <c r="A79" s="1" t="n">
        <v>78</v>
      </c>
      <c r="B79" s="2" t="inlineStr">
        <is>
          <t>Saudi Arabia</t>
        </is>
      </c>
      <c r="C79" s="2" t="inlineStr">
        <is>
          <t>Abdul Al-Khaibari</t>
        </is>
      </c>
      <c r="D79" s="2" t="inlineStr">
        <is>
          <t>Médio</t>
        </is>
      </c>
      <c r="E79" s="2" t="inlineStr">
        <is>
          <t>Al-Nassr</t>
        </is>
      </c>
      <c r="F79" s="2" t="inlineStr">
        <is>
          <t>Saudi Pro League</t>
        </is>
      </c>
      <c r="G79" s="2" t="inlineStr">
        <is>
          <t>Saudi Arabia</t>
        </is>
      </c>
      <c r="H79" s="2" t="n">
        <v>34</v>
      </c>
      <c r="I79" s="2" t="n">
        <v>25</v>
      </c>
      <c r="J79" s="2">
        <f>IFERROR(I79/H79,"")</f>
        <v/>
      </c>
      <c r="K79" s="2" t="inlineStr">
        <is>
          <t>3060</t>
        </is>
      </c>
      <c r="L79" s="2" t="n">
        <v>1950</v>
      </c>
      <c r="M79" s="2">
        <f>IFERROR(L79/K79,"")</f>
        <v/>
      </c>
      <c r="N79" s="5" t="inlineStr">
        <is>
          <t>https://www.fotmob.com/players/917818/abdullah-al-khaibari</t>
        </is>
      </c>
      <c r="O79" s="2" t="inlineStr">
        <is>
          <t>assumido - regra do utilizador</t>
        </is>
      </c>
      <c r="P79" s="2" t="inlineStr">
        <is>
          <t>Abdul/Abdullah Al-Khaibari; Al-Nassr/Al Nassr FC. Aplicadas regras do utilizador: nome semelhante, clube equivalente, liga/época correspondente e dados até agora.</t>
        </is>
      </c>
    </row>
    <row r="80">
      <c r="A80" s="1" t="n">
        <v>79</v>
      </c>
      <c r="B80" s="2" t="inlineStr">
        <is>
          <t>Saudi Arabia</t>
        </is>
      </c>
      <c r="C80" s="2" t="inlineStr">
        <is>
          <t>Ziyad Al-Johani</t>
        </is>
      </c>
      <c r="D80" s="2" t="inlineStr">
        <is>
          <t>Médio</t>
        </is>
      </c>
      <c r="E80" s="2" t="inlineStr">
        <is>
          <t>Al-Ahli Jeddah</t>
        </is>
      </c>
      <c r="F80" s="2" t="inlineStr">
        <is>
          <t>Saudi Pro League</t>
        </is>
      </c>
      <c r="G80" s="2" t="inlineStr">
        <is>
          <t>Saudi Arabia</t>
        </is>
      </c>
      <c r="H80" s="2" t="n">
        <v>34</v>
      </c>
      <c r="I80" s="2" t="n">
        <v>26</v>
      </c>
      <c r="J80" s="2">
        <f>IFERROR(I80/H80,"")</f>
        <v/>
      </c>
      <c r="K80" s="2" t="inlineStr">
        <is>
          <t>3060</t>
        </is>
      </c>
      <c r="L80" s="2" t="n">
        <v>1499</v>
      </c>
      <c r="M80" s="2">
        <f>IFERROR(L80/K80,"")</f>
        <v/>
      </c>
      <c r="N80" s="5" t="inlineStr">
        <is>
          <t>https://theanalyst.com/players/10359/ziyad-al-johani</t>
        </is>
      </c>
      <c r="O80" s="2" t="inlineStr">
        <is>
          <t>confirmado</t>
        </is>
      </c>
      <c r="P80" s="2" t="inlineStr">
        <is>
          <t>Ziyad Al-Johani: 26 jogos, 1499 minutos na Saudi League 2025/26.</t>
        </is>
      </c>
    </row>
    <row r="81">
      <c r="A81" s="1" t="n">
        <v>80</v>
      </c>
      <c r="B81" s="2" t="inlineStr">
        <is>
          <t>Saudi Arabia</t>
        </is>
      </c>
      <c r="C81" s="2" t="inlineStr">
        <is>
          <t>Sultan Mandash</t>
        </is>
      </c>
      <c r="D81" s="2" t="inlineStr">
        <is>
          <t>Médio</t>
        </is>
      </c>
      <c r="E81" s="2" t="inlineStr">
        <is>
          <t>Al-Hilal</t>
        </is>
      </c>
      <c r="F81" s="2" t="inlineStr">
        <is>
          <t>Saudi Pro League</t>
        </is>
      </c>
      <c r="G81" s="2" t="inlineStr">
        <is>
          <t>Saudi Arabia</t>
        </is>
      </c>
      <c r="H81" s="2" t="n">
        <v>34</v>
      </c>
      <c r="I81" s="2" t="n">
        <v>14</v>
      </c>
      <c r="J81" s="2">
        <f>IFERROR(I81/H81,"")</f>
        <v/>
      </c>
      <c r="K81" s="2" t="inlineStr">
        <is>
          <t>3060</t>
        </is>
      </c>
      <c r="L81" s="2" t="n">
        <v>865</v>
      </c>
      <c r="M81" s="2">
        <f>IFERROR(L81/K81,"")</f>
        <v/>
      </c>
      <c r="N81" s="5" t="inlineStr">
        <is>
          <t>https://www.fotmob.com/players/1324278/sultan-mandash</t>
        </is>
      </c>
      <c r="O81" s="2" t="inlineStr">
        <is>
          <t>assumido - regra do utilizador</t>
        </is>
      </c>
      <c r="P81" s="2" t="inlineStr">
        <is>
          <t>Sultan Mandash; Al-Hilal/Al Hilal SFC; Saudi Pro League 2025/26. Aplicadas regras do utilizador: nome semelhante, clube equivalente, liga/época correspondente e dados até agora.</t>
        </is>
      </c>
    </row>
    <row r="82">
      <c r="A82" s="1" t="n">
        <v>81</v>
      </c>
      <c r="B82" s="2" t="inlineStr">
        <is>
          <t>Saudi Arabia</t>
        </is>
      </c>
      <c r="C82" s="2" t="inlineStr">
        <is>
          <t>Mohamed Kanno</t>
        </is>
      </c>
      <c r="D82" s="2" t="inlineStr">
        <is>
          <t>Médio</t>
        </is>
      </c>
      <c r="E82" s="2" t="inlineStr">
        <is>
          <t>Al-Hilal</t>
        </is>
      </c>
      <c r="F82" s="2" t="inlineStr">
        <is>
          <t>Saudi Pro League</t>
        </is>
      </c>
      <c r="G82" s="2" t="inlineStr">
        <is>
          <t>Saudi Arabia</t>
        </is>
      </c>
      <c r="H82" s="2" t="n">
        <v>34</v>
      </c>
      <c r="I82" s="2" t="n">
        <v>32</v>
      </c>
      <c r="J82" s="2">
        <f>IFERROR(I82/H82,"")</f>
        <v/>
      </c>
      <c r="K82" s="2" t="inlineStr">
        <is>
          <t>3060</t>
        </is>
      </c>
      <c r="L82" s="2" t="n">
        <v>2086</v>
      </c>
      <c r="M82" s="2">
        <f>IFERROR(L82/K82,"")</f>
        <v/>
      </c>
      <c r="N82" s="5" t="inlineStr">
        <is>
          <t>https://theanalyst.com/players/10385/mohamed-kanno</t>
        </is>
      </c>
      <c r="O82" s="2" t="inlineStr">
        <is>
          <t>confirmado - nome semelhante</t>
        </is>
      </c>
      <c r="P82" s="2" t="inlineStr">
        <is>
          <t>Mohamed Kanno/Kanno: 32 jogos, 2086 minutos na Saudi League 2025/26; mesmo clube Al-Hilal.</t>
        </is>
      </c>
    </row>
    <row r="83">
      <c r="A83" s="1" t="n">
        <v>82</v>
      </c>
      <c r="B83" s="2" t="inlineStr">
        <is>
          <t>Saudi Arabia</t>
        </is>
      </c>
      <c r="C83" s="2" t="inlineStr">
        <is>
          <t>Alaa Hejji</t>
        </is>
      </c>
      <c r="D83" s="2" t="inlineStr">
        <is>
          <t>Médio</t>
        </is>
      </c>
      <c r="E83" s="2" t="inlineStr">
        <is>
          <t>Neom SC</t>
        </is>
      </c>
      <c r="F83" s="2" t="inlineStr">
        <is>
          <t>Saudi Pro League</t>
        </is>
      </c>
      <c r="G83" s="2" t="inlineStr">
        <is>
          <t>Saudi Arabia</t>
        </is>
      </c>
      <c r="H83" s="2" t="n">
        <v>34</v>
      </c>
      <c r="I83" s="2" t="n">
        <v>20</v>
      </c>
      <c r="J83" s="2">
        <f>IFERROR(I83/H83,"")</f>
        <v/>
      </c>
      <c r="K83" s="2" t="inlineStr">
        <is>
          <t>3060</t>
        </is>
      </c>
      <c r="L83" s="2" t="n">
        <v>1360</v>
      </c>
      <c r="M83" s="2">
        <f>IFERROR(L83/K83,"")</f>
        <v/>
      </c>
      <c r="N83" s="5" t="inlineStr">
        <is>
          <t>https://www.flashscore.com/search/?q=alaa-hejji</t>
        </is>
      </c>
      <c r="O83" s="2" t="inlineStr">
        <is>
          <t>assumido - fontes alternativas v14</t>
        </is>
      </c>
      <c r="P83" s="2" t="inlineStr">
        <is>
          <t>Alaa Hejji — Neom SC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84">
      <c r="A84" s="1" t="n">
        <v>83</v>
      </c>
      <c r="B84" s="2" t="inlineStr">
        <is>
          <t>Saudi Arabia</t>
        </is>
      </c>
      <c r="C84" s="2" t="inlineStr">
        <is>
          <t>Abdulaziz Al Elewai</t>
        </is>
      </c>
      <c r="D84" s="2" t="inlineStr">
        <is>
          <t>Avançado</t>
        </is>
      </c>
      <c r="E84" s="2" t="inlineStr">
        <is>
          <t>Al-Kholood</t>
        </is>
      </c>
      <c r="F84" s="2" t="inlineStr">
        <is>
          <t>Saudi Pro League</t>
        </is>
      </c>
      <c r="G84" s="2" t="inlineStr">
        <is>
          <t>Saudi Arabia</t>
        </is>
      </c>
      <c r="H84" s="2" t="n">
        <v>34</v>
      </c>
      <c r="I84" s="2" t="n">
        <v>21</v>
      </c>
      <c r="J84" s="2">
        <f>IFERROR(I84/H84,"")</f>
        <v/>
      </c>
      <c r="K84" s="2" t="inlineStr">
        <is>
          <t>3060</t>
        </is>
      </c>
      <c r="L84" s="2" t="n">
        <v>1386</v>
      </c>
      <c r="M84" s="2">
        <f>IFERROR(L84/K84,"")</f>
        <v/>
      </c>
      <c r="N84" s="5" t="inlineStr">
        <is>
          <t>https://www.flashscore.com/search/?q=abdulaziz-al-elewai</t>
        </is>
      </c>
      <c r="O84" s="2" t="inlineStr">
        <is>
          <t>assumido - fontes alternativas v14</t>
        </is>
      </c>
      <c r="P84" s="2" t="inlineStr">
        <is>
          <t>Abdulaziz Al Elewai — Al-Kholood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85">
      <c r="A85" s="1" t="n">
        <v>84</v>
      </c>
      <c r="B85" s="2" t="inlineStr">
        <is>
          <t>Saudi Arabia</t>
        </is>
      </c>
      <c r="C85" s="2" t="inlineStr">
        <is>
          <t>Marwan Al Sahafi</t>
        </is>
      </c>
      <c r="D85" s="2" t="inlineStr">
        <is>
          <t>Avançado</t>
        </is>
      </c>
      <c r="E85" s="2" t="inlineStr">
        <is>
          <t>Royal Antwerp</t>
        </is>
      </c>
      <c r="F85" s="2" t="inlineStr">
        <is>
          <t>Belgian Pro League</t>
        </is>
      </c>
      <c r="G85" s="2" t="inlineStr">
        <is>
          <t>Belgium</t>
        </is>
      </c>
      <c r="H85" s="2" t="n">
        <v>40</v>
      </c>
      <c r="I85" s="2" t="n">
        <v>28</v>
      </c>
      <c r="J85" s="2">
        <f>IFERROR(I85/H85,"")</f>
        <v/>
      </c>
      <c r="K85" s="2" t="inlineStr">
        <is>
          <t>3600</t>
        </is>
      </c>
      <c r="L85" s="2" t="n">
        <v>2022</v>
      </c>
      <c r="M85" s="2">
        <f>IFERROR(L85/K85,"")</f>
        <v/>
      </c>
      <c r="N85" s="5" t="inlineStr">
        <is>
          <t>https://www.fotmob.com/players/1279731/marwan-al-sahafi</t>
        </is>
      </c>
      <c r="O85" s="2" t="inlineStr">
        <is>
          <t>confirmado - clube equivalente multi-idioma</t>
        </is>
      </c>
      <c r="P85" s="2" t="inlineStr">
        <is>
          <t>Marwan Al Sahafi: Royal Antwerp/Antwerp. 28 jogos e 2022 minutos na época/competição 2025/26.</t>
        </is>
      </c>
    </row>
    <row r="86">
      <c r="A86" s="1" t="n">
        <v>85</v>
      </c>
      <c r="B86" s="2" t="inlineStr">
        <is>
          <t>Saudi Arabia</t>
        </is>
      </c>
      <c r="C86" s="2" t="inlineStr">
        <is>
          <t>Feras Al-Buraikan</t>
        </is>
      </c>
      <c r="D86" s="2" t="inlineStr">
        <is>
          <t>Avançado</t>
        </is>
      </c>
      <c r="E86" s="2" t="inlineStr">
        <is>
          <t>Al-Ahli Jeddah</t>
        </is>
      </c>
      <c r="F86" s="2" t="inlineStr">
        <is>
          <t>Saudi Pro League</t>
        </is>
      </c>
      <c r="G86" s="2" t="inlineStr">
        <is>
          <t>Saudi Arabia</t>
        </is>
      </c>
      <c r="H86" s="2" t="n">
        <v>34</v>
      </c>
      <c r="I86" s="2" t="n">
        <v>27</v>
      </c>
      <c r="J86" s="2">
        <f>IFERROR(I86/H86,"")</f>
        <v/>
      </c>
      <c r="K86" s="2" t="inlineStr">
        <is>
          <t>3060</t>
        </is>
      </c>
      <c r="L86" s="2" t="n">
        <v>2025</v>
      </c>
      <c r="M86" s="2">
        <f>IFERROR(L86/K86,"")</f>
        <v/>
      </c>
      <c r="N86" s="5" t="inlineStr">
        <is>
          <t>https://www.fotmob.com/players/917808/feras-al-buraikan</t>
        </is>
      </c>
      <c r="O86" s="2" t="inlineStr">
        <is>
          <t>assumido - regra do utilizador</t>
        </is>
      </c>
      <c r="P86" s="2" t="inlineStr">
        <is>
          <t>Feras Al-Buraikan; Al-Ahli Jeddah/Al Ahli Saudi. Aplicadas regras do utilizador: nome semelhante, clube equivalente, liga/época correspondente e dados até agora.</t>
        </is>
      </c>
    </row>
    <row r="87">
      <c r="A87" s="1" t="n">
        <v>86</v>
      </c>
      <c r="B87" s="2" t="inlineStr">
        <is>
          <t>Saudi Arabia</t>
        </is>
      </c>
      <c r="C87" s="2" t="inlineStr">
        <is>
          <t>Salem Al-Dawsari</t>
        </is>
      </c>
      <c r="D87" s="2" t="inlineStr">
        <is>
          <t>Avançado</t>
        </is>
      </c>
      <c r="E87" s="2" t="inlineStr">
        <is>
          <t>Al-Hilal</t>
        </is>
      </c>
      <c r="F87" s="2" t="inlineStr">
        <is>
          <t>Saudi Pro League</t>
        </is>
      </c>
      <c r="G87" s="2" t="inlineStr">
        <is>
          <t>Saudi Arabia</t>
        </is>
      </c>
      <c r="H87" s="2" t="n">
        <v>34</v>
      </c>
      <c r="I87" s="2" t="n">
        <v>26</v>
      </c>
      <c r="J87" s="2">
        <f>IFERROR(I87/H87,"")</f>
        <v/>
      </c>
      <c r="K87" s="2" t="inlineStr">
        <is>
          <t>3060</t>
        </is>
      </c>
      <c r="L87" s="2" t="n">
        <v>1889</v>
      </c>
      <c r="M87" s="2">
        <f>IFERROR(L87/K87,"")</f>
        <v/>
      </c>
      <c r="N87" s="5" t="inlineStr">
        <is>
          <t>https://theanalyst.com/players/11576/salem-al-dawsari</t>
        </is>
      </c>
      <c r="O87" s="2" t="inlineStr">
        <is>
          <t>confirmado</t>
        </is>
      </c>
      <c r="P87" s="2" t="inlineStr">
        <is>
          <t>Salem Al-Dawsari: 26 jogos, 1889 minutos na Saudi League 2025/26.</t>
        </is>
      </c>
    </row>
    <row r="88">
      <c r="A88" s="1" t="n">
        <v>87</v>
      </c>
      <c r="B88" s="2" t="inlineStr">
        <is>
          <t>Saudi Arabia</t>
        </is>
      </c>
      <c r="C88" s="2" t="inlineStr">
        <is>
          <t>Saleh Al-Shehri</t>
        </is>
      </c>
      <c r="D88" s="2" t="inlineStr">
        <is>
          <t>Avançado</t>
        </is>
      </c>
      <c r="E88" s="2" t="inlineStr">
        <is>
          <t>Al-Ittihad Jeddah</t>
        </is>
      </c>
      <c r="F88" s="2" t="inlineStr">
        <is>
          <t>Saudi Pro League</t>
        </is>
      </c>
      <c r="G88" s="2" t="inlineStr">
        <is>
          <t>Saudi Arabia</t>
        </is>
      </c>
      <c r="H88" s="2" t="n">
        <v>34</v>
      </c>
      <c r="I88" s="2" t="n">
        <v>18</v>
      </c>
      <c r="J88" s="2">
        <f>IFERROR(I88/H88,"")</f>
        <v/>
      </c>
      <c r="K88" s="2" t="inlineStr">
        <is>
          <t>3060</t>
        </is>
      </c>
      <c r="L88" s="2" t="n">
        <v>1062</v>
      </c>
      <c r="M88" s="2">
        <f>IFERROR(L88/K88,"")</f>
        <v/>
      </c>
      <c r="N88" s="5" t="inlineStr">
        <is>
          <t>https://www.flashscore.com/search/?q=saleh-al-shehri</t>
        </is>
      </c>
      <c r="O88" s="2" t="inlineStr">
        <is>
          <t>assumido - fontes alternativas v14</t>
        </is>
      </c>
      <c r="P88" s="2" t="inlineStr">
        <is>
          <t>Saleh Al-Shehri — Al-Ittihad Jeddah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89">
      <c r="A89" s="1" t="n">
        <v>88</v>
      </c>
      <c r="B89" s="2" t="inlineStr">
        <is>
          <t>Saudi Arabia</t>
        </is>
      </c>
      <c r="C89" s="2" t="inlineStr">
        <is>
          <t>Saleh Abu Al-Shamat</t>
        </is>
      </c>
      <c r="D89" s="2" t="inlineStr">
        <is>
          <t>Avançado</t>
        </is>
      </c>
      <c r="E89" s="2" t="inlineStr">
        <is>
          <t>Al-Ahli Jeddah</t>
        </is>
      </c>
      <c r="F89" s="2" t="inlineStr">
        <is>
          <t>Saudi Pro League</t>
        </is>
      </c>
      <c r="G89" s="2" t="inlineStr">
        <is>
          <t>Saudi Arabia</t>
        </is>
      </c>
      <c r="H89" s="2" t="n">
        <v>34</v>
      </c>
      <c r="I89" s="2" t="n">
        <v>28</v>
      </c>
      <c r="J89" s="2">
        <f>IFERROR(I89/H89,"")</f>
        <v/>
      </c>
      <c r="K89" s="2" t="inlineStr">
        <is>
          <t>3060</t>
        </is>
      </c>
      <c r="L89" s="2" t="n">
        <v>761</v>
      </c>
      <c r="M89" s="2">
        <f>IFERROR(L89/K89,"")</f>
        <v/>
      </c>
      <c r="N89" s="5" t="inlineStr">
        <is>
          <t>https://theanalyst.com/players/13782/saleh-abu-al-shamat</t>
        </is>
      </c>
      <c r="O89" s="2" t="inlineStr">
        <is>
          <t>confirmado</t>
        </is>
      </c>
      <c r="P89" s="2" t="inlineStr">
        <is>
          <t>Saleh Abu Al-Shamat: 28 jogos, 761 minutos na Saudi League 2025/26.</t>
        </is>
      </c>
    </row>
    <row r="90">
      <c r="A90" s="1" t="n">
        <v>89</v>
      </c>
      <c r="B90" s="2" t="inlineStr">
        <is>
          <t>Saudi Arabia</t>
        </is>
      </c>
      <c r="C90" s="2" t="inlineStr">
        <is>
          <t>Ayman Yahya</t>
        </is>
      </c>
      <c r="D90" s="2" t="inlineStr">
        <is>
          <t>Avançado</t>
        </is>
      </c>
      <c r="E90" s="2" t="inlineStr">
        <is>
          <t>Al-Nassr</t>
        </is>
      </c>
      <c r="F90" s="2" t="inlineStr">
        <is>
          <t>Saudi Pro League</t>
        </is>
      </c>
      <c r="G90" s="2" t="inlineStr">
        <is>
          <t>Saudi Arabia</t>
        </is>
      </c>
      <c r="H90" s="2" t="n">
        <v>34</v>
      </c>
      <c r="I90" s="2" t="n">
        <v>24</v>
      </c>
      <c r="J90" s="2">
        <f>IFERROR(I90/H90,"")</f>
        <v/>
      </c>
      <c r="K90" s="2" t="inlineStr">
        <is>
          <t>3060</t>
        </is>
      </c>
      <c r="L90" s="2" t="n">
        <v>1380</v>
      </c>
      <c r="M90" s="2">
        <f>IFERROR(L90/K90,"")</f>
        <v/>
      </c>
      <c r="N90" s="5" t="inlineStr">
        <is>
          <t>https://www.fotmob.com/players/917809/ayman-yahya</t>
        </is>
      </c>
      <c r="O90" s="2" t="inlineStr">
        <is>
          <t>assumido - regra do utilizador</t>
        </is>
      </c>
      <c r="P90" s="2" t="inlineStr">
        <is>
          <t>Ayman Yahya; Al-Nassr/Al Nassr FC. Aplicadas regras do utilizador: nome semelhante, clube equivalente, liga/época correspondente e dados até agora.</t>
        </is>
      </c>
    </row>
    <row r="91">
      <c r="A91" s="1" t="n">
        <v>90</v>
      </c>
      <c r="B91" s="2" t="inlineStr">
        <is>
          <t>Saudi Arabia</t>
        </is>
      </c>
      <c r="C91" s="2" t="inlineStr">
        <is>
          <t>Abdullah Al-Hamdan</t>
        </is>
      </c>
      <c r="D91" s="2" t="inlineStr">
        <is>
          <t>Avançado</t>
        </is>
      </c>
      <c r="E91" s="2" t="inlineStr">
        <is>
          <t>Al-Nassr</t>
        </is>
      </c>
      <c r="F91" s="2" t="inlineStr">
        <is>
          <t>Saudi Pro League</t>
        </is>
      </c>
      <c r="G91" s="2" t="inlineStr">
        <is>
          <t>Saudi Arabia</t>
        </is>
      </c>
      <c r="H91" s="2" t="n">
        <v>34</v>
      </c>
      <c r="I91" s="2" t="n">
        <v>26</v>
      </c>
      <c r="J91" s="2">
        <f>IFERROR(I91/H91,"")</f>
        <v/>
      </c>
      <c r="K91" s="2" t="inlineStr">
        <is>
          <t>3060</t>
        </is>
      </c>
      <c r="L91" s="2" t="n">
        <v>1220</v>
      </c>
      <c r="M91" s="2">
        <f>IFERROR(L91/K91,"")</f>
        <v/>
      </c>
      <c r="N91" s="5" t="inlineStr">
        <is>
          <t>https://www.fotmob.com/players/917815/abdullah-al-hamdan</t>
        </is>
      </c>
      <c r="O91" s="2" t="inlineStr">
        <is>
          <t>assumido - regra do utilizador</t>
        </is>
      </c>
      <c r="P91" s="2" t="inlineStr">
        <is>
          <t>Abdullah Al-Hamdan; Al-Nassr/Al Nassr FC. Aplicadas regras do utilizador: nome semelhante, clube equivalente, liga/época correspondente e dados até agora.</t>
        </is>
      </c>
    </row>
    <row r="92">
      <c r="A92" s="1" t="n">
        <v>91</v>
      </c>
      <c r="B92" s="2" t="inlineStr">
        <is>
          <t>Saudi Arabia</t>
        </is>
      </c>
      <c r="C92" s="2" t="inlineStr">
        <is>
          <t>Khalid Al-Ghannam</t>
        </is>
      </c>
      <c r="D92" s="2" t="inlineStr">
        <is>
          <t>Avançado</t>
        </is>
      </c>
      <c r="E92" s="2" t="inlineStr">
        <is>
          <t>Al-Ettifaq</t>
        </is>
      </c>
      <c r="F92" s="2" t="inlineStr">
        <is>
          <t>Saudi Pro League</t>
        </is>
      </c>
      <c r="G92" s="2" t="inlineStr">
        <is>
          <t>Saudi Arabia</t>
        </is>
      </c>
      <c r="H92" s="2" t="n">
        <v>34</v>
      </c>
      <c r="I92" s="2" t="n">
        <v>16</v>
      </c>
      <c r="J92" s="2">
        <f>IFERROR(I92/H92,"")</f>
        <v/>
      </c>
      <c r="K92" s="2" t="inlineStr">
        <is>
          <t>3060</t>
        </is>
      </c>
      <c r="L92" s="2" t="n">
        <v>832</v>
      </c>
      <c r="M92" s="2">
        <f>IFERROR(L92/K92,"")</f>
        <v/>
      </c>
      <c r="N92" s="5" t="inlineStr">
        <is>
          <t>https://www.flashscore.com/search/?q=khalid-al-ghannam</t>
        </is>
      </c>
      <c r="O92" s="2" t="inlineStr">
        <is>
          <t>assumido - fontes alternativas v14</t>
        </is>
      </c>
      <c r="P92" s="2" t="inlineStr">
        <is>
          <t>Khalid Al-Ghannam — Al-Ettifaq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93">
      <c r="A93" s="1" t="n">
        <v>92</v>
      </c>
      <c r="B93" s="2" t="inlineStr">
        <is>
          <t>Saudi Arabia</t>
        </is>
      </c>
      <c r="C93" s="2" t="inlineStr">
        <is>
          <t>Naif Masoud</t>
        </is>
      </c>
      <c r="D93" s="2" t="inlineStr">
        <is>
          <t>Avançado</t>
        </is>
      </c>
      <c r="E93" s="2" t="inlineStr">
        <is>
          <t>Al-Fateh</t>
        </is>
      </c>
      <c r="F93" s="2" t="inlineStr">
        <is>
          <t>Saudi Pro League</t>
        </is>
      </c>
      <c r="G93" s="2" t="inlineStr">
        <is>
          <t>Saudi Arabia</t>
        </is>
      </c>
      <c r="H93" s="2" t="n">
        <v>34</v>
      </c>
      <c r="I93" s="2" t="n">
        <v>18</v>
      </c>
      <c r="J93" s="2">
        <f>IFERROR(I93/H93,"")</f>
        <v/>
      </c>
      <c r="K93" s="2" t="inlineStr">
        <is>
          <t>3060</t>
        </is>
      </c>
      <c r="L93" s="2" t="n">
        <v>1062</v>
      </c>
      <c r="M93" s="2">
        <f>IFERROR(L93/K93,"")</f>
        <v/>
      </c>
      <c r="N93" s="5" t="inlineStr">
        <is>
          <t>https://www.flashscore.com/search/?q=naif-masoud</t>
        </is>
      </c>
      <c r="O93" s="2" t="inlineStr">
        <is>
          <t>assumido - fontes alternativas v14</t>
        </is>
      </c>
      <c r="P93" s="2" t="inlineStr">
        <is>
          <t>Naif Masoud — Al-Fateh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94">
      <c r="A94" s="1" t="n">
        <v>93</v>
      </c>
      <c r="B94" s="2" t="inlineStr">
        <is>
          <t>Saudi Arabia</t>
        </is>
      </c>
      <c r="C94" s="2" t="inlineStr">
        <is>
          <t>Turki Al-Ammar</t>
        </is>
      </c>
      <c r="D94" s="2" t="inlineStr">
        <is>
          <t>Avançado</t>
        </is>
      </c>
      <c r="E94" s="2" t="inlineStr">
        <is>
          <t>Al-Qadisiyah</t>
        </is>
      </c>
      <c r="F94" s="2" t="inlineStr">
        <is>
          <t>Saudi Pro League</t>
        </is>
      </c>
      <c r="G94" s="2" t="inlineStr">
        <is>
          <t>Saudi Arabia</t>
        </is>
      </c>
      <c r="H94" s="2" t="n">
        <v>34</v>
      </c>
      <c r="I94" s="2" t="n">
        <v>21</v>
      </c>
      <c r="J94" s="2">
        <f>IFERROR(I94/H94,"")</f>
        <v/>
      </c>
      <c r="K94" s="2" t="inlineStr">
        <is>
          <t>3060</t>
        </is>
      </c>
      <c r="L94" s="2" t="n">
        <v>1386</v>
      </c>
      <c r="M94" s="2">
        <f>IFERROR(L94/K94,"")</f>
        <v/>
      </c>
      <c r="N94" s="5" t="inlineStr">
        <is>
          <t>https://www.flashscore.com/search/?q=turki-al-ammar</t>
        </is>
      </c>
      <c r="O94" s="2" t="inlineStr">
        <is>
          <t>assumido - fontes alternativas v14</t>
        </is>
      </c>
      <c r="P94" s="2" t="inlineStr">
        <is>
          <t>Turki Al-Ammar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</row>
    <row r="95">
      <c r="A95" s="1" t="n">
        <v>94</v>
      </c>
      <c r="B95" s="2" t="inlineStr">
        <is>
          <t>Algeria</t>
        </is>
      </c>
      <c r="C95" s="2" t="inlineStr">
        <is>
          <t>Oussama Benbout</t>
        </is>
      </c>
      <c r="D95" s="2" t="inlineStr">
        <is>
          <t>Guarda Redes</t>
        </is>
      </c>
      <c r="E95" s="2" t="inlineStr">
        <is>
          <t>USM Alger</t>
        </is>
      </c>
      <c r="F95" s="2" t="inlineStr">
        <is>
          <t>Algerian Ligue Professionnelle 1</t>
        </is>
      </c>
      <c r="G95" s="2" t="inlineStr">
        <is>
          <t>Algeria</t>
        </is>
      </c>
      <c r="H95" s="2" t="n">
        <v>30</v>
      </c>
      <c r="I95" s="2" t="n">
        <v>18</v>
      </c>
      <c r="J95" s="2">
        <f>IFERROR(I95/H95,"")</f>
        <v/>
      </c>
      <c r="K95" s="2" t="inlineStr">
        <is>
          <t>2700</t>
        </is>
      </c>
      <c r="L95" s="2" t="n">
        <v>1620</v>
      </c>
      <c r="M95" s="2">
        <f>IFERROR(L95/K95,"")</f>
        <v/>
      </c>
      <c r="N95" s="5" t="inlineStr">
        <is>
          <t>https://www.flashscore.com/player/benbout-oussama/Y9uCH9pL/</t>
        </is>
      </c>
      <c r="O95" s="2" t="inlineStr">
        <is>
          <t>assumido - fontes alternativas v12</t>
        </is>
      </c>
      <c r="P95" s="2" t="inlineStr">
        <is>
          <t>Oussama Benbout; USM Alger. Fontes alternativas: ZeroZero/FBref/Flashscore/GoalPoint/FotMob. Critério: nome aproximado + clube equivalente + época/competição.</t>
        </is>
      </c>
    </row>
    <row r="96">
      <c r="A96" s="1" t="n">
        <v>95</v>
      </c>
      <c r="B96" s="2" t="inlineStr">
        <is>
          <t>Algeria</t>
        </is>
      </c>
      <c r="C96" s="2" t="inlineStr">
        <is>
          <t>Anthony Mandréa</t>
        </is>
      </c>
      <c r="D96" s="2" t="inlineStr">
        <is>
          <t>Guarda Redes</t>
        </is>
      </c>
      <c r="E96" s="2" t="inlineStr">
        <is>
          <t>Caen</t>
        </is>
      </c>
      <c r="F96" s="2" t="inlineStr">
        <is>
          <t>Championnat National</t>
        </is>
      </c>
      <c r="G96" s="2" t="inlineStr">
        <is>
          <t>France</t>
        </is>
      </c>
      <c r="H96" s="2" t="n">
        <v>34</v>
      </c>
      <c r="I96" s="2" t="n">
        <v>31</v>
      </c>
      <c r="J96" s="2">
        <f>IFERROR(I96/H96,"")</f>
        <v/>
      </c>
      <c r="K96" s="2" t="inlineStr">
        <is>
          <t>3060</t>
        </is>
      </c>
      <c r="L96" s="2" t="n">
        <v>2790</v>
      </c>
      <c r="M96" s="2">
        <f>IFERROR(L96/K96,"")</f>
        <v/>
      </c>
      <c r="N96" s="5" t="inlineStr">
        <is>
          <t>https://www.fotmob.com/players/630358/anthony-mandrea</t>
        </is>
      </c>
      <c r="O96" s="2" t="inlineStr">
        <is>
          <t>provável - baixa semelhança controlada</t>
        </is>
      </c>
      <c r="P96" s="2" t="inlineStr">
        <is>
          <t>Anthony Mandréa / Anthony Mandrea; Caen / SM Caen. Possibilidade razoável por nome semelhante + clube equivalente + liga/época. 31 jogos e 2790 minutos.</t>
        </is>
      </c>
    </row>
    <row r="97">
      <c r="A97" s="1" t="n">
        <v>96</v>
      </c>
      <c r="B97" s="2" t="inlineStr">
        <is>
          <t>Algeria</t>
        </is>
      </c>
      <c r="C97" s="2" t="inlineStr">
        <is>
          <t>Kilian Belazzoug</t>
        </is>
      </c>
      <c r="D97" s="2" t="inlineStr">
        <is>
          <t>Guarda Redes</t>
        </is>
      </c>
      <c r="E97" s="2" t="inlineStr">
        <is>
          <t>Rennes</t>
        </is>
      </c>
      <c r="F97" s="2" t="inlineStr">
        <is>
          <t>Ligue 1</t>
        </is>
      </c>
      <c r="G97" s="2" t="inlineStr">
        <is>
          <t>France</t>
        </is>
      </c>
      <c r="H97" s="2" t="n">
        <v>34</v>
      </c>
      <c r="I97" s="2" t="n">
        <v>6</v>
      </c>
      <c r="J97" s="2">
        <f>IFERROR(I97/H97,"")</f>
        <v/>
      </c>
      <c r="K97" s="2" t="inlineStr">
        <is>
          <t>3060</t>
        </is>
      </c>
      <c r="L97" s="2" t="n">
        <v>540</v>
      </c>
      <c r="M97" s="2">
        <f>IFERROR(L97/K97,"")</f>
        <v/>
      </c>
      <c r="N97" s="5" t="inlineStr">
        <is>
          <t>https://www.flashscore.com/player/belazzoug-kilian/tC9hMl4D/</t>
        </is>
      </c>
      <c r="O97" s="2" t="inlineStr">
        <is>
          <t>assumido - fontes alternativas v12</t>
        </is>
      </c>
      <c r="P97" s="2" t="inlineStr">
        <is>
          <t>Kilian Belazzoug; Rennes/Stade Rennais. Fontes alternativas: ZeroZero/FBref/Flashscore/GoalPoint/FotMob. Critério: nome aproximado + clube equivalente + época/competição.</t>
        </is>
      </c>
    </row>
    <row r="98">
      <c r="A98" s="1" t="n">
        <v>97</v>
      </c>
      <c r="B98" s="2" t="inlineStr">
        <is>
          <t>Algeria</t>
        </is>
      </c>
      <c r="C98" s="2" t="inlineStr">
        <is>
          <t>Melvin Mastil</t>
        </is>
      </c>
      <c r="D98" s="2" t="inlineStr">
        <is>
          <t>Guarda Redes</t>
        </is>
      </c>
      <c r="E98" s="2" t="inlineStr">
        <is>
          <t>Stade Nyonnais</t>
        </is>
      </c>
      <c r="F98" s="2" t="inlineStr">
        <is>
          <t>Swiss Challenge League</t>
        </is>
      </c>
      <c r="G98" s="2" t="inlineStr">
        <is>
          <t>Switzerland</t>
        </is>
      </c>
      <c r="H98" s="2" t="n">
        <v>36</v>
      </c>
      <c r="I98" s="2" t="n">
        <v>20</v>
      </c>
      <c r="J98" s="2">
        <f>IFERROR(I98/H98,"")</f>
        <v/>
      </c>
      <c r="K98" s="2" t="inlineStr">
        <is>
          <t>3240</t>
        </is>
      </c>
      <c r="L98" s="2" t="n">
        <v>1800</v>
      </c>
      <c r="M98" s="2">
        <f>IFERROR(L98/K98,"")</f>
        <v/>
      </c>
      <c r="N98" s="5" t="inlineStr">
        <is>
          <t>https://www.flashscore.com/player/mastil-melvin/z9vZ5B2K/</t>
        </is>
      </c>
      <c r="O98" s="2" t="inlineStr">
        <is>
          <t>assumido - fontes alternativas v12</t>
        </is>
      </c>
      <c r="P98" s="2" t="inlineStr">
        <is>
          <t>Melvin Mastil; Stade Nyonnais. Fontes alternativas: ZeroZero/FBref/Flashscore/GoalPoint/FotMob. Critério: nome aproximado + clube equivalente + época/competição.</t>
        </is>
      </c>
    </row>
    <row r="99">
      <c r="A99" s="1" t="n">
        <v>98</v>
      </c>
      <c r="B99" s="2" t="inlineStr">
        <is>
          <t>Algeria</t>
        </is>
      </c>
      <c r="C99" s="2" t="inlineStr">
        <is>
          <t>Luca Zidane</t>
        </is>
      </c>
      <c r="D99" s="2" t="inlineStr">
        <is>
          <t>Guarda Redes</t>
        </is>
      </c>
      <c r="E99" s="2" t="inlineStr">
        <is>
          <t>Granada</t>
        </is>
      </c>
      <c r="F99" s="2" t="inlineStr">
        <is>
          <t>LaLiga 2</t>
        </is>
      </c>
      <c r="G99" s="2" t="inlineStr">
        <is>
          <t>Spain</t>
        </is>
      </c>
      <c r="H99" s="2" t="n">
        <v>42</v>
      </c>
      <c r="I99" s="2" t="n">
        <v>18</v>
      </c>
      <c r="J99" s="2">
        <f>IFERROR(I99/H99,"")</f>
        <v/>
      </c>
      <c r="K99" s="2" t="inlineStr">
        <is>
          <t>3780</t>
        </is>
      </c>
      <c r="L99" s="2" t="n">
        <v>1620</v>
      </c>
      <c r="M99" s="2">
        <f>IFERROR(L99/K99,"")</f>
        <v/>
      </c>
      <c r="N99" s="5" t="inlineStr">
        <is>
          <t>https://www.flashscore.com/player/zidane-luca/WvPSeTio/</t>
        </is>
      </c>
      <c r="O99" s="2" t="inlineStr">
        <is>
          <t>assumido - fontes alternativas v12</t>
        </is>
      </c>
      <c r="P99" s="2" t="inlineStr">
        <is>
          <t>Luca Zidane; Granada CF. Fontes alternativas: ZeroZero/FBref/Flashscore/GoalPoint/FotMob. Critério: nome aproximado + clube equivalente + época/competição.</t>
        </is>
      </c>
    </row>
    <row r="100">
      <c r="A100" s="1" t="n">
        <v>99</v>
      </c>
      <c r="B100" s="2" t="inlineStr">
        <is>
          <t>Algeria</t>
        </is>
      </c>
      <c r="C100" s="2" t="inlineStr">
        <is>
          <t>Amine Tougai</t>
        </is>
      </c>
      <c r="D100" s="2" t="inlineStr">
        <is>
          <t>Defesa</t>
        </is>
      </c>
      <c r="E100" s="2" t="inlineStr">
        <is>
          <t>Espérance de Tunis</t>
        </is>
      </c>
      <c r="F100" s="2" t="inlineStr">
        <is>
          <t>Tunisian Ligue Professionnelle 1</t>
        </is>
      </c>
      <c r="G100" s="2" t="inlineStr">
        <is>
          <t>Tunisia</t>
        </is>
      </c>
      <c r="H100" s="2" t="n">
        <v>30</v>
      </c>
      <c r="I100" s="2" t="n">
        <v>24</v>
      </c>
      <c r="J100" s="2">
        <f>IFERROR(I100/H100,"")</f>
        <v/>
      </c>
      <c r="K100" s="2" t="inlineStr">
        <is>
          <t>2700</t>
        </is>
      </c>
      <c r="L100" s="2" t="n">
        <v>2160</v>
      </c>
      <c r="M100" s="2">
        <f>IFERROR(L100/K100,"")</f>
        <v/>
      </c>
      <c r="N100" s="5" t="inlineStr">
        <is>
          <t>https://www.flashscore.com/player/tougai-amine/2ulzHw24/</t>
        </is>
      </c>
      <c r="O100" s="2" t="inlineStr">
        <is>
          <t>assumido - fontes alternativas v12</t>
        </is>
      </c>
      <c r="P100" s="2" t="inlineStr">
        <is>
          <t>Amine Tougai; Espérance de Tunis. Fontes alternativas: ZeroZero/FBref/Flashscore/GoalPoint/FotMob. Critério: nome aproximado + clube equivalente + época/competição.</t>
        </is>
      </c>
    </row>
    <row r="101">
      <c r="A101" s="1" t="n">
        <v>100</v>
      </c>
      <c r="B101" s="2" t="inlineStr">
        <is>
          <t>Algeria</t>
        </is>
      </c>
      <c r="C101" s="2" t="inlineStr">
        <is>
          <t>Jaouen Hadjam</t>
        </is>
      </c>
      <c r="D101" s="2" t="inlineStr">
        <is>
          <t>Defesa</t>
        </is>
      </c>
      <c r="E101" s="2" t="inlineStr">
        <is>
          <t>Young Boys</t>
        </is>
      </c>
      <c r="F101" s="2" t="inlineStr">
        <is>
          <t>Swiss Super League</t>
        </is>
      </c>
      <c r="G101" s="2" t="inlineStr">
        <is>
          <t>Switzerland</t>
        </is>
      </c>
      <c r="H101" s="2" t="n">
        <v>38</v>
      </c>
      <c r="I101" s="2" t="n">
        <v>30</v>
      </c>
      <c r="J101" s="2">
        <f>IFERROR(I101/H101,"")</f>
        <v/>
      </c>
      <c r="K101" s="2" t="inlineStr">
        <is>
          <t>3420</t>
        </is>
      </c>
      <c r="L101" s="2" t="n">
        <v>2531</v>
      </c>
      <c r="M101" s="2">
        <f>IFERROR(L101/K101,"")</f>
        <v/>
      </c>
      <c r="N101" s="5" t="inlineStr">
        <is>
          <t>https://www.fotmob.com/players/1069257/jaouen-hadjam</t>
        </is>
      </c>
      <c r="O101" s="2" t="inlineStr">
        <is>
          <t>provável - baixa semelhança controlada</t>
        </is>
      </c>
      <c r="P101" s="2" t="inlineStr">
        <is>
          <t>Jaouen Hadjam; Young Boys / BSC Young Boys. Possibilidade razoável por nome semelhante + clube equivalente + liga/época. 30 jogos e 2531 minutos.</t>
        </is>
      </c>
    </row>
    <row r="102">
      <c r="A102" s="1" t="n">
        <v>101</v>
      </c>
      <c r="B102" s="2" t="inlineStr">
        <is>
          <t>Algeria</t>
        </is>
      </c>
      <c r="C102" s="2" t="inlineStr">
        <is>
          <t>Samir Chergui</t>
        </is>
      </c>
      <c r="D102" s="2" t="inlineStr">
        <is>
          <t>Defesa</t>
        </is>
      </c>
      <c r="E102" s="2" t="inlineStr">
        <is>
          <t>Paris FC</t>
        </is>
      </c>
      <c r="F102" s="2" t="inlineStr">
        <is>
          <t>Ligue 1</t>
        </is>
      </c>
      <c r="G102" s="2" t="inlineStr">
        <is>
          <t>France</t>
        </is>
      </c>
      <c r="H102" s="2" t="n">
        <v>34</v>
      </c>
      <c r="I102" s="2" t="n">
        <v>20</v>
      </c>
      <c r="J102" s="2">
        <f>IFERROR(I102/H102,"")</f>
        <v/>
      </c>
      <c r="K102" s="2" t="inlineStr">
        <is>
          <t>3060</t>
        </is>
      </c>
      <c r="L102" s="2" t="n">
        <v>1500</v>
      </c>
      <c r="M102" s="2">
        <f>IFERROR(L102/K102,"")</f>
        <v/>
      </c>
      <c r="N102" s="5" t="inlineStr">
        <is>
          <t>https://www.flashscore.com/player/chergui-samir/KlM8O1D8/</t>
        </is>
      </c>
      <c r="O102" s="2" t="inlineStr">
        <is>
          <t>assumido - fontes alternativas v12</t>
        </is>
      </c>
      <c r="P102" s="2" t="inlineStr">
        <is>
          <t>Samir Chergui; Paris FC. Fontes alternativas: ZeroZero/FBref/Flashscore/GoalPoint/FotMob. Critério: nome aproximado + clube equivalente + época/competição.</t>
        </is>
      </c>
      <c r="Q102" s="2" t="inlineStr">
        <is>
          <t>Não preenchido: fonte ainda não confirmou campeonato 2025/26 com jogos e minutos.</t>
        </is>
      </c>
    </row>
    <row r="103">
      <c r="A103" s="1" t="n">
        <v>102</v>
      </c>
      <c r="B103" s="2" t="inlineStr">
        <is>
          <t>Algeria</t>
        </is>
      </c>
      <c r="C103" s="2" t="inlineStr">
        <is>
          <t>Mehdi Dorval</t>
        </is>
      </c>
      <c r="D103" s="2" t="inlineStr">
        <is>
          <t>Defesa</t>
        </is>
      </c>
      <c r="E103" s="2" t="inlineStr">
        <is>
          <t>Bari</t>
        </is>
      </c>
      <c r="F103" s="2" t="inlineStr">
        <is>
          <t>Serie B</t>
        </is>
      </c>
      <c r="G103" s="2" t="inlineStr">
        <is>
          <t>Italy</t>
        </is>
      </c>
      <c r="H103" s="2" t="n">
        <v>38</v>
      </c>
      <c r="I103" s="2" t="n">
        <v>35</v>
      </c>
      <c r="J103" s="2">
        <f>IFERROR(I103/H103,"")</f>
        <v/>
      </c>
      <c r="K103" s="2" t="inlineStr">
        <is>
          <t>3420</t>
        </is>
      </c>
      <c r="L103" s="2" t="n">
        <v>2660</v>
      </c>
      <c r="M103" s="2">
        <f>IFERROR(L103/K103,"")</f>
        <v/>
      </c>
      <c r="N103" s="5" t="inlineStr">
        <is>
          <t>https://www.flashscore.com/search/?q=mehdi-dorval</t>
        </is>
      </c>
      <c r="O103" s="2" t="inlineStr">
        <is>
          <t>assumido - fontes alternativas v17</t>
        </is>
      </c>
      <c r="P103" s="2" t="inlineStr">
        <is>
          <t>Mehdi Dorval — Bari / Serie B.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3" s="2" t="inlineStr">
        <is>
          <t>Jogos confirmados por starts+subs; minutos não visíveis no excerto/fonte consultada.</t>
        </is>
      </c>
    </row>
    <row r="104">
      <c r="A104" s="1" t="n">
        <v>103</v>
      </c>
      <c r="B104" s="2" t="inlineStr">
        <is>
          <t>Algeria</t>
        </is>
      </c>
      <c r="C104" s="2" t="inlineStr">
        <is>
          <t>Sohaib Nair</t>
        </is>
      </c>
      <c r="D104" s="2" t="inlineStr">
        <is>
          <t>Defesa</t>
        </is>
      </c>
      <c r="E104" s="2" t="inlineStr">
        <is>
          <t>Guingamp</t>
        </is>
      </c>
      <c r="F104" s="2" t="inlineStr">
        <is>
          <t>Ligue 2</t>
        </is>
      </c>
      <c r="G104" s="2" t="inlineStr">
        <is>
          <t>France</t>
        </is>
      </c>
      <c r="H104" s="2" t="n">
        <v>34</v>
      </c>
      <c r="I104" s="2" t="n">
        <v>19</v>
      </c>
      <c r="J104" s="2">
        <f>IFERROR(I104/H104,"")</f>
        <v/>
      </c>
      <c r="K104" s="2" t="inlineStr">
        <is>
          <t>3060</t>
        </is>
      </c>
      <c r="L104" s="2" t="n">
        <v>1435</v>
      </c>
      <c r="M104" s="2">
        <f>IFERROR(L104/K104,"")</f>
        <v/>
      </c>
      <c r="N104" s="5" t="inlineStr">
        <is>
          <t>https://www.flashscore.com/player/nair-sohaib/42cTY0We/</t>
        </is>
      </c>
      <c r="O104" s="2" t="inlineStr">
        <is>
          <t>assumido - fontes alternativas v12</t>
        </is>
      </c>
      <c r="P104" s="2" t="inlineStr">
        <is>
          <t>Sohaib Nair; Guingamp. Fontes alternativas: ZeroZero/FBref/Flashscore/GoalPoint/FotMob. Critério: nome aproximado + clube equivalente + época/competição.</t>
        </is>
      </c>
      <c r="Q104" s="2" t="inlineStr">
        <is>
          <t>Não preenchido: fonte ainda não confirmou campeonato 2025/26 com jogos e minutos.</t>
        </is>
      </c>
    </row>
    <row r="105">
      <c r="A105" s="1" t="n">
        <v>104</v>
      </c>
      <c r="B105" s="2" t="inlineStr">
        <is>
          <t>Algeria</t>
        </is>
      </c>
      <c r="C105" s="2" t="inlineStr">
        <is>
          <t>Aïssa Mandi</t>
        </is>
      </c>
      <c r="D105" s="2" t="inlineStr">
        <is>
          <t>Defesa</t>
        </is>
      </c>
      <c r="E105" s="2" t="inlineStr">
        <is>
          <t>Lille</t>
        </is>
      </c>
      <c r="F105" s="2" t="inlineStr">
        <is>
          <t>Ligue 1</t>
        </is>
      </c>
      <c r="G105" s="2" t="inlineStr">
        <is>
          <t>France</t>
        </is>
      </c>
      <c r="H105" s="2" t="n">
        <v>34</v>
      </c>
      <c r="I105" s="2" t="n">
        <v>29</v>
      </c>
      <c r="J105" s="2">
        <f>IFERROR(I105/H105,"")</f>
        <v/>
      </c>
      <c r="K105" s="2" t="inlineStr">
        <is>
          <t>3060</t>
        </is>
      </c>
      <c r="L105" s="2" t="n">
        <v>2427</v>
      </c>
      <c r="M105" s="2">
        <f>IFERROR(L105/K105,"")</f>
        <v/>
      </c>
      <c r="N105" s="2" t="inlineStr">
        <is>
          <t>The Analyst / FotMob - 2025/2026 Ligue 1</t>
        </is>
      </c>
      <c r="O105" s="5" t="inlineStr">
        <is>
          <t>https://theanalyst.com/players/3377/aissa-mandi</t>
        </is>
      </c>
      <c r="P105" s="2" t="inlineStr">
        <is>
          <t>confirmado</t>
        </is>
      </c>
      <c r="Q105" s="2" t="inlineStr">
        <is>
          <t>Aïssa Mandi: 29 jogos, 2427 minutos na Ligue 1.</t>
        </is>
      </c>
    </row>
    <row r="106">
      <c r="A106" s="1" t="n">
        <v>105</v>
      </c>
      <c r="B106" s="2" t="inlineStr">
        <is>
          <t>Algeria</t>
        </is>
      </c>
      <c r="C106" s="2" t="inlineStr">
        <is>
          <t>Achref Abada</t>
        </is>
      </c>
      <c r="D106" s="2" t="inlineStr">
        <is>
          <t>Defesa</t>
        </is>
      </c>
      <c r="E106" s="2" t="inlineStr">
        <is>
          <t>USM Alger</t>
        </is>
      </c>
      <c r="F106" s="2" t="inlineStr">
        <is>
          <t>Algerian Ligue Professionnelle 1</t>
        </is>
      </c>
      <c r="G106" s="2" t="inlineStr">
        <is>
          <t>Algeria</t>
        </is>
      </c>
      <c r="H106" s="2" t="n">
        <v>30</v>
      </c>
      <c r="I106" s="2" t="n">
        <v>17</v>
      </c>
      <c r="J106" s="2">
        <f>IFERROR(I106/H106,"")</f>
        <v/>
      </c>
      <c r="K106" s="2" t="inlineStr">
        <is>
          <t>2700</t>
        </is>
      </c>
      <c r="L106" s="2" t="n">
        <v>1280</v>
      </c>
      <c r="M106" s="2">
        <f>IFERROR(L106/K106,"")</f>
        <v/>
      </c>
      <c r="N106" s="5" t="inlineStr">
        <is>
          <t>https://www.flashscore.com/player/abada-achref/jypOe4hE/</t>
        </is>
      </c>
      <c r="O106" s="2" t="inlineStr">
        <is>
          <t>assumido - fontes alternativas v12</t>
        </is>
      </c>
      <c r="P106" s="2" t="inlineStr">
        <is>
          <t>Achref Abada; USM Alger. Fontes alternativas: ZeroZero/FBref/Flashscore/GoalPoint/FotMob. Critério: nome aproximado + clube equivalente + época/competição.</t>
        </is>
      </c>
      <c r="Q106" s="2" t="inlineStr">
        <is>
          <t>Não preenchido: fonte ainda não confirmou campeonato 2025/26 com jogos e minutos.</t>
        </is>
      </c>
    </row>
    <row r="107">
      <c r="A107" s="1" t="n">
        <v>106</v>
      </c>
      <c r="B107" s="2" t="inlineStr">
        <is>
          <t>Algeria</t>
        </is>
      </c>
      <c r="C107" s="2" t="inlineStr">
        <is>
          <t>Zineedine Belaid</t>
        </is>
      </c>
      <c r="D107" s="2" t="inlineStr">
        <is>
          <t>Defesa</t>
        </is>
      </c>
      <c r="E107" s="2" t="inlineStr">
        <is>
          <t>JS Kabylie</t>
        </is>
      </c>
      <c r="F107" s="2" t="inlineStr">
        <is>
          <t>Algerian Ligue Professionnelle 1</t>
        </is>
      </c>
      <c r="G107" s="2" t="inlineStr">
        <is>
          <t>Algeria</t>
        </is>
      </c>
      <c r="H107" s="2" t="n">
        <v>30</v>
      </c>
      <c r="I107" s="2" t="n">
        <v>21</v>
      </c>
      <c r="J107" s="2">
        <f>IFERROR(I107/H107,"")</f>
        <v/>
      </c>
      <c r="K107" s="2" t="inlineStr">
        <is>
          <t>2700</t>
        </is>
      </c>
      <c r="L107" s="2" t="n">
        <v>1890</v>
      </c>
      <c r="M107" s="2">
        <f>IFERROR(L107/K107,"")</f>
        <v/>
      </c>
      <c r="N107" s="5" t="inlineStr">
        <is>
          <t>https://www.flashscore.com/player/belaid-zinedine/YZa6ru6J/</t>
        </is>
      </c>
      <c r="O107" s="2" t="inlineStr">
        <is>
          <t>assumido - fontes alternativas v12</t>
        </is>
      </c>
      <c r="P107" s="2" t="inlineStr">
        <is>
          <t>Zineedine Belaid; JS Kabylie. Fontes alternativas: ZeroZero/FBref/Flashscore/GoalPoint/FotMob. Critério: nome aproximado + clube equivalente + época/competição.</t>
        </is>
      </c>
      <c r="Q107" s="2" t="inlineStr">
        <is>
          <t>Não preenchido: fonte ainda não confirmou campeonato 2025/26 com jogos e minutos.</t>
        </is>
      </c>
    </row>
    <row r="108">
      <c r="A108" s="1" t="n">
        <v>107</v>
      </c>
      <c r="B108" s="2" t="inlineStr">
        <is>
          <t>Algeria</t>
        </is>
      </c>
      <c r="C108" s="2" t="inlineStr">
        <is>
          <t>Rayan Aït-Nouri</t>
        </is>
      </c>
      <c r="D108" s="2" t="inlineStr">
        <is>
          <t>Defesa</t>
        </is>
      </c>
      <c r="E108" s="2" t="inlineStr">
        <is>
          <t>Manchester City</t>
        </is>
      </c>
      <c r="F108" s="2" t="inlineStr">
        <is>
          <t>Premier League</t>
        </is>
      </c>
      <c r="G108" s="2" t="inlineStr">
        <is>
          <t>England</t>
        </is>
      </c>
      <c r="H108" s="2" t="n">
        <v>38</v>
      </c>
      <c r="I108" s="2" t="n">
        <v>17</v>
      </c>
      <c r="J108" s="2">
        <f>IFERROR(I108/H108,"")</f>
        <v/>
      </c>
      <c r="K108" s="2" t="inlineStr">
        <is>
          <t>3420</t>
        </is>
      </c>
      <c r="L108" s="2" t="n">
        <v>974</v>
      </c>
      <c r="M108" s="2">
        <f>IFERROR(L108/K108,"")</f>
        <v/>
      </c>
      <c r="N108" s="2" t="inlineStr">
        <is>
          <t>The Analyst - 2025/2026 Premier League</t>
        </is>
      </c>
      <c r="O108" s="5" t="inlineStr">
        <is>
          <t>https://theanalyst.com/players/4362/rayan-ait-nouri</t>
        </is>
      </c>
      <c r="P108" s="2" t="inlineStr">
        <is>
          <t>confirmado</t>
        </is>
      </c>
      <c r="Q108" s="2" t="inlineStr">
        <is>
          <t>Rayan Aït-Nouri: 17 jogos, 974 minutos na Premier League.</t>
        </is>
      </c>
    </row>
    <row r="109">
      <c r="A109" s="1" t="n">
        <v>108</v>
      </c>
      <c r="B109" s="2" t="inlineStr">
        <is>
          <t>Algeria</t>
        </is>
      </c>
      <c r="C109" s="2" t="inlineStr">
        <is>
          <t>Rafik Belghali</t>
        </is>
      </c>
      <c r="D109" s="2" t="inlineStr">
        <is>
          <t>Defesa</t>
        </is>
      </c>
      <c r="E109" s="2" t="inlineStr">
        <is>
          <t>Hellas Verona</t>
        </is>
      </c>
      <c r="F109" s="2" t="inlineStr">
        <is>
          <t>Serie A</t>
        </is>
      </c>
      <c r="G109" s="2" t="inlineStr">
        <is>
          <t>Italy</t>
        </is>
      </c>
      <c r="H109" s="2" t="n">
        <v>38</v>
      </c>
      <c r="I109" s="2" t="n">
        <v>15</v>
      </c>
      <c r="J109" s="2">
        <f>IFERROR(I109/H109,"")</f>
        <v/>
      </c>
      <c r="K109" s="2" t="inlineStr">
        <is>
          <t>3420</t>
        </is>
      </c>
      <c r="L109" s="2" t="n">
        <v>982</v>
      </c>
      <c r="M109" s="2">
        <f>IFERROR(L109/K109,"")</f>
        <v/>
      </c>
      <c r="N109" s="5" t="inlineStr">
        <is>
          <t>https://www.flashscore.com/player/belghali-rafik/EX36Aw4G/</t>
        </is>
      </c>
      <c r="O109" s="2" t="inlineStr">
        <is>
          <t>assumido - fontes alternativas v12</t>
        </is>
      </c>
      <c r="P109" s="2" t="inlineStr">
        <is>
          <t>Rafik Belghali; Hellas Verona. Fontes alternativas: ZeroZero/FBref/Flashscore/GoalPoint/FotMob. Critério: nome aproximado + clube equivalente + época/competição.</t>
        </is>
      </c>
      <c r="Q109" s="2" t="inlineStr">
        <is>
          <t>Não preenchido: fonte ainda não confirmou campeonato 2025/26 com jogos e minutos.</t>
        </is>
      </c>
    </row>
    <row r="110">
      <c r="A110" s="1" t="n">
        <v>109</v>
      </c>
      <c r="B110" s="2" t="inlineStr">
        <is>
          <t>Algeria</t>
        </is>
      </c>
      <c r="C110" s="2" t="inlineStr">
        <is>
          <t>Ramy Bensebaini</t>
        </is>
      </c>
      <c r="D110" s="2" t="inlineStr">
        <is>
          <t>Defesa</t>
        </is>
      </c>
      <c r="E110" s="2" t="inlineStr">
        <is>
          <t>Borussia Dortmund</t>
        </is>
      </c>
      <c r="F110" s="2" t="inlineStr">
        <is>
          <t>Bundesliga</t>
        </is>
      </c>
      <c r="G110" s="2" t="inlineStr">
        <is>
          <t>Germany</t>
        </is>
      </c>
      <c r="H110" s="2" t="n">
        <v>34</v>
      </c>
      <c r="I110" s="2" t="n">
        <v>21</v>
      </c>
      <c r="J110" s="2">
        <f>IFERROR(I110/H110,"")</f>
        <v/>
      </c>
      <c r="K110" s="2" t="inlineStr">
        <is>
          <t>3060</t>
        </is>
      </c>
      <c r="L110" s="2" t="n">
        <v>1525</v>
      </c>
      <c r="M110" s="2">
        <f>IFERROR(L110/K110,"")</f>
        <v/>
      </c>
      <c r="N110" s="5" t="inlineStr">
        <is>
          <t>https://theanalyst.com/players/127/ramy-bensebaini</t>
        </is>
      </c>
      <c r="O110" s="2" t="inlineStr">
        <is>
          <t>confirmado</t>
        </is>
      </c>
      <c r="P110" s="2" t="inlineStr">
        <is>
          <t>Ramy Bensebaini: 21 jogos, 1525 minutos na Bundesliga 2025/26.</t>
        </is>
      </c>
      <c r="Q110" s="2" t="inlineStr">
        <is>
          <t>Não preenchido: fonte ainda não confirmou campeonato 2025/26 com jogos e minutos.</t>
        </is>
      </c>
    </row>
    <row r="111">
      <c r="A111" s="1" t="n">
        <v>110</v>
      </c>
      <c r="B111" s="2" t="inlineStr">
        <is>
          <t>Algeria</t>
        </is>
      </c>
      <c r="C111" s="2" t="inlineStr">
        <is>
          <t>Nabil Bentaleb</t>
        </is>
      </c>
      <c r="D111" s="2" t="inlineStr">
        <is>
          <t>Médio</t>
        </is>
      </c>
      <c r="E111" s="2" t="inlineStr">
        <is>
          <t>Lille</t>
        </is>
      </c>
      <c r="F111" s="2" t="inlineStr">
        <is>
          <t>Ligue 1</t>
        </is>
      </c>
      <c r="G111" s="2" t="inlineStr">
        <is>
          <t>France</t>
        </is>
      </c>
      <c r="H111" s="2" t="n">
        <v>34</v>
      </c>
      <c r="I111" s="2" t="n">
        <v>18</v>
      </c>
      <c r="J111" s="2">
        <f>IFERROR(I111/H111,"")</f>
        <v/>
      </c>
      <c r="K111" s="2" t="inlineStr">
        <is>
          <t>3060</t>
        </is>
      </c>
      <c r="L111" s="2" t="n">
        <v>1218</v>
      </c>
      <c r="M111" s="2">
        <f>IFERROR(L111/K111,"")</f>
        <v/>
      </c>
      <c r="N111" s="5" t="inlineStr">
        <is>
          <t>https://www.flashscore.com/player/bentaleb-nabil/x4E2uRYj/</t>
        </is>
      </c>
      <c r="O111" s="2" t="inlineStr">
        <is>
          <t>assumido - fontes alternativas v12</t>
        </is>
      </c>
      <c r="P111" s="2" t="inlineStr">
        <is>
          <t>Nabil Bentaleb; Lille/LOSC. Fontes alternativas: ZeroZero/FBref/Flashscore/GoalPoint/FotMob. Critério: nome aproximado + clube equivalente + época/competição.</t>
        </is>
      </c>
      <c r="Q111" s="2" t="inlineStr">
        <is>
          <t>Não preenchido: fonte ainda não confirmou campeonato 2025/26 com jogos e minutos.</t>
        </is>
      </c>
    </row>
    <row r="112">
      <c r="A112" s="1" t="n">
        <v>111</v>
      </c>
      <c r="B112" s="2" t="inlineStr">
        <is>
          <t>Algeria</t>
        </is>
      </c>
      <c r="C112" s="2" t="inlineStr">
        <is>
          <t>Adil Aouchiche</t>
        </is>
      </c>
      <c r="D112" s="2" t="inlineStr">
        <is>
          <t>Médio</t>
        </is>
      </c>
      <c r="E112" s="2" t="inlineStr">
        <is>
          <t>Schalke 04</t>
        </is>
      </c>
      <c r="F112" s="2" t="inlineStr">
        <is>
          <t>2. Bundesliga</t>
        </is>
      </c>
      <c r="G112" s="2" t="inlineStr">
        <is>
          <t>Germany</t>
        </is>
      </c>
      <c r="H112" s="2" t="n">
        <v>34</v>
      </c>
      <c r="I112" s="2" t="n">
        <v>22</v>
      </c>
      <c r="J112" s="2">
        <f>IFERROR(I112/H112,"")</f>
        <v/>
      </c>
      <c r="K112" s="2" t="inlineStr">
        <is>
          <t>3060</t>
        </is>
      </c>
      <c r="L112" s="2" t="n">
        <v>1430</v>
      </c>
      <c r="M112" s="2">
        <f>IFERROR(L112/K112,"")</f>
        <v/>
      </c>
      <c r="N112" s="5" t="inlineStr">
        <is>
          <t>https://www.flashscore.com/player/aouchiche-adil/6HzNNPrb/</t>
        </is>
      </c>
      <c r="O112" s="2" t="inlineStr">
        <is>
          <t>assumido - fontes alternativas v12</t>
        </is>
      </c>
      <c r="P112" s="2" t="inlineStr">
        <is>
          <t>Adil Aouchiche; Schalke 04. Fontes alternativas: ZeroZero/FBref/Flashscore/GoalPoint/FotMob. Critério: nome aproximado + clube equivalente + época/competição.</t>
        </is>
      </c>
      <c r="Q112" s="2" t="inlineStr">
        <is>
          <t>Não preenchido: fonte ainda não confirmou campeonato 2025/26 com jogos e minutos.</t>
        </is>
      </c>
    </row>
    <row r="113">
      <c r="A113" s="1" t="n">
        <v>112</v>
      </c>
      <c r="B113" s="2" t="inlineStr">
        <is>
          <t>Algeria</t>
        </is>
      </c>
      <c r="C113" s="2" t="inlineStr">
        <is>
          <t>Hicham Boudaoui</t>
        </is>
      </c>
      <c r="D113" s="2" t="inlineStr">
        <is>
          <t>Médio</t>
        </is>
      </c>
      <c r="E113" s="2" t="inlineStr">
        <is>
          <t>Nice</t>
        </is>
      </c>
      <c r="F113" s="2" t="inlineStr">
        <is>
          <t>Ligue 1</t>
        </is>
      </c>
      <c r="G113" s="2" t="inlineStr">
        <is>
          <t>France</t>
        </is>
      </c>
      <c r="H113" s="2" t="n">
        <v>34</v>
      </c>
      <c r="I113" s="2" t="n">
        <v>27</v>
      </c>
      <c r="J113" s="2">
        <f>IFERROR(I113/H113,"")</f>
        <v/>
      </c>
      <c r="K113" s="2" t="inlineStr">
        <is>
          <t>3060</t>
        </is>
      </c>
      <c r="L113" s="2" t="n">
        <v>1927</v>
      </c>
      <c r="M113" s="2">
        <f>IFERROR(L113/K113,"")</f>
        <v/>
      </c>
      <c r="N113" s="5" t="inlineStr">
        <is>
          <t>https://www.fotmob.com/players/761181/hicham-boudaoui</t>
        </is>
      </c>
      <c r="O113" s="2" t="inlineStr">
        <is>
          <t>provável - baixa semelhança controlada</t>
        </is>
      </c>
      <c r="P113" s="2" t="inlineStr">
        <is>
          <t>Hicham Boudaoui; Nice / OGC Nice. Possibilidade razoável por nome semelhante + clube equivalente + liga/época. 27 jogos e 1927 minutos.</t>
        </is>
      </c>
      <c r="Q113" s="2" t="inlineStr">
        <is>
          <t>Não preenchido: fonte ainda não confirmou campeonato 2025/26 com jogos e minutos.</t>
        </is>
      </c>
    </row>
    <row r="114">
      <c r="A114" s="1" t="n">
        <v>113</v>
      </c>
      <c r="B114" s="2" t="inlineStr">
        <is>
          <t>Algeria</t>
        </is>
      </c>
      <c r="C114" s="2" t="inlineStr">
        <is>
          <t>Ramiz Zerrouki</t>
        </is>
      </c>
      <c r="D114" s="2" t="inlineStr">
        <is>
          <t>Médio</t>
        </is>
      </c>
      <c r="E114" s="2" t="inlineStr">
        <is>
          <t>FC Twente</t>
        </is>
      </c>
      <c r="F114" s="2" t="inlineStr">
        <is>
          <t>Eredivisie</t>
        </is>
      </c>
      <c r="G114" s="2" t="inlineStr">
        <is>
          <t>Netherlands</t>
        </is>
      </c>
      <c r="H114" s="2" t="n">
        <v>34</v>
      </c>
      <c r="I114" s="2" t="n">
        <v>26</v>
      </c>
      <c r="J114" s="2">
        <f>IFERROR(I114/H114,"")</f>
        <v/>
      </c>
      <c r="K114" s="2" t="inlineStr">
        <is>
          <t>3060</t>
        </is>
      </c>
      <c r="L114" s="2" t="n">
        <v>1833</v>
      </c>
      <c r="M114" s="2">
        <f>IFERROR(L114/K114,"")</f>
        <v/>
      </c>
      <c r="N114" s="5" t="inlineStr">
        <is>
          <t>https://www.fotmob.com/players/932884/ramiz-zerrouki</t>
        </is>
      </c>
      <c r="O114" s="2" t="inlineStr">
        <is>
          <t>provável - baixa semelhança controlada</t>
        </is>
      </c>
      <c r="P114" s="2" t="inlineStr">
        <is>
          <t>Ramiz Zerrouki; FC Twente / Twente. Possibilidade razoável por nome semelhante + clube equivalente + liga/época. 26 jogos e 1833 minutos.</t>
        </is>
      </c>
      <c r="Q114" s="2" t="inlineStr">
        <is>
          <t>Não preenchido: fonte ainda não confirmou campeonato 2025/26 com jogos e minutos.</t>
        </is>
      </c>
    </row>
    <row r="115">
      <c r="A115" s="1" t="n">
        <v>114</v>
      </c>
      <c r="B115" s="2" t="inlineStr">
        <is>
          <t>Algeria</t>
        </is>
      </c>
      <c r="C115" s="2" t="inlineStr">
        <is>
          <t>Houssem Aouar</t>
        </is>
      </c>
      <c r="D115" s="2" t="inlineStr">
        <is>
          <t>Médio</t>
        </is>
      </c>
      <c r="E115" s="2" t="inlineStr">
        <is>
          <t>Al-Ittihad Jeddah</t>
        </is>
      </c>
      <c r="F115" s="2" t="inlineStr">
        <is>
          <t>Saudi Pro League</t>
        </is>
      </c>
      <c r="G115" s="2" t="inlineStr">
        <is>
          <t>Saudi Arabia</t>
        </is>
      </c>
      <c r="H115" s="2" t="n">
        <v>34</v>
      </c>
      <c r="I115" s="2" t="n">
        <v>25</v>
      </c>
      <c r="J115" s="2">
        <f>IFERROR(I115/H115,"")</f>
        <v/>
      </c>
      <c r="K115" s="2" t="inlineStr">
        <is>
          <t>3060</t>
        </is>
      </c>
      <c r="L115" s="2" t="n">
        <v>1842</v>
      </c>
      <c r="M115" s="2">
        <f>IFERROR(L115/K115,"")</f>
        <v/>
      </c>
      <c r="N115" s="5" t="inlineStr">
        <is>
          <t>https://www.fotmob.com/players/775496/houssem-aouar</t>
        </is>
      </c>
      <c r="O115" s="2" t="inlineStr">
        <is>
          <t>provável - baixa semelhança controlada</t>
        </is>
      </c>
      <c r="P115" s="2" t="inlineStr">
        <is>
          <t>Houssem Aouar; Al-Ittihad Jeddah / Al Ittihad. Possibilidade razoável por nome semelhante + clube equivalente + liga/época. 25 jogos e 1842 minutos.</t>
        </is>
      </c>
      <c r="Q115" s="2" t="inlineStr">
        <is>
          <t>Não preenchido: fonte ainda não confirmou campeonato 2025/26 com jogos e minutos.</t>
        </is>
      </c>
    </row>
    <row r="116">
      <c r="A116" s="1" t="n">
        <v>115</v>
      </c>
      <c r="B116" s="2" t="inlineStr">
        <is>
          <t>Algeria</t>
        </is>
      </c>
      <c r="C116" s="2" t="inlineStr">
        <is>
          <t>Farès Chaïbi</t>
        </is>
      </c>
      <c r="D116" s="2" t="inlineStr">
        <is>
          <t>Médio</t>
        </is>
      </c>
      <c r="E116" s="2" t="inlineStr">
        <is>
          <t>Eintracht Frankfurt</t>
        </is>
      </c>
      <c r="F116" s="2" t="inlineStr">
        <is>
          <t>Bundesliga</t>
        </is>
      </c>
      <c r="G116" s="2" t="inlineStr">
        <is>
          <t>Germany</t>
        </is>
      </c>
      <c r="H116" s="2" t="n">
        <v>34</v>
      </c>
      <c r="I116" s="2" t="n">
        <v>28</v>
      </c>
      <c r="J116" s="2">
        <f>IFERROR(I116/H116,"")</f>
        <v/>
      </c>
      <c r="K116" s="2" t="inlineStr">
        <is>
          <t>3060</t>
        </is>
      </c>
      <c r="L116" s="2" t="n">
        <v>1798</v>
      </c>
      <c r="M116" s="2">
        <f>IFERROR(L116/K116,"")</f>
        <v/>
      </c>
      <c r="N116" s="2" t="inlineStr">
        <is>
          <t>The Analyst - 2025/2026 Bundesliga</t>
        </is>
      </c>
      <c r="O116" s="5" t="inlineStr">
        <is>
          <t>https://theanalyst.com/players/199/fares-chaibi</t>
        </is>
      </c>
      <c r="P116" s="2" t="inlineStr">
        <is>
          <t>confirmado</t>
        </is>
      </c>
      <c r="Q116" s="2" t="inlineStr">
        <is>
          <t>Farès Chaïbi: 28 jogos, 1798 minutos na Bundesliga.</t>
        </is>
      </c>
    </row>
    <row r="117">
      <c r="A117" s="1" t="n">
        <v>116</v>
      </c>
      <c r="B117" s="2" t="inlineStr">
        <is>
          <t>Algeria</t>
        </is>
      </c>
      <c r="C117" s="2" t="inlineStr">
        <is>
          <t>Ibrahim Maza</t>
        </is>
      </c>
      <c r="D117" s="2" t="inlineStr">
        <is>
          <t>Médio</t>
        </is>
      </c>
      <c r="E117" s="2" t="inlineStr">
        <is>
          <t>Bayer Leverkusen</t>
        </is>
      </c>
      <c r="F117" s="2" t="inlineStr">
        <is>
          <t>Bundesliga</t>
        </is>
      </c>
      <c r="G117" s="2" t="inlineStr">
        <is>
          <t>Germany</t>
        </is>
      </c>
      <c r="H117" s="2" t="n">
        <v>34</v>
      </c>
      <c r="I117" s="2" t="n">
        <v>28</v>
      </c>
      <c r="J117" s="2">
        <f>IFERROR(I117/H117,"")</f>
        <v/>
      </c>
      <c r="K117" s="2" t="inlineStr">
        <is>
          <t>3060</t>
        </is>
      </c>
      <c r="L117" s="2" t="n">
        <v>1852</v>
      </c>
      <c r="M117" s="2">
        <f>IFERROR(L117/K117,"")</f>
        <v/>
      </c>
      <c r="N117" s="2" t="inlineStr">
        <is>
          <t>The Analyst / FotMob - 2025/2026 Bundesliga</t>
        </is>
      </c>
      <c r="O117" s="5" t="inlineStr">
        <is>
          <t>https://theanalyst.com/players/5792/ibrahim-maza</t>
        </is>
      </c>
      <c r="P117" s="2" t="inlineStr">
        <is>
          <t>confirmado</t>
        </is>
      </c>
      <c r="Q117" s="2" t="inlineStr">
        <is>
          <t>Ibrahim Maza: 28 jogos, 1852 minutos na Bundesliga.</t>
        </is>
      </c>
    </row>
    <row r="118">
      <c r="A118" s="1" t="n">
        <v>117</v>
      </c>
      <c r="B118" s="2" t="inlineStr">
        <is>
          <t>Algeria</t>
        </is>
      </c>
      <c r="C118" s="2" t="inlineStr">
        <is>
          <t>Yacine Titraoui</t>
        </is>
      </c>
      <c r="D118" s="2" t="inlineStr">
        <is>
          <t>Médio</t>
        </is>
      </c>
      <c r="E118" s="2" t="inlineStr">
        <is>
          <t>Charleroi</t>
        </is>
      </c>
      <c r="F118" s="2" t="inlineStr">
        <is>
          <t>Belgian Pro League</t>
        </is>
      </c>
      <c r="G118" s="2" t="inlineStr">
        <is>
          <t>Belgium</t>
        </is>
      </c>
      <c r="H118" s="2" t="n">
        <v>40</v>
      </c>
      <c r="I118" s="2" t="n">
        <v>21</v>
      </c>
      <c r="J118" s="2">
        <f>IFERROR(I118/H118,"")</f>
        <v/>
      </c>
      <c r="K118" s="2" t="inlineStr">
        <is>
          <t>3600</t>
        </is>
      </c>
      <c r="L118" s="2" t="n">
        <v>1516</v>
      </c>
      <c r="M118" s="2">
        <f>IFERROR(L118/K118,"")</f>
        <v/>
      </c>
      <c r="N118" s="5" t="inlineStr">
        <is>
          <t>https://www.flashscore.com/player/titraoui-yacine/Y7v5NEnE/</t>
        </is>
      </c>
      <c r="O118" s="2" t="inlineStr">
        <is>
          <t>assumido - fontes alternativas</t>
        </is>
      </c>
      <c r="P118" s="2" t="inlineStr">
        <is>
          <t>Yacine Titraoui; Charleroi/Sporting Charleroi; Belgian Pro League 2025/26; Flashscore/FotMob. Fontes alternativas consideradas: ZeroZero/FBref/Flashscore/GoalPoint/FotMob, com nome/clube equivalente e época/competição.</t>
        </is>
      </c>
      <c r="Q118" s="2" t="inlineStr">
        <is>
          <t>Não preenchido: fonte ainda não confirmou campeonato 2025/26 com jogos e minutos.</t>
        </is>
      </c>
    </row>
    <row r="119">
      <c r="A119" s="1" t="n">
        <v>118</v>
      </c>
      <c r="B119" s="2" t="inlineStr">
        <is>
          <t>Algeria</t>
        </is>
      </c>
      <c r="C119" s="2" t="inlineStr">
        <is>
          <t>Amin Chiakha</t>
        </is>
      </c>
      <c r="D119" s="2" t="inlineStr">
        <is>
          <t>Avançado</t>
        </is>
      </c>
      <c r="E119" s="2" t="inlineStr">
        <is>
          <t>Rosenborg</t>
        </is>
      </c>
      <c r="F119" s="2" t="inlineStr">
        <is>
          <t>Eliteserien</t>
        </is>
      </c>
      <c r="G119" s="2" t="inlineStr">
        <is>
          <t>Norway</t>
        </is>
      </c>
      <c r="H119" s="2" t="n">
        <v>30</v>
      </c>
      <c r="I119" s="2" t="n">
        <v>19</v>
      </c>
      <c r="J119" s="2">
        <f>IFERROR(I119/H119,"")</f>
        <v/>
      </c>
      <c r="K119" s="2" t="inlineStr">
        <is>
          <t>2700</t>
        </is>
      </c>
      <c r="L119" s="2" t="n">
        <v>1265</v>
      </c>
      <c r="M119" s="2">
        <f>IFERROR(L119/K119,"")</f>
        <v/>
      </c>
      <c r="N119" s="5" t="inlineStr">
        <is>
          <t>https://www.flashscore.com/player/chiakha-amin/8CKOLH4q/</t>
        </is>
      </c>
      <c r="O119" s="2" t="inlineStr">
        <is>
          <t>assumido - fontes alternativas v12</t>
        </is>
      </c>
      <c r="P119" s="2" t="inlineStr">
        <is>
          <t>Amin Chiakha; Rosenborg. Fontes alternativas: ZeroZero/FBref/Flashscore/GoalPoint/FotMob. Critério: nome aproximado + clube equivalente + época/competição.</t>
        </is>
      </c>
      <c r="Q119" s="2" t="inlineStr">
        <is>
          <t>Não preenchido: fonte ainda não confirmou campeonato 2025/26 com jogos e minutos.</t>
        </is>
      </c>
    </row>
    <row r="120">
      <c r="A120" s="1" t="n">
        <v>119</v>
      </c>
      <c r="B120" s="2" t="inlineStr">
        <is>
          <t>Algeria</t>
        </is>
      </c>
      <c r="C120" s="2" t="inlineStr">
        <is>
          <t>Riyad Mahrez</t>
        </is>
      </c>
      <c r="D120" s="2" t="inlineStr">
        <is>
          <t>Avançado</t>
        </is>
      </c>
      <c r="E120" s="2" t="inlineStr">
        <is>
          <t>Al-Ahli Jeddah</t>
        </is>
      </c>
      <c r="F120" s="2" t="inlineStr">
        <is>
          <t>Saudi Pro League</t>
        </is>
      </c>
      <c r="G120" s="2" t="inlineStr">
        <is>
          <t>Saudi Arabia</t>
        </is>
      </c>
      <c r="H120" s="2" t="n">
        <v>34</v>
      </c>
      <c r="I120" s="2" t="n">
        <v>27</v>
      </c>
      <c r="J120" s="2">
        <f>IFERROR(I120/H120,"")</f>
        <v/>
      </c>
      <c r="K120" s="2" t="inlineStr">
        <is>
          <t>3060</t>
        </is>
      </c>
      <c r="L120" s="2" t="n">
        <v>2315</v>
      </c>
      <c r="M120" s="2">
        <f>IFERROR(L120/K120,"")</f>
        <v/>
      </c>
      <c r="N120" s="5" t="inlineStr">
        <is>
          <t>https://theanalyst.com/players/7590/riyad-mahrez</t>
        </is>
      </c>
      <c r="O120" s="2" t="inlineStr">
        <is>
          <t>confirmado</t>
        </is>
      </c>
      <c r="P120" s="2" t="inlineStr">
        <is>
          <t>Riyad Mahrez: 27 jogos, 2315 minutos na Saudi League 2025/26. ZeroZero/ogol confirmou perfil 2025/26 no Al-Ahli; total agregado validado no The Analyst.</t>
        </is>
      </c>
      <c r="Q120" s="2" t="inlineStr">
        <is>
          <t>Não preenchido: fonte ainda não confirmou campeonato 2025/26 com jogos e minutos.</t>
        </is>
      </c>
    </row>
    <row r="121">
      <c r="A121" s="1" t="n">
        <v>120</v>
      </c>
      <c r="B121" s="2" t="inlineStr">
        <is>
          <t>Algeria</t>
        </is>
      </c>
      <c r="C121" s="2" t="inlineStr">
        <is>
          <t>Amine Gouiri</t>
        </is>
      </c>
      <c r="D121" s="2" t="inlineStr">
        <is>
          <t>Avançado</t>
        </is>
      </c>
      <c r="E121" s="2" t="inlineStr">
        <is>
          <t>Marseille</t>
        </is>
      </c>
      <c r="F121" s="2" t="inlineStr">
        <is>
          <t>Ligue 1</t>
        </is>
      </c>
      <c r="G121" s="2" t="inlineStr">
        <is>
          <t>France</t>
        </is>
      </c>
      <c r="H121" s="2" t="n">
        <v>34</v>
      </c>
      <c r="I121" s="2" t="n">
        <v>22</v>
      </c>
      <c r="J121" s="2">
        <f>IFERROR(I121/H121,"")</f>
        <v/>
      </c>
      <c r="K121" s="2" t="inlineStr">
        <is>
          <t>3060</t>
        </is>
      </c>
      <c r="L121" s="2" t="n">
        <v>1330</v>
      </c>
      <c r="M121" s="2">
        <f>IFERROR(L121/K121,"")</f>
        <v/>
      </c>
      <c r="N121" s="2" t="inlineStr">
        <is>
          <t>The Analyst - 2025/2026 Ligue 1</t>
        </is>
      </c>
      <c r="O121" s="5" t="inlineStr">
        <is>
          <t>https://theanalyst.com/players/3660/amine-gouiri</t>
        </is>
      </c>
      <c r="P121" s="2" t="inlineStr">
        <is>
          <t>confirmado</t>
        </is>
      </c>
      <c r="Q121" s="2" t="inlineStr">
        <is>
          <t>Amine Gouiri: 22 jogos, 1330 minutos na Ligue 1.</t>
        </is>
      </c>
    </row>
    <row r="122">
      <c r="A122" s="1" t="n">
        <v>121</v>
      </c>
      <c r="B122" s="2" t="inlineStr">
        <is>
          <t>Algeria</t>
        </is>
      </c>
      <c r="C122" s="2" t="inlineStr">
        <is>
          <t>Anis Hadj Moussa</t>
        </is>
      </c>
      <c r="D122" s="2" t="inlineStr">
        <is>
          <t>Avançado</t>
        </is>
      </c>
      <c r="E122" s="2" t="inlineStr">
        <is>
          <t>Feyenoord</t>
        </is>
      </c>
      <c r="F122" s="2" t="inlineStr">
        <is>
          <t>Eredivisie</t>
        </is>
      </c>
      <c r="G122" s="2" t="inlineStr">
        <is>
          <t>Netherlands</t>
        </is>
      </c>
      <c r="H122" s="2" t="n">
        <v>34</v>
      </c>
      <c r="I122" s="2" t="n">
        <v>29</v>
      </c>
      <c r="J122" s="2">
        <f>IFERROR(I122/H122,"")</f>
        <v/>
      </c>
      <c r="K122" s="2" t="inlineStr">
        <is>
          <t>3060</t>
        </is>
      </c>
      <c r="L122" s="2" t="n">
        <v>2075</v>
      </c>
      <c r="M122" s="2">
        <f>IFERROR(L122/K122,"")</f>
        <v/>
      </c>
      <c r="N122" s="5" t="inlineStr">
        <is>
          <t>https://www.fotmob.com/players/1337967/anis-hadj-moussa</t>
        </is>
      </c>
      <c r="O122" s="2" t="inlineStr">
        <is>
          <t>provável - baixa semelhança controlada</t>
        </is>
      </c>
      <c r="P122" s="2" t="inlineStr">
        <is>
          <t>Anis Hadj Moussa; Feyenoord / Feyenoord Rotterdam. Possibilidade razoável por nome semelhante + clube equivalente + liga/época. 29 jogos e 2075 minutos.</t>
        </is>
      </c>
      <c r="Q122" s="2" t="inlineStr">
        <is>
          <t>Não preenchido: fonte ainda não confirmou campeonato 2025/26 com jogos e minutos.</t>
        </is>
      </c>
    </row>
    <row r="123">
      <c r="A123" s="1" t="n">
        <v>122</v>
      </c>
      <c r="B123" s="2" t="inlineStr">
        <is>
          <t>Algeria</t>
        </is>
      </c>
      <c r="C123" s="2" t="inlineStr">
        <is>
          <t>Nadir Benbouali</t>
        </is>
      </c>
      <c r="D123" s="2" t="inlineStr">
        <is>
          <t>Avançado</t>
        </is>
      </c>
      <c r="E123" s="2" t="inlineStr">
        <is>
          <t>Gyori ETO</t>
        </is>
      </c>
      <c r="F123" s="2" t="inlineStr">
        <is>
          <t>Nemzeti Bajnokság I</t>
        </is>
      </c>
      <c r="G123" s="2" t="inlineStr">
        <is>
          <t>Hungary</t>
        </is>
      </c>
      <c r="H123" s="2" t="n">
        <v>33</v>
      </c>
      <c r="I123" s="2" t="n">
        <v>16</v>
      </c>
      <c r="J123" s="2">
        <f>IFERROR(I123/H123,"")</f>
        <v/>
      </c>
      <c r="K123" s="2" t="inlineStr">
        <is>
          <t>2970</t>
        </is>
      </c>
      <c r="L123" s="2" t="n">
        <v>970</v>
      </c>
      <c r="M123" s="2">
        <f>IFERROR(L123/K123,"")</f>
        <v/>
      </c>
      <c r="N123" s="5" t="inlineStr">
        <is>
          <t>https://www.flashscore.com/player/benbouali-nadir/YT2j0d2m/</t>
        </is>
      </c>
      <c r="O123" s="2" t="inlineStr">
        <is>
          <t>assumido - fontes alternativas v12</t>
        </is>
      </c>
      <c r="P123" s="2" t="inlineStr">
        <is>
          <t>Nadir Benbouali; Gyori ETO. Fontes alternativas: ZeroZero/FBref/Flashscore/GoalPoint/FotMob. Critério: nome aproximado + clube equivalente + época/competição.</t>
        </is>
      </c>
      <c r="Q123" s="2" t="inlineStr">
        <is>
          <t>Não preenchido: fonte ainda não confirmou campeonato 2025/26 com jogos e minutos.</t>
        </is>
      </c>
    </row>
    <row r="124">
      <c r="A124" s="1" t="n">
        <v>123</v>
      </c>
      <c r="B124" s="2" t="inlineStr">
        <is>
          <t>Algeria</t>
        </is>
      </c>
      <c r="C124" s="2" t="inlineStr">
        <is>
          <t>Mohamed Amoura</t>
        </is>
      </c>
      <c r="D124" s="2" t="inlineStr">
        <is>
          <t>Avançado</t>
        </is>
      </c>
      <c r="E124" s="2" t="inlineStr">
        <is>
          <t>Wolfsburg</t>
        </is>
      </c>
      <c r="F124" s="2" t="inlineStr">
        <is>
          <t>Bundesliga</t>
        </is>
      </c>
      <c r="G124" s="2" t="inlineStr">
        <is>
          <t>Germany</t>
        </is>
      </c>
      <c r="H124" s="2" t="n">
        <v>34</v>
      </c>
      <c r="I124" s="2" t="n">
        <v>30</v>
      </c>
      <c r="J124" s="2">
        <f>IFERROR(I124/H124,"")</f>
        <v/>
      </c>
      <c r="K124" s="2" t="inlineStr">
        <is>
          <t>3060</t>
        </is>
      </c>
      <c r="L124" s="2" t="n">
        <v>1927</v>
      </c>
      <c r="M124" s="2">
        <f>IFERROR(L124/K124,"")</f>
        <v/>
      </c>
      <c r="N124" s="2" t="inlineStr">
        <is>
          <t>The Analyst / FotMob - 2025/2026 Bundesliga</t>
        </is>
      </c>
      <c r="O124" s="5" t="inlineStr">
        <is>
          <t>https://theanalyst.com/players/574/mohammed-amoura</t>
        </is>
      </c>
      <c r="P124" s="2" t="inlineStr">
        <is>
          <t>confirmado</t>
        </is>
      </c>
      <c r="Q124" s="2" t="inlineStr">
        <is>
          <t>Mohamed Amoura: 30 jogos, 1927 minutos na Bundesliga.</t>
        </is>
      </c>
    </row>
    <row r="125">
      <c r="A125" s="1" t="n">
        <v>124</v>
      </c>
      <c r="B125" s="2" t="inlineStr">
        <is>
          <t>Algeria</t>
        </is>
      </c>
      <c r="C125" s="2" t="inlineStr">
        <is>
          <t>Adil Boulbina</t>
        </is>
      </c>
      <c r="D125" s="2" t="inlineStr">
        <is>
          <t>Avançado</t>
        </is>
      </c>
      <c r="E125" s="2" t="inlineStr">
        <is>
          <t>Al-Duhail</t>
        </is>
      </c>
      <c r="F125" s="2" t="inlineStr">
        <is>
          <t>Qatar Stars League</t>
        </is>
      </c>
      <c r="G125" s="2" t="inlineStr">
        <is>
          <t>Qatar</t>
        </is>
      </c>
      <c r="H125" s="2" t="n">
        <v>22</v>
      </c>
      <c r="I125" s="2" t="n">
        <v>17</v>
      </c>
      <c r="J125" s="2">
        <f>IFERROR(I125/H125,"")</f>
        <v/>
      </c>
      <c r="K125" s="2" t="inlineStr">
        <is>
          <t>1980</t>
        </is>
      </c>
      <c r="L125" s="2" t="n">
        <v>1108</v>
      </c>
      <c r="M125" s="2">
        <f>IFERROR(L125/K125,"")</f>
        <v/>
      </c>
      <c r="N125" s="5" t="inlineStr">
        <is>
          <t>https://www.flashscore.com/player/boulbina-adil/nizV0mQD/</t>
        </is>
      </c>
      <c r="O125" s="2" t="inlineStr">
        <is>
          <t>assumido - fontes alternativas v12</t>
        </is>
      </c>
      <c r="P125" s="2" t="inlineStr">
        <is>
          <t>Adil Boulbina; Al-Duhail. Fontes alternativas: ZeroZero/FBref/Flashscore/GoalPoint/FotMob. Critério: nome aproximado + clube equivalente + época/competição.</t>
        </is>
      </c>
      <c r="Q125" s="2" t="inlineStr">
        <is>
          <t>Não preenchido: fonte ainda não confirmou campeonato 2025/26 com jogos e minutos.</t>
        </is>
      </c>
    </row>
    <row r="126">
      <c r="A126" s="1" t="n">
        <v>125</v>
      </c>
      <c r="B126" s="2" t="inlineStr">
        <is>
          <t>Algeria</t>
        </is>
      </c>
      <c r="C126" s="2" t="inlineStr">
        <is>
          <t>Farès Ghedjemis</t>
        </is>
      </c>
      <c r="D126" s="2" t="inlineStr">
        <is>
          <t>Avançado</t>
        </is>
      </c>
      <c r="E126" s="2" t="inlineStr">
        <is>
          <t>Frosinone</t>
        </is>
      </c>
      <c r="F126" s="2" t="inlineStr">
        <is>
          <t>Serie B</t>
        </is>
      </c>
      <c r="G126" s="2" t="inlineStr">
        <is>
          <t>Italy</t>
        </is>
      </c>
      <c r="H126" s="2" t="n">
        <v>38</v>
      </c>
      <c r="I126" s="2" t="n">
        <v>18</v>
      </c>
      <c r="J126" s="2">
        <f>IFERROR(I126/H126,"")</f>
        <v/>
      </c>
      <c r="K126" s="2" t="inlineStr">
        <is>
          <t>3420</t>
        </is>
      </c>
      <c r="L126" s="2" t="n">
        <v>1120</v>
      </c>
      <c r="M126" s="2">
        <f>IFERROR(L126/K126,"")</f>
        <v/>
      </c>
      <c r="N126" s="5" t="inlineStr">
        <is>
          <t>https://www.flashscore.com/player/ghedjemis-fares/tUvZE1Ir/</t>
        </is>
      </c>
      <c r="O126" s="2" t="inlineStr">
        <is>
          <t>assumido - fontes alternativas v12</t>
        </is>
      </c>
      <c r="P126" s="2" t="inlineStr">
        <is>
          <t>Farès Ghedjemis; Frosinone. Fontes alternativas: ZeroZero/FBref/Flashscore/GoalPoint/FotMob. Critério: nome aproximado + clube equivalente + época/competição.</t>
        </is>
      </c>
      <c r="Q126" s="2" t="inlineStr">
        <is>
          <t>Não preenchido: fonte ainda não confirmou campeonato 2025/26 com jogos e minutos.</t>
        </is>
      </c>
    </row>
    <row r="127">
      <c r="A127" s="1" t="n">
        <v>126</v>
      </c>
      <c r="B127" s="2" t="inlineStr">
        <is>
          <t>Argentina</t>
        </is>
      </c>
      <c r="C127" s="2" t="inlineStr">
        <is>
          <t>Santiago Beltrán</t>
        </is>
      </c>
      <c r="D127" s="2" t="inlineStr">
        <is>
          <t>Guarda Redes</t>
        </is>
      </c>
      <c r="E127" s="2" t="inlineStr">
        <is>
          <t>River Plate</t>
        </is>
      </c>
      <c r="F127" s="2" t="inlineStr">
        <is>
          <t>Argentine Primera División</t>
        </is>
      </c>
      <c r="G127" s="2" t="inlineStr">
        <is>
          <t>Argentina</t>
        </is>
      </c>
      <c r="H127" s="2" t="n">
        <v>32</v>
      </c>
      <c r="I127" s="2" t="n">
        <v>18</v>
      </c>
      <c r="J127" s="2">
        <f>IFERROR(I127/H127,"")</f>
        <v/>
      </c>
      <c r="K127" s="2" t="inlineStr">
        <is>
          <t>2880</t>
        </is>
      </c>
      <c r="L127" s="2" t="n">
        <v>1620</v>
      </c>
      <c r="M127" s="2">
        <f>IFERROR(L127/K127,"")</f>
        <v/>
      </c>
      <c r="N127" s="5" t="inlineStr">
        <is>
          <t>https://www.fotmob.com/players/1547862/santiago-beltran</t>
        </is>
      </c>
      <c r="O127" s="2" t="inlineStr">
        <is>
          <t>confirmado - clube equivalente multi-idioma</t>
        </is>
      </c>
      <c r="P127" s="2" t="inlineStr">
        <is>
          <t>Santiago Beltrán: River Plate/CA River Plate. 18 jogos e 1620 minutos na época/competição 2025/26.</t>
        </is>
      </c>
      <c r="Q127" s="2" t="inlineStr">
        <is>
          <t>Não preenchido: fonte ainda não confirmou campeonato 2025/26 com jogos e minutos.</t>
        </is>
      </c>
    </row>
    <row r="128">
      <c r="A128" s="1" t="n">
        <v>127</v>
      </c>
      <c r="B128" s="2" t="inlineStr">
        <is>
          <t>Argentina</t>
        </is>
      </c>
      <c r="C128" s="2" t="inlineStr">
        <is>
          <t>Juan Musso</t>
        </is>
      </c>
      <c r="D128" s="2" t="inlineStr">
        <is>
          <t>Guarda Redes</t>
        </is>
      </c>
      <c r="E128" s="2" t="inlineStr">
        <is>
          <t>Atlético de Madrid</t>
        </is>
      </c>
      <c r="F128" s="2" t="inlineStr">
        <is>
          <t>LaLiga</t>
        </is>
      </c>
      <c r="G128" s="2" t="inlineStr">
        <is>
          <t>Spain</t>
        </is>
      </c>
      <c r="H128" s="2" t="n">
        <v>38</v>
      </c>
      <c r="I128" s="2" t="n">
        <v>13</v>
      </c>
      <c r="J128" s="2">
        <f>IFERROR(I128/H128,"")</f>
        <v/>
      </c>
      <c r="K128" s="2" t="inlineStr">
        <is>
          <t>3420</t>
        </is>
      </c>
      <c r="L128" s="2" t="n">
        <v>1170</v>
      </c>
      <c r="M128" s="2">
        <f>IFERROR(L128/K128,"")</f>
        <v/>
      </c>
      <c r="N128" s="5" t="inlineStr">
        <is>
          <t>https://www.fotmob.com/players/282979/juan-musso</t>
        </is>
      </c>
      <c r="O128" s="2" t="inlineStr">
        <is>
          <t>confirmado - clube equivalente multi-idioma</t>
        </is>
      </c>
      <c r="P128" s="2" t="inlineStr">
        <is>
          <t>Juan Musso: Atlético de Madrid/Atletico Madrid. 13 jogos e 1170 minutos na época/competição 2025/26.</t>
        </is>
      </c>
      <c r="Q128" s="2" t="inlineStr">
        <is>
          <t>Não preenchido: fonte ainda não confirmou campeonato 2025/26 com jogos e minutos.</t>
        </is>
      </c>
    </row>
    <row r="129">
      <c r="A129" s="1" t="n">
        <v>128</v>
      </c>
      <c r="B129" s="2" t="inlineStr">
        <is>
          <t>Argentina</t>
        </is>
      </c>
      <c r="C129" s="2" t="inlineStr">
        <is>
          <t>Gerónimo Rulli</t>
        </is>
      </c>
      <c r="D129" s="2" t="inlineStr">
        <is>
          <t>Guarda Redes</t>
        </is>
      </c>
      <c r="E129" s="2" t="inlineStr">
        <is>
          <t>Marseille</t>
        </is>
      </c>
      <c r="F129" s="2" t="inlineStr">
        <is>
          <t>Ligue 1</t>
        </is>
      </c>
      <c r="G129" s="2" t="inlineStr">
        <is>
          <t>France</t>
        </is>
      </c>
      <c r="H129" s="2" t="n">
        <v>34</v>
      </c>
      <c r="I129" s="2" t="n">
        <v>33</v>
      </c>
      <c r="J129" s="2">
        <f>IFERROR(I129/H129,"")</f>
        <v/>
      </c>
      <c r="K129" s="2" t="inlineStr">
        <is>
          <t>3060</t>
        </is>
      </c>
      <c r="L129" s="2" t="n">
        <v>2970</v>
      </c>
      <c r="M129" s="2">
        <f>IFERROR(L129/K129,"")</f>
        <v/>
      </c>
      <c r="N129" s="5" t="inlineStr">
        <is>
          <t>https://www.fotmob.com/players/276651/geronimo-rulli</t>
        </is>
      </c>
      <c r="O129" s="2" t="inlineStr">
        <is>
          <t>confirmado - clube equivalente multi-idioma</t>
        </is>
      </c>
      <c r="P129" s="2" t="inlineStr">
        <is>
          <t>Gerónimo Rulli: Marseille/Olympique de Marseille/OM. 33 jogos e 2970 minutos na época/competição 2025/26.</t>
        </is>
      </c>
      <c r="Q129" s="2" t="inlineStr">
        <is>
          <t>Não preenchido: fonte ainda não confirmou campeonato 2025/26 com jogos e minutos.</t>
        </is>
      </c>
    </row>
    <row r="130">
      <c r="A130" s="1" t="n">
        <v>129</v>
      </c>
      <c r="B130" s="2" t="inlineStr">
        <is>
          <t>Argentina</t>
        </is>
      </c>
      <c r="C130" s="2" t="inlineStr">
        <is>
          <t>Emiliano Martínez</t>
        </is>
      </c>
      <c r="D130" s="2" t="inlineStr">
        <is>
          <t>Guarda Redes</t>
        </is>
      </c>
      <c r="E130" s="2" t="inlineStr">
        <is>
          <t>Aston Villa</t>
        </is>
      </c>
      <c r="F130" s="2" t="inlineStr">
        <is>
          <t>Premier League</t>
        </is>
      </c>
      <c r="G130" s="2" t="inlineStr">
        <is>
          <t>England</t>
        </is>
      </c>
      <c r="H130" s="2" t="n">
        <v>38</v>
      </c>
      <c r="I130" s="2" t="n">
        <v>37</v>
      </c>
      <c r="J130" s="2">
        <f>IFERROR(I130/H130,"")</f>
        <v/>
      </c>
      <c r="K130" s="2" t="inlineStr">
        <is>
          <t>3420</t>
        </is>
      </c>
      <c r="L130" s="2" t="n">
        <v>3330</v>
      </c>
      <c r="M130" s="2">
        <f>IFERROR(L130/K130,"")</f>
        <v/>
      </c>
      <c r="N130" s="5" t="inlineStr">
        <is>
          <t>https://www.fotmob.com/players/282674/emiliano-martinez</t>
        </is>
      </c>
      <c r="O130" s="2" t="inlineStr">
        <is>
          <t>confirmado - clube equivalente</t>
        </is>
      </c>
      <c r="P130" s="2" t="inlineStr">
        <is>
          <t>Emiliano Martínez: Aston Villa/Aston Villa FC, 37 jogos e 3330 minutos na Premier League 2025/26.</t>
        </is>
      </c>
      <c r="Q130" s="2" t="inlineStr">
        <is>
          <t>Não preenchido: fonte ainda não confirmou campeonato 2025/26 com jogos e minutos.</t>
        </is>
      </c>
    </row>
    <row r="131">
      <c r="A131" s="1" t="n">
        <v>130</v>
      </c>
      <c r="B131" s="2" t="inlineStr">
        <is>
          <t>Argentina</t>
        </is>
      </c>
      <c r="C131" s="2" t="inlineStr">
        <is>
          <t>Lisandro Martínez</t>
        </is>
      </c>
      <c r="D131" s="2" t="inlineStr">
        <is>
          <t>Defesa</t>
        </is>
      </c>
      <c r="E131" s="2" t="inlineStr">
        <is>
          <t>Manchester United</t>
        </is>
      </c>
      <c r="F131" s="2" t="inlineStr">
        <is>
          <t>Premier League</t>
        </is>
      </c>
      <c r="G131" s="2" t="inlineStr">
        <is>
          <t>England</t>
        </is>
      </c>
      <c r="H131" s="2" t="n">
        <v>38</v>
      </c>
      <c r="I131" s="2" t="n">
        <v>15</v>
      </c>
      <c r="J131" s="2">
        <f>IFERROR(I131/H131,"")</f>
        <v/>
      </c>
      <c r="K131" s="2" t="inlineStr">
        <is>
          <t>3420</t>
        </is>
      </c>
      <c r="L131" s="2" t="n">
        <v>1052</v>
      </c>
      <c r="M131" s="2">
        <f>IFERROR(L131/K131,"")</f>
        <v/>
      </c>
      <c r="N131" s="5" t="inlineStr">
        <is>
          <t>https://www.fotmob.com/players/791438/lisandro-martinez</t>
        </is>
      </c>
      <c r="O131" s="2" t="inlineStr">
        <is>
          <t>confirmado - clube equivalente multi-idioma</t>
        </is>
      </c>
      <c r="P131" s="2" t="inlineStr">
        <is>
          <t>Lisandro Martínez: Manchester United/Man United. 15 jogos e 1052 minutos na época/competição 2025/26.</t>
        </is>
      </c>
      <c r="Q131" s="2" t="inlineStr">
        <is>
          <t>Não preenchido: fonte ainda não confirmou campeonato 2025/26 com jogos e minutos.</t>
        </is>
      </c>
    </row>
    <row r="132">
      <c r="A132" s="1" t="n">
        <v>131</v>
      </c>
      <c r="B132" s="2" t="inlineStr">
        <is>
          <t>Argentina</t>
        </is>
      </c>
      <c r="C132" s="2" t="inlineStr">
        <is>
          <t>Ignacio Ovando</t>
        </is>
      </c>
      <c r="D132" s="2" t="inlineStr">
        <is>
          <t>Defesa</t>
        </is>
      </c>
      <c r="E132" s="2" t="inlineStr">
        <is>
          <t>Rosario Central</t>
        </is>
      </c>
      <c r="F132" s="2" t="inlineStr">
        <is>
          <t>Argentine Primera División</t>
        </is>
      </c>
      <c r="G132" s="2" t="inlineStr">
        <is>
          <t>Argentina</t>
        </is>
      </c>
      <c r="H132" s="2" t="n">
        <v>32</v>
      </c>
      <c r="I132" s="2" t="n">
        <v>17</v>
      </c>
      <c r="J132" s="2">
        <f>IFERROR(I132/H132,"")</f>
        <v/>
      </c>
      <c r="K132" s="2" t="inlineStr">
        <is>
          <t>2880</t>
        </is>
      </c>
      <c r="L132" s="2" t="n">
        <v>1064</v>
      </c>
      <c r="M132" s="2">
        <f>IFERROR(L132/K132,"")</f>
        <v/>
      </c>
      <c r="N132" s="5" t="inlineStr">
        <is>
          <t>https://www.fotmob.com/players/1598640/ignacio-ovando</t>
        </is>
      </c>
      <c r="O132" s="2" t="inlineStr">
        <is>
          <t>provável - baixa semelhança controlada</t>
        </is>
      </c>
      <c r="P132" s="2" t="inlineStr">
        <is>
          <t>Ignacio Ovando; Rosario Central / CA Rosario Central. Possibilidade razoável por nome semelhante + clube equivalente + liga/época. 17 jogos e 1064 minutos.</t>
        </is>
      </c>
      <c r="Q132" s="2" t="inlineStr">
        <is>
          <t>Não preenchido: fonte ainda não confirmou campeonato 2025/26 com jogos e minutos.</t>
        </is>
      </c>
    </row>
    <row r="133">
      <c r="A133" s="1" t="n">
        <v>132</v>
      </c>
      <c r="B133" s="2" t="inlineStr">
        <is>
          <t>Argentina</t>
        </is>
      </c>
      <c r="C133" s="2" t="inlineStr">
        <is>
          <t>Leonardo Balerdi</t>
        </is>
      </c>
      <c r="D133" s="2" t="inlineStr">
        <is>
          <t>Defesa</t>
        </is>
      </c>
      <c r="E133" s="2" t="inlineStr">
        <is>
          <t>Marseille</t>
        </is>
      </c>
      <c r="F133" s="2" t="inlineStr">
        <is>
          <t>Ligue 1</t>
        </is>
      </c>
      <c r="G133" s="2" t="inlineStr">
        <is>
          <t>France</t>
        </is>
      </c>
      <c r="H133" s="2" t="n">
        <v>34</v>
      </c>
      <c r="I133" s="2" t="n">
        <v>28</v>
      </c>
      <c r="J133" s="2">
        <f>IFERROR(I133/H133,"")</f>
        <v/>
      </c>
      <c r="K133" s="2" t="inlineStr">
        <is>
          <t>3060</t>
        </is>
      </c>
      <c r="L133" s="2" t="n">
        <v>2447</v>
      </c>
      <c r="M133" s="2">
        <f>IFERROR(L133/K133,"")</f>
        <v/>
      </c>
      <c r="N133" s="5" t="inlineStr">
        <is>
          <t>https://theanalyst.com/players/3523/leonardo-balerdi</t>
        </is>
      </c>
      <c r="O133" s="2" t="inlineStr">
        <is>
          <t>confirmado - clube equivalente</t>
        </is>
      </c>
      <c r="P133" s="2" t="inlineStr">
        <is>
          <t>Leonardo Balerdi: Marseille/Olympique de Marseille, 28 jogos e 2447 minutos na Ligue 1 2025/26.</t>
        </is>
      </c>
      <c r="Q133" s="2" t="inlineStr">
        <is>
          <t>Não preenchido: fonte ainda não confirmou campeonato 2025/26 com jogos e minutos.</t>
        </is>
      </c>
    </row>
    <row r="134">
      <c r="A134" s="1" t="n">
        <v>133</v>
      </c>
      <c r="B134" s="2" t="inlineStr">
        <is>
          <t>Argentina</t>
        </is>
      </c>
      <c r="C134" s="2" t="inlineStr">
        <is>
          <t>Tomás Palacios</t>
        </is>
      </c>
      <c r="D134" s="2" t="inlineStr">
        <is>
          <t>Defesa</t>
        </is>
      </c>
      <c r="E134" s="2" t="inlineStr">
        <is>
          <t>Estudiantes</t>
        </is>
      </c>
      <c r="F134" s="2" t="inlineStr">
        <is>
          <t>Argentine Primera División</t>
        </is>
      </c>
      <c r="G134" s="2" t="inlineStr">
        <is>
          <t>Argentina</t>
        </is>
      </c>
      <c r="H134" s="2" t="n">
        <v>32</v>
      </c>
      <c r="I134" s="2" t="n">
        <v>19</v>
      </c>
      <c r="J134" s="2">
        <f>IFERROR(I134/H134,"")</f>
        <v/>
      </c>
      <c r="K134" s="2" t="inlineStr">
        <is>
          <t>2880</t>
        </is>
      </c>
      <c r="L134" s="2" t="n">
        <v>1460</v>
      </c>
      <c r="M134" s="2">
        <f>IFERROR(L134/K134,"")</f>
        <v/>
      </c>
      <c r="N134" s="5" t="inlineStr">
        <is>
          <t>https://www.flashscore.com/player/palacios-tomas/0tJS3fwL/</t>
        </is>
      </c>
      <c r="O134" s="2" t="inlineStr">
        <is>
          <t>assumido - fontes alternativas</t>
        </is>
      </c>
      <c r="P134" s="2" t="inlineStr">
        <is>
          <t>Tomás Palacios; Estudiantes; Argentina 2026; Flashscore/FotMob. Fontes alternativas consideradas: ZeroZero/FBref/Flashscore/GoalPoint/FotMob, com nome/clube equivalente e época/competição.</t>
        </is>
      </c>
      <c r="Q134" s="2" t="inlineStr">
        <is>
          <t>Não preenchido: fonte ainda não confirmou campeonato 2025/26 com jogos e minutos.</t>
        </is>
      </c>
    </row>
    <row r="135">
      <c r="A135" s="1" t="n">
        <v>134</v>
      </c>
      <c r="B135" s="2" t="inlineStr">
        <is>
          <t>Argentina</t>
        </is>
      </c>
      <c r="C135" s="2" t="inlineStr">
        <is>
          <t>Martínez Quarta</t>
        </is>
      </c>
      <c r="D135" s="2" t="inlineStr">
        <is>
          <t>Defesa</t>
        </is>
      </c>
      <c r="E135" s="2" t="inlineStr">
        <is>
          <t>River Plate</t>
        </is>
      </c>
      <c r="F135" s="2" t="inlineStr">
        <is>
          <t>Argentine Primera División</t>
        </is>
      </c>
      <c r="G135" s="2" t="inlineStr">
        <is>
          <t>Argentina</t>
        </is>
      </c>
      <c r="H135" s="2" t="n">
        <v>32</v>
      </c>
      <c r="I135" s="2" t="n">
        <v>24</v>
      </c>
      <c r="J135" s="2">
        <f>IFERROR(I135/H135,"")</f>
        <v/>
      </c>
      <c r="K135" s="2" t="inlineStr">
        <is>
          <t>2880</t>
        </is>
      </c>
      <c r="L135" s="2" t="n">
        <v>2074</v>
      </c>
      <c r="M135" s="2">
        <f>IFERROR(L135/K135,"")</f>
        <v/>
      </c>
      <c r="N135" s="5" t="inlineStr">
        <is>
          <t>https://www.fotmob.com/players/515420/lucas-martinez-quarta</t>
        </is>
      </c>
      <c r="O135" s="2" t="inlineStr">
        <is>
          <t>provável - baixa semelhança controlada</t>
        </is>
      </c>
      <c r="P135" s="2" t="inlineStr">
        <is>
          <t>Martínez Quarta / Lucas Martínez Quarta; River Plate / CA River Plate. Possibilidade razoável por nome semelhante + clube equivalente + liga/época. 24 jogos e 2074 minutos.</t>
        </is>
      </c>
      <c r="Q135" s="2" t="inlineStr">
        <is>
          <t>Não preenchido: fonte ainda não confirmou campeonato 2025/26 com jogos e minutos.</t>
        </is>
      </c>
    </row>
    <row r="136">
      <c r="A136" s="1" t="n">
        <v>135</v>
      </c>
      <c r="B136" s="2" t="inlineStr">
        <is>
          <t>Argentina</t>
        </is>
      </c>
      <c r="C136" s="2" t="inlineStr">
        <is>
          <t>Nicolás Tagliafico</t>
        </is>
      </c>
      <c r="D136" s="2" t="inlineStr">
        <is>
          <t>Defesa</t>
        </is>
      </c>
      <c r="E136" s="2" t="inlineStr">
        <is>
          <t>Lyon</t>
        </is>
      </c>
      <c r="F136" s="2" t="inlineStr">
        <is>
          <t>Ligue 1</t>
        </is>
      </c>
      <c r="G136" s="2" t="inlineStr">
        <is>
          <t>France</t>
        </is>
      </c>
      <c r="H136" s="2" t="n">
        <v>34</v>
      </c>
      <c r="I136" s="2" t="n">
        <v>25</v>
      </c>
      <c r="J136" s="2">
        <f>IFERROR(I136/H136,"")</f>
        <v/>
      </c>
      <c r="K136" s="2" t="inlineStr">
        <is>
          <t>3060</t>
        </is>
      </c>
      <c r="L136" s="2" t="n">
        <v>2170</v>
      </c>
      <c r="M136" s="2">
        <f>IFERROR(L136/K136,"")</f>
        <v/>
      </c>
      <c r="N136" s="5" t="inlineStr">
        <is>
          <t>https://theanalyst.com/players/3524/nicolas-tagliafico</t>
        </is>
      </c>
      <c r="O136" s="2" t="inlineStr">
        <is>
          <t>confirmado - clube equivalente</t>
        </is>
      </c>
      <c r="P136" s="2" t="inlineStr">
        <is>
          <t>Nicolás Tagliafico: Lyon/Olympique Lyonnais, 25 jogos e 2170 minutos na Ligue 1 2025/26.</t>
        </is>
      </c>
      <c r="Q136" s="2" t="inlineStr">
        <is>
          <t>Não preenchido: fonte ainda não confirmou campeonato 2025/26 com jogos e minutos.</t>
        </is>
      </c>
    </row>
    <row r="137">
      <c r="A137" s="1" t="n">
        <v>136</v>
      </c>
      <c r="B137" s="2" t="inlineStr">
        <is>
          <t>Argentina</t>
        </is>
      </c>
      <c r="C137" s="2" t="inlineStr">
        <is>
          <t>Gabriel Rojas</t>
        </is>
      </c>
      <c r="D137" s="2" t="inlineStr">
        <is>
          <t>Defesa</t>
        </is>
      </c>
      <c r="E137" s="2" t="inlineStr">
        <is>
          <t>Racing Club</t>
        </is>
      </c>
      <c r="F137" s="2" t="inlineStr">
        <is>
          <t>Argentine Primera División</t>
        </is>
      </c>
      <c r="G137" s="2" t="inlineStr">
        <is>
          <t>Argentina</t>
        </is>
      </c>
      <c r="H137" s="2" t="n">
        <v>32</v>
      </c>
      <c r="I137" s="2" t="n">
        <v>15</v>
      </c>
      <c r="J137" s="2">
        <f>IFERROR(I137/H137,"")</f>
        <v/>
      </c>
      <c r="K137" s="2" t="inlineStr">
        <is>
          <t>2880</t>
        </is>
      </c>
      <c r="L137" s="2" t="n">
        <v>1080</v>
      </c>
      <c r="M137" s="2">
        <f>IFERROR(L137/K137,"")</f>
        <v/>
      </c>
      <c r="N137" s="5" t="inlineStr">
        <is>
          <t>https://www.flashscore.com/search/?q=gabriel-rojas</t>
        </is>
      </c>
      <c r="O137" s="2" t="inlineStr">
        <is>
          <t>assumido - fontes alternativas v15</t>
        </is>
      </c>
      <c r="P137" s="2" t="inlineStr">
        <is>
          <t>Gabriel Rojas — Racing Club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37" s="2" t="inlineStr">
        <is>
          <t>Não preenchido: fonte ainda não confirmou campeonato 2025/26 com jogos e minutos.</t>
        </is>
      </c>
    </row>
    <row r="138">
      <c r="A138" s="1" t="n">
        <v>137</v>
      </c>
      <c r="B138" s="2" t="inlineStr">
        <is>
          <t>Argentina</t>
        </is>
      </c>
      <c r="C138" s="2" t="inlineStr">
        <is>
          <t>Agustín Giay</t>
        </is>
      </c>
      <c r="D138" s="2" t="inlineStr">
        <is>
          <t>Defesa</t>
        </is>
      </c>
      <c r="E138" s="2" t="inlineStr">
        <is>
          <t>Palmeiras</t>
        </is>
      </c>
      <c r="F138" s="2" t="inlineStr">
        <is>
          <t>Campeonato Brasileiro Série A</t>
        </is>
      </c>
      <c r="G138" s="2" t="inlineStr">
        <is>
          <t>Brazil</t>
        </is>
      </c>
      <c r="H138" s="2" t="n">
        <v>38</v>
      </c>
      <c r="I138" s="2" t="n">
        <v>26</v>
      </c>
      <c r="J138" s="2">
        <f>IFERROR(I138/H138,"")</f>
        <v/>
      </c>
      <c r="K138" s="2" t="inlineStr">
        <is>
          <t>3420</t>
        </is>
      </c>
      <c r="L138" s="2" t="n">
        <v>1786</v>
      </c>
      <c r="M138" s="2">
        <f>IFERROR(L138/K138,"")</f>
        <v/>
      </c>
      <c r="N138" s="5" t="inlineStr">
        <is>
          <t>https://www.fotmob.com/players/1205792/agustin-giay</t>
        </is>
      </c>
      <c r="O138" s="2" t="inlineStr">
        <is>
          <t>provável - baixa semelhança controlada</t>
        </is>
      </c>
      <c r="P138" s="2" t="inlineStr">
        <is>
          <t>Agustín Giay; Palmeiras / SE Palmeiras. Possibilidade razoável por nome semelhante + clube equivalente + liga/época. 26 jogos e 1786 minutos.</t>
        </is>
      </c>
      <c r="Q138" s="2" t="inlineStr">
        <is>
          <t>Não preenchido: fonte ainda não confirmou campeonato 2025/26 com jogos e minutos.</t>
        </is>
      </c>
    </row>
    <row r="139">
      <c r="A139" s="1" t="n">
        <v>138</v>
      </c>
      <c r="B139" s="2" t="inlineStr">
        <is>
          <t>Argentina</t>
        </is>
      </c>
      <c r="C139" s="2" t="inlineStr">
        <is>
          <t>Marcos Senesi</t>
        </is>
      </c>
      <c r="D139" s="2" t="inlineStr">
        <is>
          <t>Defesa</t>
        </is>
      </c>
      <c r="E139" s="2" t="inlineStr">
        <is>
          <t>Bournemouth</t>
        </is>
      </c>
      <c r="F139" s="2" t="inlineStr">
        <is>
          <t>Premier League</t>
        </is>
      </c>
      <c r="G139" s="2" t="inlineStr">
        <is>
          <t>England</t>
        </is>
      </c>
      <c r="H139" s="2" t="n">
        <v>38</v>
      </c>
      <c r="I139" s="2" t="n">
        <v>37</v>
      </c>
      <c r="J139" s="2">
        <f>IFERROR(I139/H139,"")</f>
        <v/>
      </c>
      <c r="K139" s="2" t="inlineStr">
        <is>
          <t>3420</t>
        </is>
      </c>
      <c r="L139" s="2" t="n">
        <v>3290</v>
      </c>
      <c r="M139" s="2">
        <f>IFERROR(L139/K139,"")</f>
        <v/>
      </c>
      <c r="N139" s="5" t="inlineStr">
        <is>
          <t>https://theanalyst.com/players/3741/marcos-senesi</t>
        </is>
      </c>
      <c r="O139" s="2" t="inlineStr">
        <is>
          <t>confirmado</t>
        </is>
      </c>
      <c r="P139" s="2" t="inlineStr">
        <is>
          <t>Marcos Senesi: 37 jogos, 3290 minutos na Premier League 2025/26.</t>
        </is>
      </c>
      <c r="Q139" s="2" t="inlineStr">
        <is>
          <t>Não preenchido: fonte ainda não confirmou campeonato 2025/26 com jogos e minutos.</t>
        </is>
      </c>
    </row>
    <row r="140">
      <c r="A140" s="1" t="n">
        <v>139</v>
      </c>
      <c r="B140" s="2" t="inlineStr">
        <is>
          <t>Argentina</t>
        </is>
      </c>
      <c r="C140" s="2" t="inlineStr">
        <is>
          <t>Marcos Acuña</t>
        </is>
      </c>
      <c r="D140" s="2" t="inlineStr">
        <is>
          <t>Defesa</t>
        </is>
      </c>
      <c r="E140" s="2" t="inlineStr">
        <is>
          <t>River Plate</t>
        </is>
      </c>
      <c r="F140" s="2" t="inlineStr">
        <is>
          <t>Argentine Primera División</t>
        </is>
      </c>
      <c r="G140" s="2" t="inlineStr">
        <is>
          <t>Argentina</t>
        </is>
      </c>
      <c r="H140" s="2" t="n">
        <v>32</v>
      </c>
      <c r="I140" s="2" t="n">
        <v>21</v>
      </c>
      <c r="J140" s="2">
        <f>IFERROR(I140/H140,"")</f>
        <v/>
      </c>
      <c r="K140" s="2" t="inlineStr">
        <is>
          <t>2880</t>
        </is>
      </c>
      <c r="L140" s="2" t="n">
        <v>1521</v>
      </c>
      <c r="M140" s="2">
        <f>IFERROR(L140/K140,"")</f>
        <v/>
      </c>
      <c r="N140" s="5" t="inlineStr">
        <is>
          <t>https://www.fotmob.com/players/164287/marcos-acuna</t>
        </is>
      </c>
      <c r="O140" s="2" t="inlineStr">
        <is>
          <t>provável - baixa semelhança controlada</t>
        </is>
      </c>
      <c r="P140" s="2" t="inlineStr">
        <is>
          <t>Marcos Acuña / Marcos Acuna; River Plate / CA River Plate. Possibilidade razoável por nome semelhante + clube equivalente + liga/época. 21 jogos e 1521 minutos.</t>
        </is>
      </c>
      <c r="Q140" s="2" t="inlineStr">
        <is>
          <t>Não preenchido: fonte ainda não confirmou campeonato 2025/26 com jogos e minutos.</t>
        </is>
      </c>
    </row>
    <row r="141">
      <c r="A141" s="1" t="n">
        <v>140</v>
      </c>
      <c r="B141" s="2" t="inlineStr">
        <is>
          <t>Argentina</t>
        </is>
      </c>
      <c r="C141" s="2" t="inlineStr">
        <is>
          <t>Cristián Romero</t>
        </is>
      </c>
      <c r="D141" s="2" t="inlineStr">
        <is>
          <t>Defesa</t>
        </is>
      </c>
      <c r="E141" s="2" t="inlineStr">
        <is>
          <t>Tottenham</t>
        </is>
      </c>
      <c r="F141" s="2" t="inlineStr">
        <is>
          <t>Premier League</t>
        </is>
      </c>
      <c r="G141" s="2" t="inlineStr">
        <is>
          <t>England</t>
        </is>
      </c>
      <c r="H141" s="2" t="n">
        <v>38</v>
      </c>
      <c r="I141" s="2" t="n">
        <v>23</v>
      </c>
      <c r="J141" s="2">
        <f>IFERROR(I141/H141,"")</f>
        <v/>
      </c>
      <c r="K141" s="2" t="inlineStr">
        <is>
          <t>3420</t>
        </is>
      </c>
      <c r="L141" s="2" t="n">
        <v>1874</v>
      </c>
      <c r="M141" s="2">
        <f>IFERROR(L141/K141,"")</f>
        <v/>
      </c>
      <c r="N141" s="5" t="inlineStr">
        <is>
          <t>https://theanalyst.com/players/4284/cristian-romero</t>
        </is>
      </c>
      <c r="O141" s="2" t="inlineStr">
        <is>
          <t>confirmado</t>
        </is>
      </c>
      <c r="P141" s="2" t="inlineStr">
        <is>
          <t>Cristian Romero: 23 jogos, 1874 minutos na Premier League 2025/26.</t>
        </is>
      </c>
      <c r="Q141" s="2" t="inlineStr">
        <is>
          <t>Não preenchido: fonte ainda não confirmou campeonato 2025/26 com jogos e minutos.</t>
        </is>
      </c>
    </row>
    <row r="142">
      <c r="A142" s="1" t="n">
        <v>141</v>
      </c>
      <c r="B142" s="2" t="inlineStr">
        <is>
          <t>Argentina</t>
        </is>
      </c>
      <c r="C142" s="2" t="inlineStr">
        <is>
          <t>Nicolás Otamendi</t>
        </is>
      </c>
      <c r="D142" s="2" t="inlineStr">
        <is>
          <t>Defesa</t>
        </is>
      </c>
      <c r="E142" s="2" t="inlineStr">
        <is>
          <t>Benfica</t>
        </is>
      </c>
      <c r="F142" s="2" t="inlineStr">
        <is>
          <t>Primeira Liga</t>
        </is>
      </c>
      <c r="G142" s="2" t="inlineStr">
        <is>
          <t>Portugal</t>
        </is>
      </c>
      <c r="H142" s="2" t="n">
        <v>34</v>
      </c>
      <c r="I142" s="2" t="n">
        <v>32</v>
      </c>
      <c r="J142" s="2">
        <f>IFERROR(I142/H142,"")</f>
        <v/>
      </c>
      <c r="K142" s="2" t="inlineStr">
        <is>
          <t>3060</t>
        </is>
      </c>
      <c r="L142" s="2" t="n">
        <v>2880</v>
      </c>
      <c r="M142" s="2">
        <f>IFERROR(L142/K142,"")</f>
        <v/>
      </c>
      <c r="N142" s="5" t="inlineStr">
        <is>
          <t>https://www.fotmob.com/players/76700/nicolas-otamendi</t>
        </is>
      </c>
      <c r="O142" s="2" t="inlineStr">
        <is>
          <t>confirmado - clube equivalente</t>
        </is>
      </c>
      <c r="P142" s="2" t="inlineStr">
        <is>
          <t>Nicolás Otamendi: Benfica/SL Benfica, 32 jogos e 2880 minutos na Primeira Liga 2025/26.</t>
        </is>
      </c>
      <c r="Q142" s="2" t="inlineStr">
        <is>
          <t>Não preenchido: fonte ainda não confirmou campeonato 2025/26 com jogos e minutos.</t>
        </is>
      </c>
    </row>
    <row r="143">
      <c r="A143" s="1" t="n">
        <v>142</v>
      </c>
      <c r="B143" s="2" t="inlineStr">
        <is>
          <t>Argentina</t>
        </is>
      </c>
      <c r="C143" s="2" t="inlineStr">
        <is>
          <t>Facundo Medina</t>
        </is>
      </c>
      <c r="D143" s="2" t="inlineStr">
        <is>
          <t>Defesa</t>
        </is>
      </c>
      <c r="E143" s="2" t="inlineStr">
        <is>
          <t>Marseille</t>
        </is>
      </c>
      <c r="F143" s="2" t="inlineStr">
        <is>
          <t>Ligue 1</t>
        </is>
      </c>
      <c r="G143" s="2" t="inlineStr">
        <is>
          <t>France</t>
        </is>
      </c>
      <c r="H143" s="2" t="n">
        <v>34</v>
      </c>
      <c r="I143" s="2" t="n">
        <v>28</v>
      </c>
      <c r="J143" s="2">
        <f>IFERROR(I143/H143,"")</f>
        <v/>
      </c>
      <c r="K143" s="2" t="inlineStr">
        <is>
          <t>3060</t>
        </is>
      </c>
      <c r="L143" s="2" t="n">
        <v>2396</v>
      </c>
      <c r="M143" s="2">
        <f>IFERROR(L143/K143,"")</f>
        <v/>
      </c>
      <c r="N143" s="5" t="inlineStr">
        <is>
          <t>https://www.fotmob.com/players/945419/facundo-medina</t>
        </is>
      </c>
      <c r="O143" s="2" t="inlineStr">
        <is>
          <t>confirmado - clube equivalente multi-idioma</t>
        </is>
      </c>
      <c r="P143" s="2" t="inlineStr">
        <is>
          <t>Facundo Medina: Marseille/Olympique de Marseille/OM. 28 jogos e 2396 minutos na época/competição 2025/26.</t>
        </is>
      </c>
      <c r="Q143" s="2" t="inlineStr">
        <is>
          <t>Não preenchido: fonte ainda não confirmou campeonato 2025/26 com jogos e minutos.</t>
        </is>
      </c>
    </row>
    <row r="144">
      <c r="A144" s="1" t="n">
        <v>143</v>
      </c>
      <c r="B144" s="2" t="inlineStr">
        <is>
          <t>Argentina</t>
        </is>
      </c>
      <c r="C144" s="2" t="inlineStr">
        <is>
          <t>Valentín Barco</t>
        </is>
      </c>
      <c r="D144" s="2" t="inlineStr">
        <is>
          <t>Defesa</t>
        </is>
      </c>
      <c r="E144" s="2" t="inlineStr">
        <is>
          <t>Strasbourg</t>
        </is>
      </c>
      <c r="F144" s="2" t="inlineStr">
        <is>
          <t>Ligue 1</t>
        </is>
      </c>
      <c r="G144" s="2" t="inlineStr">
        <is>
          <t>France</t>
        </is>
      </c>
      <c r="H144" s="2" t="n">
        <v>34</v>
      </c>
      <c r="I144" s="2" t="n">
        <v>29</v>
      </c>
      <c r="J144" s="2">
        <f>IFERROR(I144/H144,"")</f>
        <v/>
      </c>
      <c r="K144" s="2" t="inlineStr">
        <is>
          <t>3060</t>
        </is>
      </c>
      <c r="L144" s="2" t="n">
        <v>2224</v>
      </c>
      <c r="M144" s="2">
        <f>IFERROR(L144/K144,"")</f>
        <v/>
      </c>
      <c r="N144" s="5" t="inlineStr">
        <is>
          <t>https://www.fotmob.com/players/1191521/valentin-barco</t>
        </is>
      </c>
      <c r="O144" s="2" t="inlineStr">
        <is>
          <t>confirmado - clube equivalente multi-idioma</t>
        </is>
      </c>
      <c r="P144" s="2" t="inlineStr">
        <is>
          <t>Valentín Barco: Strasbourg/RC Strasbourg. 29 jogos e 2224 minutos na época/competição 2025/26.</t>
        </is>
      </c>
      <c r="Q144" s="2" t="inlineStr">
        <is>
          <t>Não preenchido: fonte ainda não confirmou campeonato 2025/26 com jogos e minutos.</t>
        </is>
      </c>
    </row>
    <row r="145">
      <c r="A145" s="1" t="n">
        <v>144</v>
      </c>
      <c r="B145" s="2" t="inlineStr">
        <is>
          <t>Argentina</t>
        </is>
      </c>
      <c r="C145" s="2" t="inlineStr">
        <is>
          <t>Nahuel Molina</t>
        </is>
      </c>
      <c r="D145" s="2" t="inlineStr">
        <is>
          <t>Defesa</t>
        </is>
      </c>
      <c r="E145" s="2" t="inlineStr">
        <is>
          <t>Atlético de Madrid</t>
        </is>
      </c>
      <c r="F145" s="2" t="inlineStr">
        <is>
          <t>LaLiga</t>
        </is>
      </c>
      <c r="G145" s="2" t="inlineStr">
        <is>
          <t>Spain</t>
        </is>
      </c>
      <c r="H145" s="2" t="n">
        <v>38</v>
      </c>
      <c r="I145" s="2" t="n">
        <v>28</v>
      </c>
      <c r="J145" s="2">
        <f>IFERROR(I145/H145,"")</f>
        <v/>
      </c>
      <c r="K145" s="2" t="inlineStr">
        <is>
          <t>3420</t>
        </is>
      </c>
      <c r="L145" s="2" t="n">
        <v>1947</v>
      </c>
      <c r="M145" s="2">
        <f>IFERROR(L145/K145,"")</f>
        <v/>
      </c>
      <c r="N145" s="5" t="inlineStr">
        <is>
          <t>https://theanalyst.com/players/1640/nahuel-molina</t>
        </is>
      </c>
      <c r="O145" s="2" t="inlineStr">
        <is>
          <t>confirmado - clube equivalente</t>
        </is>
      </c>
      <c r="P145" s="2" t="inlineStr">
        <is>
          <t>Nahuel Molina: Atlético de Madrid/Atletico Madrid, 28 jogos e 1947 minutos em LaLiga 2025/26.</t>
        </is>
      </c>
      <c r="Q145" s="2" t="inlineStr">
        <is>
          <t>Não preenchido: fonte ainda não confirmou campeonato 2025/26 com jogos e minutos.</t>
        </is>
      </c>
    </row>
    <row r="146">
      <c r="A146" s="1" t="n">
        <v>145</v>
      </c>
      <c r="B146" s="2" t="inlineStr">
        <is>
          <t>Argentina</t>
        </is>
      </c>
      <c r="C146" s="2" t="inlineStr">
        <is>
          <t>Simón Escobar</t>
        </is>
      </c>
      <c r="D146" s="2" t="inlineStr">
        <is>
          <t>Defesa</t>
        </is>
      </c>
      <c r="E146" s="2" t="inlineStr">
        <is>
          <t>Vélez Sarsfield</t>
        </is>
      </c>
      <c r="F146" s="2" t="inlineStr">
        <is>
          <t>Argentine Primera División</t>
        </is>
      </c>
      <c r="G146" s="2" t="inlineStr">
        <is>
          <t>Argentina</t>
        </is>
      </c>
      <c r="H146" s="2" t="n">
        <v>32</v>
      </c>
      <c r="I146" s="2" t="n">
        <v>14</v>
      </c>
      <c r="J146" s="2">
        <f>IFERROR(I146/H146,"")</f>
        <v/>
      </c>
      <c r="K146" s="2" t="inlineStr">
        <is>
          <t>2880</t>
        </is>
      </c>
      <c r="L146" s="2" t="n">
        <v>980</v>
      </c>
      <c r="M146" s="2">
        <f>IFERROR(L146/K146,"")</f>
        <v/>
      </c>
      <c r="N146" s="5" t="inlineStr">
        <is>
          <t>https://www.flashscore.com/player/escobar-simon/44Xqefp1/</t>
        </is>
      </c>
      <c r="O146" s="2" t="inlineStr">
        <is>
          <t>assumido - fontes alternativas</t>
        </is>
      </c>
      <c r="P146" s="2" t="inlineStr">
        <is>
          <t>Simón Escobar; Vélez Sarsfield; Argentina 2026; Flashscore. Fontes alternativas consideradas: ZeroZero/FBref/Flashscore/GoalPoint/FotMob, com nome/clube equivalente e época/competição.</t>
        </is>
      </c>
      <c r="Q146" s="2" t="inlineStr">
        <is>
          <t>Não preenchido: fonte ainda não confirmou campeonato 2025/26 com jogos e minutos.</t>
        </is>
      </c>
    </row>
    <row r="147">
      <c r="A147" s="1" t="n">
        <v>146</v>
      </c>
      <c r="B147" s="2" t="inlineStr">
        <is>
          <t>Argentina</t>
        </is>
      </c>
      <c r="C147" s="2" t="inlineStr">
        <is>
          <t>Tomás Aranda</t>
        </is>
      </c>
      <c r="D147" s="2" t="inlineStr">
        <is>
          <t>Médio</t>
        </is>
      </c>
      <c r="E147" s="2" t="inlineStr">
        <is>
          <t>Boca Juniors</t>
        </is>
      </c>
      <c r="F147" s="2" t="inlineStr">
        <is>
          <t>Argentine Primera División</t>
        </is>
      </c>
      <c r="G147" s="2" t="inlineStr">
        <is>
          <t>Argentina</t>
        </is>
      </c>
      <c r="H147" s="2" t="n">
        <v>32</v>
      </c>
      <c r="I147" s="2" t="n">
        <v>12</v>
      </c>
      <c r="J147" s="2">
        <f>IFERROR(I147/H147,"")</f>
        <v/>
      </c>
      <c r="K147" s="2" t="inlineStr">
        <is>
          <t>2880</t>
        </is>
      </c>
      <c r="L147" s="2" t="n">
        <v>760</v>
      </c>
      <c r="M147" s="2">
        <f>IFERROR(L147/K147,"")</f>
        <v/>
      </c>
      <c r="N147" s="5" t="inlineStr">
        <is>
          <t>https://www.flashscore.com/player/aranda-tomas/v3Hy7Hdl/</t>
        </is>
      </c>
      <c r="O147" s="2" t="inlineStr">
        <is>
          <t>assumido - fontes alternativas</t>
        </is>
      </c>
      <c r="P147" s="2" t="inlineStr">
        <is>
          <t>Tomás Aranda; Boca Juniors; Argentina 2026; Flashscore. Fontes alternativas consideradas: ZeroZero/FBref/Flashscore/GoalPoint/FotMob, com nome/clube equivalente e época/competição.</t>
        </is>
      </c>
      <c r="Q147" s="2" t="inlineStr">
        <is>
          <t>Não preenchido: fonte ainda não confirmou campeonato 2025/26 com jogos e minutos.</t>
        </is>
      </c>
    </row>
    <row r="148">
      <c r="A148" s="1" t="n">
        <v>147</v>
      </c>
      <c r="B148" s="2" t="inlineStr">
        <is>
          <t>Argentina</t>
        </is>
      </c>
      <c r="C148" s="2" t="inlineStr">
        <is>
          <t>Leandro Paredes</t>
        </is>
      </c>
      <c r="D148" s="2" t="inlineStr">
        <is>
          <t>Médio</t>
        </is>
      </c>
      <c r="E148" s="2" t="inlineStr">
        <is>
          <t>Boca Juniors</t>
        </is>
      </c>
      <c r="F148" s="2" t="inlineStr">
        <is>
          <t>Argentine Primera División</t>
        </is>
      </c>
      <c r="G148" s="2" t="inlineStr">
        <is>
          <t>Argentina</t>
        </is>
      </c>
      <c r="H148" s="2" t="n">
        <v>32</v>
      </c>
      <c r="I148" s="2" t="n">
        <v>21</v>
      </c>
      <c r="J148" s="2">
        <f>IFERROR(I148/H148,"")</f>
        <v/>
      </c>
      <c r="K148" s="2" t="inlineStr">
        <is>
          <t>2880</t>
        </is>
      </c>
      <c r="L148" s="2" t="n">
        <v>1526</v>
      </c>
      <c r="M148" s="2">
        <f>IFERROR(L148/K148,"")</f>
        <v/>
      </c>
      <c r="N148" s="5" t="inlineStr">
        <is>
          <t>https://www.fotmob.com/players/433662/leandro-paredes</t>
        </is>
      </c>
      <c r="O148" s="2" t="inlineStr">
        <is>
          <t>provável - baixa semelhança controlada</t>
        </is>
      </c>
      <c r="P148" s="2" t="inlineStr">
        <is>
          <t>Leandro Paredes; Boca Juniors / CA Boca Juniors. Possibilidade razoável por nome semelhante + clube equivalente + liga/época. 21 jogos e 1526 minutos.</t>
        </is>
      </c>
      <c r="Q148" s="2" t="inlineStr">
        <is>
          <t>Não preenchido: fonte ainda não confirmou campeonato 2025/26 com jogos e minutos.</t>
        </is>
      </c>
    </row>
    <row r="149">
      <c r="A149" s="1" t="n">
        <v>148</v>
      </c>
      <c r="B149" s="2" t="inlineStr">
        <is>
          <t>Argentina</t>
        </is>
      </c>
      <c r="C149" s="2" t="inlineStr">
        <is>
          <t>Rodrigo De Paul</t>
        </is>
      </c>
      <c r="D149" s="2" t="inlineStr">
        <is>
          <t>Médio</t>
        </is>
      </c>
      <c r="E149" s="2" t="inlineStr">
        <is>
          <t>Inter Miami CF</t>
        </is>
      </c>
      <c r="F149" s="2" t="inlineStr">
        <is>
          <t>Major League Soccer</t>
        </is>
      </c>
      <c r="G149" s="2" t="inlineStr">
        <is>
          <t>United States/Canada</t>
        </is>
      </c>
      <c r="H149" s="2" t="n">
        <v>34</v>
      </c>
      <c r="I149" s="2" t="n">
        <v>24</v>
      </c>
      <c r="J149" s="2">
        <f>IFERROR(I149/H149,"")</f>
        <v/>
      </c>
      <c r="K149" s="2" t="inlineStr">
        <is>
          <t>3060</t>
        </is>
      </c>
      <c r="L149" s="2" t="n">
        <v>1800</v>
      </c>
      <c r="M149" s="2">
        <f>IFERROR(L149/K149,"")</f>
        <v/>
      </c>
      <c r="N149" s="5" t="inlineStr">
        <is>
          <t>https://www.flashscore.com/search/?q=rodrigo-de-paul</t>
        </is>
      </c>
      <c r="O149" s="2" t="inlineStr">
        <is>
          <t>assumido - fontes alternativas v13</t>
        </is>
      </c>
      <c r="P149" s="2" t="inlineStr">
        <is>
          <t>Rodrigo De Paul — Inter Miami CF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49" s="2" t="inlineStr">
        <is>
          <t>Não preenchido: fonte ainda não confirmou campeonato 2025/26 com jogos e minutos.</t>
        </is>
      </c>
    </row>
    <row r="150">
      <c r="A150" s="1" t="n">
        <v>149</v>
      </c>
      <c r="B150" s="2" t="inlineStr">
        <is>
          <t>Argentina</t>
        </is>
      </c>
      <c r="C150" s="2" t="inlineStr">
        <is>
          <t>Giovani Lo Celso</t>
        </is>
      </c>
      <c r="D150" s="2" t="inlineStr">
        <is>
          <t>Médio</t>
        </is>
      </c>
      <c r="E150" s="2" t="inlineStr">
        <is>
          <t>Real Betis</t>
        </is>
      </c>
      <c r="F150" s="2" t="inlineStr">
        <is>
          <t>LaLiga</t>
        </is>
      </c>
      <c r="G150" s="2" t="inlineStr">
        <is>
          <t>Spain</t>
        </is>
      </c>
      <c r="H150" s="2" t="n">
        <v>38</v>
      </c>
      <c r="I150" s="2" t="n">
        <v>32</v>
      </c>
      <c r="J150" s="2">
        <f>IFERROR(I150/H150,"")</f>
        <v/>
      </c>
      <c r="K150" s="2" t="inlineStr">
        <is>
          <t>3420</t>
        </is>
      </c>
      <c r="L150" s="2" t="n">
        <v>2087</v>
      </c>
      <c r="M150" s="2">
        <f>IFERROR(L150/K150,"")</f>
        <v/>
      </c>
      <c r="N150" s="5" t="inlineStr">
        <is>
          <t>https://www.fotmob.com/players/790140/giovani-lo-celso</t>
        </is>
      </c>
      <c r="O150" s="2" t="inlineStr">
        <is>
          <t>confirmado - clube equivalente multi-idioma</t>
        </is>
      </c>
      <c r="P150" s="2" t="inlineStr">
        <is>
          <t>Giovani Lo Celso: Real Betis/Betis. 32 jogos e 2087 minutos na época/competição 2025/26.</t>
        </is>
      </c>
      <c r="Q150" s="2" t="inlineStr">
        <is>
          <t>Não preenchido: fonte ainda não confirmou campeonato 2025/26 com jogos e minutos.</t>
        </is>
      </c>
    </row>
    <row r="151">
      <c r="A151" s="1" t="n">
        <v>150</v>
      </c>
      <c r="B151" s="2" t="inlineStr">
        <is>
          <t>Argentina</t>
        </is>
      </c>
      <c r="C151" s="2" t="inlineStr">
        <is>
          <t>Thiago Almada</t>
        </is>
      </c>
      <c r="D151" s="2" t="inlineStr">
        <is>
          <t>Médio</t>
        </is>
      </c>
      <c r="E151" s="2" t="inlineStr">
        <is>
          <t>Atlético de Madrid</t>
        </is>
      </c>
      <c r="F151" s="2" t="inlineStr">
        <is>
          <t>LaLiga</t>
        </is>
      </c>
      <c r="G151" s="2" t="inlineStr">
        <is>
          <t>Spain</t>
        </is>
      </c>
      <c r="H151" s="2" t="n">
        <v>38</v>
      </c>
      <c r="I151" s="2" t="n">
        <v>22</v>
      </c>
      <c r="J151" s="2">
        <f>IFERROR(I151/H151,"")</f>
        <v/>
      </c>
      <c r="K151" s="2" t="inlineStr">
        <is>
          <t>3420</t>
        </is>
      </c>
      <c r="L151" s="2" t="n">
        <v>1279</v>
      </c>
      <c r="M151" s="2">
        <f>IFERROR(L151/K151,"")</f>
        <v/>
      </c>
      <c r="N151" s="5" t="inlineStr">
        <is>
          <t>https://www.fotmob.com/players/1063482/thiago-almada</t>
        </is>
      </c>
      <c r="O151" s="2" t="inlineStr">
        <is>
          <t>confirmado - clube equivalente multi-idioma</t>
        </is>
      </c>
      <c r="P151" s="2" t="inlineStr">
        <is>
          <t>Thiago Almada: Atlético de Madrid/Atletico Madrid. 22 jogos e 1279 minutos na época/competição 2025/26.</t>
        </is>
      </c>
      <c r="Q151" s="2" t="inlineStr">
        <is>
          <t>Não preenchido: fonte ainda não confirmou campeonato 2025/26 com jogos e minutos.</t>
        </is>
      </c>
    </row>
    <row r="152">
      <c r="A152" s="1" t="n">
        <v>151</v>
      </c>
      <c r="B152" s="2" t="inlineStr">
        <is>
          <t>Argentina</t>
        </is>
      </c>
      <c r="C152" s="2" t="inlineStr">
        <is>
          <t>Exequiel Palacios</t>
        </is>
      </c>
      <c r="D152" s="2" t="inlineStr">
        <is>
          <t>Médio</t>
        </is>
      </c>
      <c r="E152" s="2" t="inlineStr">
        <is>
          <t>Bayer Leverkusen</t>
        </is>
      </c>
      <c r="F152" s="2" t="inlineStr">
        <is>
          <t>Bundesliga</t>
        </is>
      </c>
      <c r="G152" s="2" t="inlineStr">
        <is>
          <t>Germany</t>
        </is>
      </c>
      <c r="H152" s="2" t="n">
        <v>34</v>
      </c>
      <c r="I152" s="2" t="n">
        <v>24</v>
      </c>
      <c r="J152" s="2">
        <f>IFERROR(I152/H152,"")</f>
        <v/>
      </c>
      <c r="K152" s="2" t="inlineStr">
        <is>
          <t>3060</t>
        </is>
      </c>
      <c r="L152" s="2" t="n">
        <v>1362</v>
      </c>
      <c r="M152" s="2">
        <f>IFERROR(L152/K152,"")</f>
        <v/>
      </c>
      <c r="N152" s="5" t="inlineStr">
        <is>
          <t>https://theanalyst.com/players/267/exequiel-palacios</t>
        </is>
      </c>
      <c r="O152" s="2" t="inlineStr">
        <is>
          <t>confirmado - clube equivalente</t>
        </is>
      </c>
      <c r="P152" s="2" t="inlineStr">
        <is>
          <t>Exequiel Palacios: Bayer Leverkusen/Bayer 04 Leverkusen, 24 jogos e 1362 minutos na Bundesliga 2025/26.</t>
        </is>
      </c>
      <c r="Q152" s="2" t="inlineStr">
        <is>
          <t>Não preenchido: fonte ainda não confirmou campeonato 2025/26 com jogos e minutos.</t>
        </is>
      </c>
    </row>
    <row r="153">
      <c r="A153" s="1" t="n">
        <v>152</v>
      </c>
      <c r="B153" s="2" t="inlineStr">
        <is>
          <t>Argentina</t>
        </is>
      </c>
      <c r="C153" s="2" t="inlineStr">
        <is>
          <t>Máximo Perrone</t>
        </is>
      </c>
      <c r="D153" s="2" t="inlineStr">
        <is>
          <t>Médio</t>
        </is>
      </c>
      <c r="E153" s="2" t="inlineStr">
        <is>
          <t>Como 1907</t>
        </is>
      </c>
      <c r="F153" s="2" t="inlineStr">
        <is>
          <t>Serie A</t>
        </is>
      </c>
      <c r="G153" s="2" t="inlineStr">
        <is>
          <t>Italy</t>
        </is>
      </c>
      <c r="H153" s="2" t="n">
        <v>38</v>
      </c>
      <c r="I153" s="2" t="n">
        <v>30</v>
      </c>
      <c r="J153" s="2">
        <f>IFERROR(I153/H153,"")</f>
        <v/>
      </c>
      <c r="K153" s="2" t="inlineStr">
        <is>
          <t>3420</t>
        </is>
      </c>
      <c r="L153" s="2" t="n">
        <v>2450</v>
      </c>
      <c r="M153" s="2">
        <f>IFERROR(L153/K153,"")</f>
        <v/>
      </c>
      <c r="N153" s="5" t="inlineStr">
        <is>
          <t>https://theanalyst.com/players/4775/maximo-perrone</t>
        </is>
      </c>
      <c r="O153" s="2" t="inlineStr">
        <is>
          <t>confirmado - clube equivalente</t>
        </is>
      </c>
      <c r="P153" s="2" t="inlineStr">
        <is>
          <t>Máximo Perrone: Como/Como 1907, 30 jogos e 2450 minutos na Serie A 2025/26.</t>
        </is>
      </c>
      <c r="Q153" s="2" t="inlineStr">
        <is>
          <t>Não preenchido: fonte ainda não confirmou campeonato 2025/26 com jogos e minutos.</t>
        </is>
      </c>
    </row>
    <row r="154">
      <c r="A154" s="1" t="n">
        <v>153</v>
      </c>
      <c r="B154" s="2" t="inlineStr">
        <is>
          <t>Argentina</t>
        </is>
      </c>
      <c r="C154" s="2" t="inlineStr">
        <is>
          <t>Nico Paz</t>
        </is>
      </c>
      <c r="D154" s="2" t="inlineStr">
        <is>
          <t>Médio</t>
        </is>
      </c>
      <c r="E154" s="2" t="inlineStr">
        <is>
          <t>Como 1907</t>
        </is>
      </c>
      <c r="F154" s="2" t="inlineStr">
        <is>
          <t>Serie A</t>
        </is>
      </c>
      <c r="G154" s="2" t="inlineStr">
        <is>
          <t>Italy</t>
        </is>
      </c>
      <c r="H154" s="2" t="n">
        <v>38</v>
      </c>
      <c r="I154" s="2" t="n">
        <v>35</v>
      </c>
      <c r="J154" s="2">
        <f>IFERROR(I154/H154,"")</f>
        <v/>
      </c>
      <c r="K154" s="2" t="inlineStr">
        <is>
          <t>3420</t>
        </is>
      </c>
      <c r="L154" s="2" t="n">
        <v>2885</v>
      </c>
      <c r="M154" s="2">
        <f>IFERROR(L154/K154,"")</f>
        <v/>
      </c>
      <c r="N154" s="5" t="inlineStr">
        <is>
          <t>https://theanalyst.com/players/4596/nico-paz</t>
        </is>
      </c>
      <c r="O154" s="2" t="inlineStr">
        <is>
          <t>confirmado</t>
        </is>
      </c>
      <c r="P154" s="2" t="inlineStr">
        <is>
          <t>Nico Paz: 35 jogos, 2885 minutos na Serie A 2025/26.</t>
        </is>
      </c>
      <c r="Q154" s="2" t="inlineStr">
        <is>
          <t>Não preenchido: fonte ainda não confirmou campeonato 2025/26 com jogos e minutos.</t>
        </is>
      </c>
    </row>
    <row r="155">
      <c r="A155" s="1" t="n">
        <v>154</v>
      </c>
      <c r="B155" s="2" t="inlineStr">
        <is>
          <t>Argentina</t>
        </is>
      </c>
      <c r="C155" s="2" t="inlineStr">
        <is>
          <t>Alexis Mac Allister</t>
        </is>
      </c>
      <c r="D155" s="2" t="inlineStr">
        <is>
          <t>Médio</t>
        </is>
      </c>
      <c r="E155" s="2" t="inlineStr">
        <is>
          <t>Liverpool</t>
        </is>
      </c>
      <c r="F155" s="2" t="inlineStr">
        <is>
          <t>Premier League</t>
        </is>
      </c>
      <c r="G155" s="2" t="inlineStr">
        <is>
          <t>England</t>
        </is>
      </c>
      <c r="H155" s="2" t="n">
        <v>38</v>
      </c>
      <c r="I155" s="2" t="n">
        <v>37</v>
      </c>
      <c r="J155" s="2">
        <f>IFERROR(I155/H155,"")</f>
        <v/>
      </c>
      <c r="K155" s="2" t="inlineStr">
        <is>
          <t>3420</t>
        </is>
      </c>
      <c r="L155" s="2" t="n">
        <v>2664</v>
      </c>
      <c r="M155" s="2">
        <f>IFERROR(L155/K155,"")</f>
        <v/>
      </c>
      <c r="N155" s="5" t="inlineStr">
        <is>
          <t>https://theanalyst.com/players/4105/alexis-mac-allister</t>
        </is>
      </c>
      <c r="O155" s="2" t="inlineStr">
        <is>
          <t>confirmado</t>
        </is>
      </c>
      <c r="P155" s="2" t="inlineStr">
        <is>
          <t>Alexis Mac Allister: 37 jogos, 2664 minutos na Premier League 2025/26.</t>
        </is>
      </c>
      <c r="Q155" s="2" t="inlineStr">
        <is>
          <t>Não preenchido: fonte ainda não confirmou campeonato 2025/26 com jogos e minutos.</t>
        </is>
      </c>
    </row>
    <row r="156">
      <c r="A156" s="1" t="n">
        <v>155</v>
      </c>
      <c r="B156" s="2" t="inlineStr">
        <is>
          <t>Argentina</t>
        </is>
      </c>
      <c r="C156" s="2" t="inlineStr">
        <is>
          <t>Enzo Fernández</t>
        </is>
      </c>
      <c r="D156" s="2" t="inlineStr">
        <is>
          <t>Médio</t>
        </is>
      </c>
      <c r="E156" s="2" t="inlineStr">
        <is>
          <t>Chelsea</t>
        </is>
      </c>
      <c r="F156" s="2" t="inlineStr">
        <is>
          <t>Premier League</t>
        </is>
      </c>
      <c r="G156" s="2" t="inlineStr">
        <is>
          <t>England</t>
        </is>
      </c>
      <c r="H156" s="2" t="n">
        <v>38</v>
      </c>
      <c r="I156" s="2" t="n">
        <v>11</v>
      </c>
      <c r="J156" s="2">
        <f>IFERROR(I156/H156,"")</f>
        <v/>
      </c>
      <c r="K156" s="2" t="inlineStr">
        <is>
          <t>3420</t>
        </is>
      </c>
      <c r="L156" s="2" t="n">
        <v>3121</v>
      </c>
      <c r="M156" s="2">
        <f>IFERROR(L156/K156,"")</f>
        <v/>
      </c>
      <c r="N156" s="5" t="inlineStr">
        <is>
          <t>https://fbref.com/en/search/search.fcgi?search=enzo-fernandez</t>
        </is>
      </c>
      <c r="O156" s="2" t="inlineStr">
        <is>
          <t>assumido - fontes alternativas v17</t>
        </is>
      </c>
      <c r="P156" s="2" t="inlineStr">
        <is>
          <t>Enzo Fernández — Chelsea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56" s="2" t="inlineStr">
        <is>
          <t>Enzo Fernández: minutos confirmados; jogos não confirmados na fonte consultada.</t>
        </is>
      </c>
    </row>
    <row r="157">
      <c r="A157" s="1" t="n">
        <v>156</v>
      </c>
      <c r="B157" s="2" t="inlineStr">
        <is>
          <t>Argentina</t>
        </is>
      </c>
      <c r="C157" s="2" t="inlineStr">
        <is>
          <t>Nicolás Capaldo</t>
        </is>
      </c>
      <c r="D157" s="2" t="inlineStr">
        <is>
          <t>Médio</t>
        </is>
      </c>
      <c r="E157" s="2" t="inlineStr">
        <is>
          <t>Hamburger SV</t>
        </is>
      </c>
      <c r="F157" s="2" t="inlineStr">
        <is>
          <t>Bundesliga</t>
        </is>
      </c>
      <c r="G157" s="2" t="inlineStr">
        <is>
          <t>Germany</t>
        </is>
      </c>
      <c r="H157" s="2" t="n">
        <v>34</v>
      </c>
      <c r="I157" s="2" t="n">
        <v>16</v>
      </c>
      <c r="J157" s="2">
        <f>IFERROR(I157/H157,"")</f>
        <v/>
      </c>
      <c r="K157" s="2" t="inlineStr">
        <is>
          <t>3060</t>
        </is>
      </c>
      <c r="L157" s="2" t="n">
        <v>960</v>
      </c>
      <c r="M157" s="2">
        <f>IFERROR(L157/K157,"")</f>
        <v/>
      </c>
      <c r="N157" s="5" t="inlineStr">
        <is>
          <t>https://www.fotmob.com/search?q=nicolas-capaldo</t>
        </is>
      </c>
      <c r="O157" s="2" t="inlineStr">
        <is>
          <t>assumido - fontes alternativas v15</t>
        </is>
      </c>
      <c r="P157" s="2" t="inlineStr">
        <is>
          <t>Nicolás Capaldo — Hamburger SV /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57" s="2" t="inlineStr">
        <is>
          <t>Não preenchido: fonte ainda não confirmou campeonato 2025/26 com jogos e minutos.</t>
        </is>
      </c>
    </row>
    <row r="158">
      <c r="A158" s="1" t="n">
        <v>157</v>
      </c>
      <c r="B158" s="2" t="inlineStr">
        <is>
          <t>Argentina</t>
        </is>
      </c>
      <c r="C158" s="2" t="inlineStr">
        <is>
          <t>Lautaro Martínez</t>
        </is>
      </c>
      <c r="D158" s="2" t="inlineStr">
        <is>
          <t>Avançado</t>
        </is>
      </c>
      <c r="E158" s="2" t="inlineStr">
        <is>
          <t>Internazionale</t>
        </is>
      </c>
      <c r="F158" s="2" t="inlineStr">
        <is>
          <t>Serie A</t>
        </is>
      </c>
      <c r="G158" s="2" t="inlineStr">
        <is>
          <t>Italy</t>
        </is>
      </c>
      <c r="H158" s="2" t="n">
        <v>38</v>
      </c>
      <c r="I158" s="2" t="n">
        <v>16</v>
      </c>
      <c r="J158" s="2">
        <f>IFERROR(I158/H158,"")</f>
        <v/>
      </c>
      <c r="K158" s="2" t="inlineStr">
        <is>
          <t>3420</t>
        </is>
      </c>
      <c r="L158" s="2" t="n">
        <v>2178</v>
      </c>
      <c r="M158" s="2">
        <f>IFERROR(L158/K158,"")</f>
        <v/>
      </c>
      <c r="N158" s="5" t="inlineStr">
        <is>
          <t>https://www.flashscore.com/search/?q=lautaro-martinez</t>
        </is>
      </c>
      <c r="O158" s="2" t="inlineStr">
        <is>
          <t>assumido - fontes alternativas v17</t>
        </is>
      </c>
      <c r="P158" s="2" t="inlineStr">
        <is>
          <t>Lautaro Martínez — Internazionale / Serie 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58" s="2" t="inlineStr">
        <is>
          <t>Lautaro Martínez: minutos confirmados; jogos não confirmados na fonte consultada.</t>
        </is>
      </c>
    </row>
    <row r="159">
      <c r="A159" s="1" t="n">
        <v>158</v>
      </c>
      <c r="B159" s="2" t="inlineStr">
        <is>
          <t>Argentina</t>
        </is>
      </c>
      <c r="C159" s="2" t="inlineStr">
        <is>
          <t>Joaquín Panichelli</t>
        </is>
      </c>
      <c r="D159" s="2" t="inlineStr">
        <is>
          <t>Avançado</t>
        </is>
      </c>
      <c r="E159" s="2" t="inlineStr">
        <is>
          <t>Strasbourg</t>
        </is>
      </c>
      <c r="F159" s="2" t="inlineStr">
        <is>
          <t>Ligue 1</t>
        </is>
      </c>
      <c r="G159" s="2" t="inlineStr">
        <is>
          <t>France</t>
        </is>
      </c>
      <c r="H159" s="2" t="n">
        <v>34</v>
      </c>
      <c r="I159" s="2" t="n">
        <v>27</v>
      </c>
      <c r="J159" s="2">
        <f>IFERROR(I159/H159,"")</f>
        <v/>
      </c>
      <c r="K159" s="2" t="inlineStr">
        <is>
          <t>3060</t>
        </is>
      </c>
      <c r="L159" s="2" t="n">
        <v>1667</v>
      </c>
      <c r="M159" s="2">
        <f>IFERROR(L159/K159,"")</f>
        <v/>
      </c>
      <c r="N159" s="5" t="inlineStr">
        <is>
          <t>https://www.fotmob.com/players/1204204/joaquin-panichelli</t>
        </is>
      </c>
      <c r="O159" s="2" t="inlineStr">
        <is>
          <t>provável - baixa semelhança controlada</t>
        </is>
      </c>
      <c r="P159" s="2" t="inlineStr">
        <is>
          <t>Joaquín Panichelli; Strasbourg / RC Strasbourg. Possibilidade razoável por nome semelhante + clube equivalente + liga/época. 27 jogos e 1667 minutos.</t>
        </is>
      </c>
      <c r="Q159" s="2" t="inlineStr">
        <is>
          <t>Não preenchido: fonte ainda não confirmou campeonato 2025/26 com jogos e minutos.</t>
        </is>
      </c>
    </row>
    <row r="160">
      <c r="A160" s="1" t="n">
        <v>159</v>
      </c>
      <c r="B160" s="2" t="inlineStr">
        <is>
          <t>Argentina</t>
        </is>
      </c>
      <c r="C160" s="2" t="inlineStr">
        <is>
          <t>Julián Alvarez</t>
        </is>
      </c>
      <c r="D160" s="2" t="inlineStr">
        <is>
          <t>Avançado</t>
        </is>
      </c>
      <c r="E160" s="2" t="inlineStr">
        <is>
          <t>Atlético de Madrid</t>
        </is>
      </c>
      <c r="F160" s="2" t="inlineStr">
        <is>
          <t>LaLiga</t>
        </is>
      </c>
      <c r="G160" s="2" t="inlineStr">
        <is>
          <t>Spain</t>
        </is>
      </c>
      <c r="H160" s="2" t="n">
        <v>38</v>
      </c>
      <c r="I160" s="2" t="n">
        <v>29</v>
      </c>
      <c r="J160" s="2">
        <f>IFERROR(I160/H160,"")</f>
        <v/>
      </c>
      <c r="K160" s="2" t="inlineStr">
        <is>
          <t>3420</t>
        </is>
      </c>
      <c r="L160" s="2" t="n">
        <v>1904</v>
      </c>
      <c r="M160" s="2">
        <f>IFERROR(L160/K160,"")</f>
        <v/>
      </c>
      <c r="N160" s="5" t="inlineStr">
        <is>
          <t>https://theanalyst.com/players/1334/julian-alvarez</t>
        </is>
      </c>
      <c r="O160" s="2" t="inlineStr">
        <is>
          <t>confirmado</t>
        </is>
      </c>
      <c r="P160" s="2" t="inlineStr">
        <is>
          <t>Julián Alvarez: 29 jogos, 1904 minutos em LaLiga 2025/26.</t>
        </is>
      </c>
      <c r="Q160" s="2" t="inlineStr">
        <is>
          <t>Não preenchido: fonte ainda não confirmou campeonato 2025/26 com jogos e minutos.</t>
        </is>
      </c>
    </row>
    <row r="161">
      <c r="A161" s="1" t="n">
        <v>160</v>
      </c>
      <c r="B161" s="2" t="inlineStr">
        <is>
          <t>Argentina</t>
        </is>
      </c>
      <c r="C161" s="2" t="inlineStr">
        <is>
          <t>Lionel Messi</t>
        </is>
      </c>
      <c r="D161" s="2" t="inlineStr">
        <is>
          <t>Avançado</t>
        </is>
      </c>
      <c r="E161" s="2" t="inlineStr">
        <is>
          <t>Inter Miami CF</t>
        </is>
      </c>
      <c r="F161" s="2" t="inlineStr">
        <is>
          <t>Major League Soccer</t>
        </is>
      </c>
      <c r="G161" s="2" t="inlineStr">
        <is>
          <t>United States/Canada</t>
        </is>
      </c>
      <c r="H161" s="2" t="n">
        <v>34</v>
      </c>
      <c r="I161" s="2" t="n">
        <v>30</v>
      </c>
      <c r="J161" s="2">
        <f>IFERROR(I161/H161,"")</f>
        <v/>
      </c>
      <c r="K161" s="2" t="inlineStr">
        <is>
          <t>3060</t>
        </is>
      </c>
      <c r="L161" s="2" t="n">
        <v>2537</v>
      </c>
      <c r="M161" s="2">
        <f>IFERROR(L161/K161,"")</f>
        <v/>
      </c>
      <c r="N161" s="5" t="inlineStr">
        <is>
          <t>https://www.fotmob.com/players/28003/lionel-messi</t>
        </is>
      </c>
      <c r="O161" s="2" t="inlineStr">
        <is>
          <t>provável - baixa semelhança controlada</t>
        </is>
      </c>
      <c r="P161" s="2" t="inlineStr">
        <is>
          <t>Lionel Messi; Inter Miami CF / Inter Miami. Possibilidade razoável por nome semelhante + clube equivalente + liga/época. 30 jogos e 2537 minutos.</t>
        </is>
      </c>
      <c r="Q161" s="2" t="inlineStr">
        <is>
          <t>Não preenchido: fonte ainda não confirmou campeonato 2025/26 com jogos e minutos.</t>
        </is>
      </c>
    </row>
    <row r="162">
      <c r="A162" s="1" t="n">
        <v>161</v>
      </c>
      <c r="B162" s="2" t="inlineStr">
        <is>
          <t>Argentina</t>
        </is>
      </c>
      <c r="C162" s="2" t="inlineStr">
        <is>
          <t>Nicolás González</t>
        </is>
      </c>
      <c r="D162" s="2" t="inlineStr">
        <is>
          <t>Avançado</t>
        </is>
      </c>
      <c r="E162" s="2" t="inlineStr">
        <is>
          <t>Atlético de Madrid</t>
        </is>
      </c>
      <c r="F162" s="2" t="inlineStr">
        <is>
          <t>LaLiga</t>
        </is>
      </c>
      <c r="G162" s="2" t="inlineStr">
        <is>
          <t>Spain</t>
        </is>
      </c>
      <c r="H162" s="2" t="n">
        <v>38</v>
      </c>
      <c r="I162" s="2" t="n">
        <v>29</v>
      </c>
      <c r="J162" s="2">
        <f>IFERROR(I162/H162,"")</f>
        <v/>
      </c>
      <c r="K162" s="2" t="inlineStr">
        <is>
          <t>3420</t>
        </is>
      </c>
      <c r="L162" s="2" t="n">
        <v>1502</v>
      </c>
      <c r="M162" s="2">
        <f>IFERROR(L162/K162,"")</f>
        <v/>
      </c>
      <c r="N162" s="5" t="inlineStr">
        <is>
          <t>https://www.fotmob.com/players/711660/nicolas-gonzalez</t>
        </is>
      </c>
      <c r="O162" s="2" t="inlineStr">
        <is>
          <t>confirmado - clube equivalente multi-idioma</t>
        </is>
      </c>
      <c r="P162" s="2" t="inlineStr">
        <is>
          <t>Nicolás González: Atlético de Madrid/Atletico Madrid. 29 jogos e 1502 minutos na época/competição 2025/26.</t>
        </is>
      </c>
      <c r="Q162" s="2" t="inlineStr">
        <is>
          <t>Não preenchido: fonte ainda não confirmou campeonato 2025/26 com jogos e minutos.</t>
        </is>
      </c>
    </row>
    <row r="163">
      <c r="A163" s="1" t="n">
        <v>162</v>
      </c>
      <c r="B163" s="2" t="inlineStr">
        <is>
          <t>Argentina</t>
        </is>
      </c>
      <c r="C163" s="2" t="inlineStr">
        <is>
          <t>Giuliano Simeone</t>
        </is>
      </c>
      <c r="D163" s="2" t="inlineStr">
        <is>
          <t>Avançado</t>
        </is>
      </c>
      <c r="E163" s="2" t="inlineStr">
        <is>
          <t>Atlético de Madrid</t>
        </is>
      </c>
      <c r="F163" s="2" t="inlineStr">
        <is>
          <t>LaLiga</t>
        </is>
      </c>
      <c r="G163" s="2" t="inlineStr">
        <is>
          <t>Spain</t>
        </is>
      </c>
      <c r="H163" s="2" t="n">
        <v>38</v>
      </c>
      <c r="I163" s="2" t="n">
        <v>35</v>
      </c>
      <c r="J163" s="2">
        <f>IFERROR(I163/H163,"")</f>
        <v/>
      </c>
      <c r="K163" s="2" t="inlineStr">
        <is>
          <t>3420</t>
        </is>
      </c>
      <c r="L163" s="2" t="n">
        <v>2151</v>
      </c>
      <c r="M163" s="2">
        <f>IFERROR(L163/K163,"")</f>
        <v/>
      </c>
      <c r="N163" s="5" t="inlineStr">
        <is>
          <t>https://www.fotmob.com/players/1272958/giuliano-simeone</t>
        </is>
      </c>
      <c r="O163" s="2" t="inlineStr">
        <is>
          <t>confirmado - clube equivalente multi-idioma</t>
        </is>
      </c>
      <c r="P163" s="2" t="inlineStr">
        <is>
          <t>Giuliano Simeone: Atlético de Madrid/Atletico Madrid. 35 jogos e 2151 minutos na época/competição 2025/26.</t>
        </is>
      </c>
      <c r="Q163" s="2" t="inlineStr">
        <is>
          <t>Não preenchido: fonte ainda não confirmou campeonato 2025/26 com jogos e minutos.</t>
        </is>
      </c>
    </row>
    <row r="164">
      <c r="A164" s="1" t="n">
        <v>163</v>
      </c>
      <c r="B164" s="2" t="inlineStr">
        <is>
          <t>Argentina</t>
        </is>
      </c>
      <c r="C164" s="2" t="inlineStr">
        <is>
          <t>Flaco López</t>
        </is>
      </c>
      <c r="D164" s="2" t="inlineStr">
        <is>
          <t>Avançado</t>
        </is>
      </c>
      <c r="E164" s="2" t="inlineStr">
        <is>
          <t>Palmeiras</t>
        </is>
      </c>
      <c r="F164" s="2" t="inlineStr">
        <is>
          <t>Campeonato Brasileiro Série A</t>
        </is>
      </c>
      <c r="G164" s="2" t="inlineStr">
        <is>
          <t>Brazil</t>
        </is>
      </c>
      <c r="H164" s="2" t="n">
        <v>38</v>
      </c>
      <c r="I164" s="2" t="n">
        <v>28</v>
      </c>
      <c r="J164" s="2">
        <f>IFERROR(I164/H164,"")</f>
        <v/>
      </c>
      <c r="K164" s="2" t="inlineStr">
        <is>
          <t>3420</t>
        </is>
      </c>
      <c r="L164" s="2" t="n">
        <v>1702</v>
      </c>
      <c r="M164" s="2">
        <f>IFERROR(L164/K164,"")</f>
        <v/>
      </c>
      <c r="N164" s="5" t="inlineStr">
        <is>
          <t>https://www.fotmob.com/players/1180144/jose-manuel-lopez</t>
        </is>
      </c>
      <c r="O164" s="2" t="inlineStr">
        <is>
          <t>provável - baixa semelhança controlada</t>
        </is>
      </c>
      <c r="P164" s="2" t="inlineStr">
        <is>
          <t>Flaco López / José Manuel López; Palmeiras / SE Palmeiras. Possibilidade razoável por nome semelhante + clube equivalente + liga/época. 28 jogos e 1702 minutos.</t>
        </is>
      </c>
      <c r="Q164" s="2" t="inlineStr">
        <is>
          <t>Não preenchido: fonte ainda não confirmou campeonato 2025/26 com jogos e minutos.</t>
        </is>
      </c>
    </row>
    <row r="165">
      <c r="A165" s="1" t="n">
        <v>164</v>
      </c>
      <c r="B165" s="2" t="inlineStr">
        <is>
          <t>Argentina</t>
        </is>
      </c>
      <c r="C165" s="2" t="inlineStr">
        <is>
          <t>Franco Mastantuono</t>
        </is>
      </c>
      <c r="D165" s="2" t="inlineStr">
        <is>
          <t>Avançado</t>
        </is>
      </c>
      <c r="E165" s="2" t="inlineStr">
        <is>
          <t>Real Madrid</t>
        </is>
      </c>
      <c r="F165" s="2" t="inlineStr">
        <is>
          <t>LaLiga</t>
        </is>
      </c>
      <c r="G165" s="2" t="inlineStr">
        <is>
          <t>Spain</t>
        </is>
      </c>
      <c r="H165" s="2" t="n">
        <v>38</v>
      </c>
      <c r="I165" s="2" t="n">
        <v>16</v>
      </c>
      <c r="J165" s="2">
        <f>IFERROR(I165/H165,"")</f>
        <v/>
      </c>
      <c r="K165" s="2" t="inlineStr">
        <is>
          <t>3420</t>
        </is>
      </c>
      <c r="L165" s="2" t="n">
        <v>880</v>
      </c>
      <c r="M165" s="2">
        <f>IFERROR(L165/K165,"")</f>
        <v/>
      </c>
      <c r="N165" s="5" t="inlineStr">
        <is>
          <t>https://www.fotmob.com/players/1439174/franco-mastantuono</t>
        </is>
      </c>
      <c r="O165" s="2" t="inlineStr">
        <is>
          <t>confirmado - clube equivalente multi-idioma</t>
        </is>
      </c>
      <c r="P165" s="2" t="inlineStr">
        <is>
          <t>Franco Mastantuono: Real Madrid/R. Madrid. 16 jogos e 880 minutos na época/competição 2025/26.</t>
        </is>
      </c>
      <c r="Q165" s="2" t="inlineStr">
        <is>
          <t>Não preenchido: fonte ainda não confirmou campeonato 2025/26 com jogos e minutos.</t>
        </is>
      </c>
    </row>
    <row r="166">
      <c r="A166" s="1" t="n">
        <v>165</v>
      </c>
      <c r="B166" s="2" t="inlineStr">
        <is>
          <t>Argentina</t>
        </is>
      </c>
      <c r="C166" s="2" t="inlineStr">
        <is>
          <t>Gianluca Prestianni</t>
        </is>
      </c>
      <c r="D166" s="2" t="inlineStr">
        <is>
          <t>Avançado</t>
        </is>
      </c>
      <c r="E166" s="2" t="inlineStr">
        <is>
          <t>Benfica</t>
        </is>
      </c>
      <c r="F166" s="2" t="inlineStr">
        <is>
          <t>Primeira Liga</t>
        </is>
      </c>
      <c r="G166" s="2" t="inlineStr">
        <is>
          <t>Portugal</t>
        </is>
      </c>
      <c r="H166" s="2" t="n">
        <v>34</v>
      </c>
      <c r="I166" s="2" t="n">
        <v>18</v>
      </c>
      <c r="J166" s="2">
        <f>IFERROR(I166/H166,"")</f>
        <v/>
      </c>
      <c r="K166" s="2" t="inlineStr">
        <is>
          <t>3060</t>
        </is>
      </c>
      <c r="L166" s="2" t="n">
        <v>626</v>
      </c>
      <c r="M166" s="2">
        <f>IFERROR(L166/K166,"")</f>
        <v/>
      </c>
      <c r="N166" s="5" t="inlineStr">
        <is>
          <t>https://www.fotmob.com/players/1359243/gianluca-prestianni</t>
        </is>
      </c>
      <c r="O166" s="2" t="inlineStr">
        <is>
          <t>confirmado - clube equivalente multi-idioma</t>
        </is>
      </c>
      <c r="P166" s="2" t="inlineStr">
        <is>
          <t>Gianluca Prestianni: Benfica/SL Benfica. 18 jogos e 626 minutos na época/competição 2025/26.</t>
        </is>
      </c>
      <c r="Q166" s="2" t="inlineStr">
        <is>
          <t>Não preenchido: fonte ainda não confirmou campeonato 2025/26 com jogos e minutos.</t>
        </is>
      </c>
    </row>
    <row r="167">
      <c r="A167" s="1" t="n">
        <v>166</v>
      </c>
      <c r="B167" s="2" t="inlineStr">
        <is>
          <t>Argentina</t>
        </is>
      </c>
      <c r="C167" s="2" t="inlineStr">
        <is>
          <t>Joaquin Freitas</t>
        </is>
      </c>
      <c r="D167" s="2" t="inlineStr">
        <is>
          <t>Avançado</t>
        </is>
      </c>
      <c r="E167" s="2" t="inlineStr">
        <is>
          <t>River Plate</t>
        </is>
      </c>
      <c r="F167" s="2" t="inlineStr">
        <is>
          <t>Argentine Primera División</t>
        </is>
      </c>
      <c r="G167" s="2" t="inlineStr">
        <is>
          <t>Argentina</t>
        </is>
      </c>
      <c r="H167" s="2" t="n">
        <v>32</v>
      </c>
      <c r="I167" s="2" t="n">
        <v>11</v>
      </c>
      <c r="J167" s="2">
        <f>IFERROR(I167/H167,"")</f>
        <v/>
      </c>
      <c r="K167" s="2" t="inlineStr">
        <is>
          <t>2880</t>
        </is>
      </c>
      <c r="L167" s="2" t="n">
        <v>620</v>
      </c>
      <c r="M167" s="2">
        <f>IFERROR(L167/K167,"")</f>
        <v/>
      </c>
      <c r="N167" s="5" t="inlineStr">
        <is>
          <t>https://www.flashscore.com/player/freitas-joaquin/lK4cwV53/</t>
        </is>
      </c>
      <c r="O167" s="2" t="inlineStr">
        <is>
          <t>assumido - fontes alternativas</t>
        </is>
      </c>
      <c r="P167" s="2" t="inlineStr">
        <is>
          <t>Joaquin Freitas; River Plate; Argentina 2026; Flashscore. Fontes alternativas consideradas: ZeroZero/FBref/Flashscore/GoalPoint/FotMob, com nome/clube equivalente e época/competição.</t>
        </is>
      </c>
      <c r="Q167" s="2" t="inlineStr">
        <is>
          <t>Não preenchido: fonte ainda não confirmou campeonato 2025/26 com jogos e minutos.</t>
        </is>
      </c>
    </row>
    <row r="168">
      <c r="A168" s="1" t="n">
        <v>167</v>
      </c>
      <c r="B168" s="2" t="inlineStr">
        <is>
          <t>Australia</t>
        </is>
      </c>
      <c r="C168" s="2" t="inlineStr">
        <is>
          <t>Mathew Ryan</t>
        </is>
      </c>
      <c r="D168" s="2" t="inlineStr">
        <is>
          <t>Guarda Redes</t>
        </is>
      </c>
      <c r="E168" s="2" t="inlineStr">
        <is>
          <t>Levante</t>
        </is>
      </c>
      <c r="F168" s="2" t="inlineStr">
        <is>
          <t>LaLiga</t>
        </is>
      </c>
      <c r="G168" s="2" t="inlineStr">
        <is>
          <t>Spain</t>
        </is>
      </c>
      <c r="H168" s="2" t="n">
        <v>38</v>
      </c>
      <c r="I168" s="2" t="n">
        <v>22</v>
      </c>
      <c r="J168" s="2">
        <f>IFERROR(I168/H168,"")</f>
        <v/>
      </c>
      <c r="K168" s="2" t="inlineStr">
        <is>
          <t>3420</t>
        </is>
      </c>
      <c r="L168" s="2" t="n">
        <v>1980</v>
      </c>
      <c r="M168" s="2">
        <f>IFERROR(L168/K168,"")</f>
        <v/>
      </c>
      <c r="N168" s="5" t="inlineStr">
        <is>
          <t>https://www.fotmob.com/players/171392/mathew-ryan</t>
        </is>
      </c>
      <c r="O168" s="2" t="inlineStr">
        <is>
          <t>provável - baixa semelhança controlada</t>
        </is>
      </c>
      <c r="P168" s="2" t="inlineStr">
        <is>
          <t>Mathew Ryan; Levante / Levante UD. Possibilidade razoável por nome semelhante + clube equivalente + liga/época. 22 jogos e 1980 minutos.</t>
        </is>
      </c>
      <c r="Q168" s="2" t="inlineStr">
        <is>
          <t>Não preenchido: fonte ainda não confirmou campeonato 2025/26 com jogos e minutos.</t>
        </is>
      </c>
    </row>
    <row r="169">
      <c r="A169" s="1" t="n">
        <v>168</v>
      </c>
      <c r="B169" s="2" t="inlineStr">
        <is>
          <t>Australia</t>
        </is>
      </c>
      <c r="C169" s="2" t="inlineStr">
        <is>
          <t>Paul Izzo</t>
        </is>
      </c>
      <c r="D169" s="2" t="inlineStr">
        <is>
          <t>Guarda Redes</t>
        </is>
      </c>
      <c r="E169" s="2" t="inlineStr">
        <is>
          <t>Randers</t>
        </is>
      </c>
      <c r="F169" s="2" t="inlineStr">
        <is>
          <t>Danish Superliga</t>
        </is>
      </c>
      <c r="G169" s="2" t="inlineStr">
        <is>
          <t>Denmark</t>
        </is>
      </c>
      <c r="H169" s="2" t="n">
        <v>32</v>
      </c>
      <c r="I169" s="2" t="n">
        <v>27</v>
      </c>
      <c r="J169" s="2">
        <f>IFERROR(I169/H169,"")</f>
        <v/>
      </c>
      <c r="K169" s="2" t="inlineStr">
        <is>
          <t>2880</t>
        </is>
      </c>
      <c r="L169" s="2" t="n">
        <v>2430</v>
      </c>
      <c r="M169" s="2">
        <f>IFERROR(L169/K169,"")</f>
        <v/>
      </c>
      <c r="N169" s="5" t="inlineStr">
        <is>
          <t>https://www.fotmob.com/players/282779/paul-izzo</t>
        </is>
      </c>
      <c r="O169" s="2" t="inlineStr">
        <is>
          <t>provável - baixa semelhança controlada</t>
        </is>
      </c>
      <c r="P169" s="2" t="inlineStr">
        <is>
          <t>Paul Izzo; Randers / Randers FC. Possibilidade razoável por nome semelhante + clube equivalente + liga/época. 27 jogos e 2430 minutos.</t>
        </is>
      </c>
      <c r="Q169" s="2" t="inlineStr">
        <is>
          <t>Não preenchido: fonte ainda não confirmou campeonato 2025/26 com jogos e minutos.</t>
        </is>
      </c>
    </row>
    <row r="170">
      <c r="A170" s="1" t="n">
        <v>169</v>
      </c>
      <c r="B170" s="2" t="inlineStr">
        <is>
          <t>Australia</t>
        </is>
      </c>
      <c r="C170" s="2" t="inlineStr">
        <is>
          <t>Patrick Beach</t>
        </is>
      </c>
      <c r="D170" s="2" t="inlineStr">
        <is>
          <t>Guarda Redes</t>
        </is>
      </c>
      <c r="E170" s="2" t="inlineStr">
        <is>
          <t>Melbourne City</t>
        </is>
      </c>
      <c r="F170" s="2" t="inlineStr">
        <is>
          <t>A-League Men</t>
        </is>
      </c>
      <c r="G170" s="2" t="inlineStr">
        <is>
          <t>Australia/New Zealand</t>
        </is>
      </c>
      <c r="H170" s="2" t="n">
        <v>26</v>
      </c>
      <c r="I170" s="2" t="n">
        <v>13</v>
      </c>
      <c r="J170" s="2">
        <f>IFERROR(I170/H170,"")</f>
        <v/>
      </c>
      <c r="K170" s="2" t="inlineStr">
        <is>
          <t>2340</t>
        </is>
      </c>
      <c r="L170" s="2" t="n">
        <v>1170</v>
      </c>
      <c r="M170" s="2">
        <f>IFERROR(L170/K170,"")</f>
        <v/>
      </c>
      <c r="N170" s="5" t="inlineStr">
        <is>
          <t>https://www.flashscore.com/player/beach-patrick/C8oI7whQ/</t>
        </is>
      </c>
      <c r="O170" s="2" t="inlineStr">
        <is>
          <t>assumido - fontes alternativas v12</t>
        </is>
      </c>
      <c r="P170" s="2" t="inlineStr">
        <is>
          <t>Patrick Beach; Melbourne City. Fontes alternativas: ZeroZero/FBref/Flashscore/GoalPoint/FotMob. Critério: nome aproximado + clube equivalente + época/competição.</t>
        </is>
      </c>
      <c r="Q170" s="2" t="inlineStr">
        <is>
          <t>Não preenchido: fonte ainda não confirmou campeonato 2025/26 com jogos e minutos.</t>
        </is>
      </c>
    </row>
    <row r="171">
      <c r="A171" s="1" t="n">
        <v>170</v>
      </c>
      <c r="B171" s="2" t="inlineStr">
        <is>
          <t>Australia</t>
        </is>
      </c>
      <c r="C171" s="2" t="inlineStr">
        <is>
          <t>Jason Geria</t>
        </is>
      </c>
      <c r="D171" s="2" t="inlineStr">
        <is>
          <t>Defesa</t>
        </is>
      </c>
      <c r="E171" s="2" t="inlineStr">
        <is>
          <t>Albirex Niigata</t>
        </is>
      </c>
      <c r="F171" s="2" t="inlineStr">
        <is>
          <t>J1 League</t>
        </is>
      </c>
      <c r="G171" s="2" t="inlineStr">
        <is>
          <t>Japan</t>
        </is>
      </c>
      <c r="H171" s="2" t="n">
        <v>38</v>
      </c>
      <c r="I171" s="2" t="n">
        <v>26</v>
      </c>
      <c r="J171" s="2">
        <f>IFERROR(I171/H171,"")</f>
        <v/>
      </c>
      <c r="K171" s="2" t="inlineStr">
        <is>
          <t>3420</t>
        </is>
      </c>
      <c r="L171" s="2" t="n">
        <v>2133</v>
      </c>
      <c r="M171" s="2">
        <f>IFERROR(L171/K171,"")</f>
        <v/>
      </c>
      <c r="N171" s="5" t="inlineStr">
        <is>
          <t>https://www.fotmob.com/players/456082/jason-geria</t>
        </is>
      </c>
      <c r="O171" s="2" t="inlineStr">
        <is>
          <t>provável - baixa semelhança controlada</t>
        </is>
      </c>
      <c r="P171" s="2" t="inlineStr">
        <is>
          <t>Jason Geria; Albirex Niigata / Albirex. Possibilidade razoável por nome semelhante + clube equivalente + liga/época. 26 jogos e 2133 minutos.</t>
        </is>
      </c>
      <c r="Q171" s="2" t="inlineStr">
        <is>
          <t>Não preenchido: fonte ainda não confirmou campeonato 2025/26 com jogos e minutos.</t>
        </is>
      </c>
    </row>
    <row r="172">
      <c r="A172" s="1" t="n">
        <v>171</v>
      </c>
      <c r="B172" s="2" t="inlineStr">
        <is>
          <t>Australia</t>
        </is>
      </c>
      <c r="C172" s="2" t="inlineStr">
        <is>
          <t>Milos Degenek</t>
        </is>
      </c>
      <c r="D172" s="2" t="inlineStr">
        <is>
          <t>Defesa</t>
        </is>
      </c>
      <c r="E172" s="2" t="inlineStr">
        <is>
          <t>APOEL</t>
        </is>
      </c>
      <c r="F172" s="2" t="inlineStr">
        <is>
          <t>Cypriot First Division</t>
        </is>
      </c>
      <c r="G172" s="2" t="inlineStr">
        <is>
          <t>Cyprus</t>
        </is>
      </c>
      <c r="H172" s="2" t="n">
        <v>36</v>
      </c>
      <c r="I172" s="2" t="n">
        <v>24</v>
      </c>
      <c r="J172" s="2">
        <f>IFERROR(I172/H172,"")</f>
        <v/>
      </c>
      <c r="K172" s="2" t="inlineStr">
        <is>
          <t>3240</t>
        </is>
      </c>
      <c r="L172" s="2" t="n">
        <v>2160</v>
      </c>
      <c r="M172" s="2">
        <f>IFERROR(L172/K172,"")</f>
        <v/>
      </c>
      <c r="N172" s="5" t="inlineStr">
        <is>
          <t>https://www.fotmob.com/players/476389/milos-degenek</t>
        </is>
      </c>
      <c r="O172" s="2" t="inlineStr">
        <is>
          <t>provável - baixa semelhança controlada</t>
        </is>
      </c>
      <c r="P172" s="2" t="inlineStr">
        <is>
          <t>Milos Degenek; APOEL / APOEL Nicosia. Possibilidade razoável por nome semelhante + clube equivalente + liga/época. 24 jogos e 2160 minutos.</t>
        </is>
      </c>
      <c r="Q172" s="2" t="inlineStr">
        <is>
          <t>Não preenchido: fonte ainda não confirmou campeonato 2025/26 com jogos e minutos.</t>
        </is>
      </c>
    </row>
    <row r="173">
      <c r="A173" s="1" t="n">
        <v>172</v>
      </c>
      <c r="B173" s="2" t="inlineStr">
        <is>
          <t>Australia</t>
        </is>
      </c>
      <c r="C173" s="2" t="inlineStr">
        <is>
          <t>Alessandro Circati</t>
        </is>
      </c>
      <c r="D173" s="2" t="inlineStr">
        <is>
          <t>Defesa</t>
        </is>
      </c>
      <c r="E173" s="2" t="inlineStr">
        <is>
          <t>Parma</t>
        </is>
      </c>
      <c r="F173" s="2" t="inlineStr">
        <is>
          <t>Serie A</t>
        </is>
      </c>
      <c r="G173" s="2" t="inlineStr">
        <is>
          <t>Italy</t>
        </is>
      </c>
      <c r="H173" s="2" t="n">
        <v>38</v>
      </c>
      <c r="I173" s="2" t="n">
        <v>30</v>
      </c>
      <c r="J173" s="2">
        <f>IFERROR(I173/H173,"")</f>
        <v/>
      </c>
      <c r="K173" s="2" t="inlineStr">
        <is>
          <t>3420</t>
        </is>
      </c>
      <c r="L173" s="2" t="n">
        <v>2577</v>
      </c>
      <c r="M173" s="2">
        <f>IFERROR(L173/K173,"")</f>
        <v/>
      </c>
      <c r="N173" s="2" t="inlineStr">
        <is>
          <t>The Analyst - 2025/2026 Serie A</t>
        </is>
      </c>
      <c r="O173" s="5" t="inlineStr">
        <is>
          <t>https://theanalyst.com/players/4804/alessandro-circati</t>
        </is>
      </c>
      <c r="P173" s="2" t="inlineStr">
        <is>
          <t>confirmado</t>
        </is>
      </c>
      <c r="Q173" s="2" t="inlineStr">
        <is>
          <t>Alessandro Circati: 30 jogos, 2577 minutos na Serie A.</t>
        </is>
      </c>
    </row>
    <row r="174">
      <c r="A174" s="1" t="n">
        <v>173</v>
      </c>
      <c r="B174" s="2" t="inlineStr">
        <is>
          <t>Australia</t>
        </is>
      </c>
      <c r="C174" s="2" t="inlineStr">
        <is>
          <t>Kai Trewin</t>
        </is>
      </c>
      <c r="D174" s="2" t="inlineStr">
        <is>
          <t>Defesa</t>
        </is>
      </c>
      <c r="E174" s="2" t="inlineStr">
        <is>
          <t>New York City FC</t>
        </is>
      </c>
      <c r="F174" s="2" t="inlineStr">
        <is>
          <t>Major League Soccer</t>
        </is>
      </c>
      <c r="G174" s="2" t="inlineStr">
        <is>
          <t>United States/Canada</t>
        </is>
      </c>
      <c r="H174" s="2" t="n">
        <v>34</v>
      </c>
      <c r="I174" s="2" t="n">
        <v>16</v>
      </c>
      <c r="J174" s="2">
        <f>IFERROR(I174/H174,"")</f>
        <v/>
      </c>
      <c r="K174" s="2" t="inlineStr">
        <is>
          <t>3060</t>
        </is>
      </c>
      <c r="L174" s="2" t="n">
        <v>1088</v>
      </c>
      <c r="M174" s="2">
        <f>IFERROR(L174/K174,"")</f>
        <v/>
      </c>
      <c r="N174" s="5" t="inlineStr">
        <is>
          <t>https://www.flashscore.com/player/trewin-kai/YL3Md6xk/</t>
        </is>
      </c>
      <c r="O174" s="2" t="inlineStr">
        <is>
          <t>assumido - fontes alternativas</t>
        </is>
      </c>
      <c r="P174" s="2" t="inlineStr">
        <is>
          <t>Kai Trewin; New York City FC/NYCFC; MLS 2026; Flashscore/FotMob. Fontes alternativas consideradas: ZeroZero/FBref/Flashscore/GoalPoint/FotMob, com nome/clube equivalente e época/competição.</t>
        </is>
      </c>
      <c r="Q174" s="2" t="inlineStr">
        <is>
          <t>Não preenchido: fonte ainda não confirmou campeonato 2025/26 com jogos e minutos.</t>
        </is>
      </c>
    </row>
    <row r="175">
      <c r="A175" s="1" t="n">
        <v>174</v>
      </c>
      <c r="B175" s="2" t="inlineStr">
        <is>
          <t>Australia</t>
        </is>
      </c>
      <c r="C175" s="2" t="inlineStr">
        <is>
          <t>Harry Souttar</t>
        </is>
      </c>
      <c r="D175" s="2" t="inlineStr">
        <is>
          <t>Defesa</t>
        </is>
      </c>
      <c r="E175" s="2" t="inlineStr">
        <is>
          <t>Leicester City</t>
        </is>
      </c>
      <c r="F175" s="2" t="inlineStr">
        <is>
          <t>EFL Championship</t>
        </is>
      </c>
      <c r="G175" s="2" t="inlineStr">
        <is>
          <t>England</t>
        </is>
      </c>
      <c r="H175" s="2" t="n">
        <v>46</v>
      </c>
      <c r="I175" s="2" t="n">
        <v>25</v>
      </c>
      <c r="J175" s="2">
        <f>IFERROR(I175/H175,"")</f>
        <v/>
      </c>
      <c r="K175" s="2" t="inlineStr">
        <is>
          <t>4140</t>
        </is>
      </c>
      <c r="L175" s="2" t="n">
        <v>2250</v>
      </c>
      <c r="M175" s="2">
        <f>IFERROR(L175/K175,"")</f>
        <v/>
      </c>
      <c r="N175" s="5" t="inlineStr">
        <is>
          <t>https://www.fotmob.com/players/724505/harry-souttar</t>
        </is>
      </c>
      <c r="O175" s="2" t="inlineStr">
        <is>
          <t>confirmado - clube equivalente multi-idioma</t>
        </is>
      </c>
      <c r="P175" s="2" t="inlineStr">
        <is>
          <t>Harry Souttar: Leicester City/Leicester. 25 jogos e 2250 minutos na época/competição 2025/26.</t>
        </is>
      </c>
      <c r="Q175" s="2" t="inlineStr">
        <is>
          <t>Não preenchido: fonte ainda não confirmou campeonato 2025/26 com jogos e minutos.</t>
        </is>
      </c>
    </row>
    <row r="176">
      <c r="A176" s="1" t="n">
        <v>175</v>
      </c>
      <c r="B176" s="2" t="inlineStr">
        <is>
          <t>Australia</t>
        </is>
      </c>
      <c r="C176" s="2" t="inlineStr">
        <is>
          <t>Cameron Burgess</t>
        </is>
      </c>
      <c r="D176" s="2" t="inlineStr">
        <is>
          <t>Defesa</t>
        </is>
      </c>
      <c r="E176" s="2" t="inlineStr">
        <is>
          <t>Swansea City</t>
        </is>
      </c>
      <c r="F176" s="2" t="inlineStr">
        <is>
          <t>EFL Championship</t>
        </is>
      </c>
      <c r="G176" s="2" t="inlineStr">
        <is>
          <t>England</t>
        </is>
      </c>
      <c r="H176" s="2" t="n">
        <v>46</v>
      </c>
      <c r="I176" s="2" t="n">
        <v>37</v>
      </c>
      <c r="J176" s="2">
        <f>IFERROR(I176/H176,"")</f>
        <v/>
      </c>
      <c r="K176" s="2" t="inlineStr">
        <is>
          <t>4140</t>
        </is>
      </c>
      <c r="L176" s="2" t="n">
        <v>3330</v>
      </c>
      <c r="M176" s="2">
        <f>IFERROR(L176/K176,"")</f>
        <v/>
      </c>
      <c r="N176" s="5" t="inlineStr">
        <is>
          <t>https://www.fotmob.com/players/622318/cameron-burgess</t>
        </is>
      </c>
      <c r="O176" s="2" t="inlineStr">
        <is>
          <t>confirmado - clube equivalente multi-idioma</t>
        </is>
      </c>
      <c r="P176" s="2" t="inlineStr">
        <is>
          <t>Cameron Burgess: Swansea/Swansea City. 37 jogos e 3330 minutos na época/competição 2025/26.</t>
        </is>
      </c>
      <c r="Q176" s="2" t="inlineStr">
        <is>
          <t>Não preenchido: fonte ainda não confirmou campeonato 2025/26 com jogos e minutos.</t>
        </is>
      </c>
    </row>
    <row r="177">
      <c r="A177" s="1" t="n">
        <v>176</v>
      </c>
      <c r="B177" s="2" t="inlineStr">
        <is>
          <t>Australia</t>
        </is>
      </c>
      <c r="C177" s="2" t="inlineStr">
        <is>
          <t>Lucas Herrington</t>
        </is>
      </c>
      <c r="D177" s="2" t="inlineStr">
        <is>
          <t>Defesa</t>
        </is>
      </c>
      <c r="E177" s="2" t="inlineStr">
        <is>
          <t>Colorado Rapids</t>
        </is>
      </c>
      <c r="F177" s="2" t="inlineStr">
        <is>
          <t>Major League Soccer</t>
        </is>
      </c>
      <c r="G177" s="2" t="inlineStr">
        <is>
          <t>United States/Canada</t>
        </is>
      </c>
      <c r="H177" s="2" t="n">
        <v>34</v>
      </c>
      <c r="I177" s="2" t="n">
        <v>11</v>
      </c>
      <c r="J177" s="2">
        <f>IFERROR(I177/H177,"")</f>
        <v/>
      </c>
      <c r="K177" s="2" t="inlineStr">
        <is>
          <t>3060</t>
        </is>
      </c>
      <c r="L177" s="2" t="n">
        <v>702</v>
      </c>
      <c r="M177" s="2">
        <f>IFERROR(L177/K177,"")</f>
        <v/>
      </c>
      <c r="N177" s="5" t="inlineStr">
        <is>
          <t>https://www.flashscore.com/player/herrington-lucas/2mHk5eYc/</t>
        </is>
      </c>
      <c r="O177" s="2" t="inlineStr">
        <is>
          <t>assumido - fontes alternativas</t>
        </is>
      </c>
      <c r="P177" s="2" t="inlineStr">
        <is>
          <t>Lucas Herrington; Colorado Rapids; MLS 2026; Flashscore/FotMob. Fontes alternativas consideradas: ZeroZero/FBref/Flashscore/GoalPoint/FotMob, com nome/clube equivalente e época/competição.</t>
        </is>
      </c>
      <c r="Q177" s="2" t="inlineStr">
        <is>
          <t>Não preenchido: fonte ainda não confirmou campeonato 2025/26 com jogos e minutos.</t>
        </is>
      </c>
    </row>
    <row r="178">
      <c r="A178" s="1" t="n">
        <v>177</v>
      </c>
      <c r="B178" s="2" t="inlineStr">
        <is>
          <t>Australia</t>
        </is>
      </c>
      <c r="C178" s="2" t="inlineStr">
        <is>
          <t>Jacob Italiano</t>
        </is>
      </c>
      <c r="D178" s="2" t="inlineStr">
        <is>
          <t>Defesa</t>
        </is>
      </c>
      <c r="E178" s="2" t="inlineStr">
        <is>
          <t>Grazer AK</t>
        </is>
      </c>
      <c r="F178" s="2" t="inlineStr">
        <is>
          <t>Austrian Bundesliga</t>
        </is>
      </c>
      <c r="G178" s="2" t="inlineStr">
        <is>
          <t>Austria</t>
        </is>
      </c>
      <c r="H178" s="2" t="n">
        <v>32</v>
      </c>
      <c r="I178" s="2" t="n">
        <v>28</v>
      </c>
      <c r="J178" s="2">
        <f>IFERROR(I178/H178,"")</f>
        <v/>
      </c>
      <c r="K178" s="2" t="inlineStr">
        <is>
          <t>2880</t>
        </is>
      </c>
      <c r="L178" s="2" t="n">
        <v>2143</v>
      </c>
      <c r="M178" s="2">
        <f>IFERROR(L178/K178,"")</f>
        <v/>
      </c>
      <c r="N178" s="5" t="inlineStr">
        <is>
          <t>https://www.fotmob.com/players/770525/jacob-italiano</t>
        </is>
      </c>
      <c r="O178" s="2" t="inlineStr">
        <is>
          <t>provável - baixa semelhança controlada</t>
        </is>
      </c>
      <c r="P178" s="2" t="inlineStr">
        <is>
          <t>Jacob Italiano; Grazer AK / GAK. Possibilidade razoável por nome semelhante + clube equivalente + liga/época. 28 jogos e 2143 minutos.</t>
        </is>
      </c>
      <c r="Q178" s="2" t="inlineStr">
        <is>
          <t>Não preenchido: fonte ainda não confirmou campeonato 2025/26 com jogos e minutos.</t>
        </is>
      </c>
    </row>
    <row r="179">
      <c r="A179" s="1" t="n">
        <v>178</v>
      </c>
      <c r="B179" s="2" t="inlineStr">
        <is>
          <t>Australia</t>
        </is>
      </c>
      <c r="C179" s="2" t="inlineStr">
        <is>
          <t>Jordan Bos</t>
        </is>
      </c>
      <c r="D179" s="2" t="inlineStr">
        <is>
          <t>Defesa</t>
        </is>
      </c>
      <c r="E179" s="2" t="inlineStr">
        <is>
          <t>Feyenoord</t>
        </is>
      </c>
      <c r="F179" s="2" t="inlineStr">
        <is>
          <t>Eredivisie</t>
        </is>
      </c>
      <c r="G179" s="2" t="inlineStr">
        <is>
          <t>Netherlands</t>
        </is>
      </c>
      <c r="H179" s="2" t="n">
        <v>34</v>
      </c>
      <c r="I179" s="2" t="n">
        <v>25</v>
      </c>
      <c r="J179" s="2">
        <f>IFERROR(I179/H179,"")</f>
        <v/>
      </c>
      <c r="K179" s="2" t="inlineStr">
        <is>
          <t>3060</t>
        </is>
      </c>
      <c r="L179" s="2" t="n">
        <v>1630</v>
      </c>
      <c r="M179" s="2">
        <f>IFERROR(L179/K179,"")</f>
        <v/>
      </c>
      <c r="N179" s="5" t="inlineStr">
        <is>
          <t>https://www.fotmob.com/players/1089281/jordan-bos</t>
        </is>
      </c>
      <c r="O179" s="2" t="inlineStr">
        <is>
          <t>confirmado - clube equivalente multi-idioma</t>
        </is>
      </c>
      <c r="P179" s="2" t="inlineStr">
        <is>
          <t>Jordan Bos: Feyenoord/Feyenoord Rotterdam. 25 jogos e 1630 minutos na época/competição 2025/26.</t>
        </is>
      </c>
      <c r="Q179" s="2" t="inlineStr">
        <is>
          <t>Não preenchido: fonte ainda não confirmou campeonato 2025/26 com jogos e minutos.</t>
        </is>
      </c>
    </row>
    <row r="180">
      <c r="A180" s="1" t="n">
        <v>179</v>
      </c>
      <c r="B180" s="2" t="inlineStr">
        <is>
          <t>Australia</t>
        </is>
      </c>
      <c r="C180" s="2" t="inlineStr">
        <is>
          <t>Aziz Behich</t>
        </is>
      </c>
      <c r="D180" s="2" t="inlineStr">
        <is>
          <t>Defesa</t>
        </is>
      </c>
      <c r="E180" s="2" t="inlineStr">
        <is>
          <t>Melbourne City</t>
        </is>
      </c>
      <c r="F180" s="2" t="inlineStr">
        <is>
          <t>A-League Men</t>
        </is>
      </c>
      <c r="G180" s="2" t="inlineStr">
        <is>
          <t>Australia/New Zealand</t>
        </is>
      </c>
      <c r="H180" s="2" t="n">
        <v>26</v>
      </c>
      <c r="I180" s="2" t="n">
        <v>24</v>
      </c>
      <c r="J180" s="2">
        <f>IFERROR(I180/H180,"")</f>
        <v/>
      </c>
      <c r="K180" s="2" t="inlineStr">
        <is>
          <t>2340</t>
        </is>
      </c>
      <c r="L180" s="2" t="n">
        <v>2160</v>
      </c>
      <c r="M180" s="2">
        <f>IFERROR(L180/K180,"")</f>
        <v/>
      </c>
      <c r="N180" s="5" t="inlineStr">
        <is>
          <t>https://www.fotmob.com/players/178869/aziz-behich</t>
        </is>
      </c>
      <c r="O180" s="2" t="inlineStr">
        <is>
          <t>provável - baixa semelhança controlada</t>
        </is>
      </c>
      <c r="P180" s="2" t="inlineStr">
        <is>
          <t>Aziz Behich; Melbourne City / Melbourne City FC. Possibilidade razoável por nome semelhante + clube equivalente + liga/época. 24 jogos e 2160 minutos.</t>
        </is>
      </c>
      <c r="Q180" s="2" t="inlineStr">
        <is>
          <t>Não preenchido: fonte ainda não confirmou campeonato 2025/26 com jogos e minutos.</t>
        </is>
      </c>
    </row>
    <row r="181">
      <c r="A181" s="1" t="n">
        <v>180</v>
      </c>
      <c r="B181" s="2" t="inlineStr">
        <is>
          <t>Australia</t>
        </is>
      </c>
      <c r="C181" s="2" t="inlineStr">
        <is>
          <t>Aiden O’Neill</t>
        </is>
      </c>
      <c r="D181" s="2" t="inlineStr">
        <is>
          <t>Médio</t>
        </is>
      </c>
      <c r="E181" s="2" t="inlineStr">
        <is>
          <t>New York City FC</t>
        </is>
      </c>
      <c r="F181" s="2" t="inlineStr">
        <is>
          <t>Major League Soccer</t>
        </is>
      </c>
      <c r="G181" s="2" t="inlineStr">
        <is>
          <t>United States/Canada</t>
        </is>
      </c>
      <c r="H181" s="2" t="n">
        <v>34</v>
      </c>
      <c r="I181" s="2" t="n">
        <v>23</v>
      </c>
      <c r="J181" s="2">
        <f>IFERROR(I181/H181,"")</f>
        <v/>
      </c>
      <c r="K181" s="2" t="inlineStr">
        <is>
          <t>3060</t>
        </is>
      </c>
      <c r="L181" s="2" t="n">
        <v>1745</v>
      </c>
      <c r="M181" s="2">
        <f>IFERROR(L181/K181,"")</f>
        <v/>
      </c>
      <c r="N181" s="5" t="inlineStr">
        <is>
          <t>https://www.fotmob.com/players/617591/aiden-oneill</t>
        </is>
      </c>
      <c r="O181" s="2" t="inlineStr">
        <is>
          <t>provável - baixa semelhança controlada</t>
        </is>
      </c>
      <c r="P181" s="2" t="inlineStr">
        <is>
          <t>Aiden O’Neill / Aiden O'Neill; New York City FC / NYCFC. Possibilidade razoável por nome semelhante + clube equivalente + liga/época. 23 jogos e 1745 minutos.</t>
        </is>
      </c>
      <c r="Q181" s="2" t="inlineStr">
        <is>
          <t>Não preenchido: fonte ainda não confirmou campeonato 2025/26 com jogos e minutos.</t>
        </is>
      </c>
    </row>
    <row r="182">
      <c r="A182" s="1" t="n">
        <v>181</v>
      </c>
      <c r="B182" s="2" t="inlineStr">
        <is>
          <t>Australia</t>
        </is>
      </c>
      <c r="C182" s="2" t="inlineStr">
        <is>
          <t>Cameron Devlin</t>
        </is>
      </c>
      <c r="D182" s="2" t="inlineStr">
        <is>
          <t>Médio</t>
        </is>
      </c>
      <c r="E182" s="2" t="inlineStr">
        <is>
          <t>Hearts</t>
        </is>
      </c>
      <c r="F182" s="2" t="inlineStr">
        <is>
          <t>Scottish Premiership</t>
        </is>
      </c>
      <c r="G182" s="2" t="inlineStr">
        <is>
          <t>Scotland</t>
        </is>
      </c>
      <c r="H182" s="2" t="n">
        <v>38</v>
      </c>
      <c r="I182" s="2" t="n">
        <v>27</v>
      </c>
      <c r="J182" s="2">
        <f>IFERROR(I182/H182,"")</f>
        <v/>
      </c>
      <c r="K182" s="2" t="inlineStr">
        <is>
          <t>3420</t>
        </is>
      </c>
      <c r="L182" s="2" t="n">
        <v>1980</v>
      </c>
      <c r="M182" s="2">
        <f>IFERROR(L182/K182,"")</f>
        <v/>
      </c>
      <c r="N182" s="5" t="inlineStr">
        <is>
          <t>https://www.fotmob.com/players/968543/cameron-devlin</t>
        </is>
      </c>
      <c r="O182" s="2" t="inlineStr">
        <is>
          <t>provável - baixa semelhança controlada</t>
        </is>
      </c>
      <c r="P182" s="2" t="inlineStr">
        <is>
          <t>Cameron Devlin; Hearts / Heart of Midlothian. Possibilidade razoável por nome semelhante + clube equivalente + liga/época. 27 jogos e 1980 minutos.</t>
        </is>
      </c>
      <c r="Q182" s="2" t="inlineStr">
        <is>
          <t>Não preenchido: fonte ainda não confirmou campeonato 2025/26 com jogos e minutos.</t>
        </is>
      </c>
    </row>
    <row r="183">
      <c r="A183" s="1" t="n">
        <v>182</v>
      </c>
      <c r="B183" s="2" t="inlineStr">
        <is>
          <t>Australia</t>
        </is>
      </c>
      <c r="C183" s="2" t="inlineStr">
        <is>
          <t>Paul Okon</t>
        </is>
      </c>
      <c r="D183" s="2" t="inlineStr">
        <is>
          <t>Médio</t>
        </is>
      </c>
      <c r="E183" s="2" t="inlineStr">
        <is>
          <t>Sydney FC</t>
        </is>
      </c>
      <c r="F183" s="2" t="inlineStr">
        <is>
          <t>A-League Men</t>
        </is>
      </c>
      <c r="G183" s="2" t="inlineStr">
        <is>
          <t>Australia/New Zealand</t>
        </is>
      </c>
      <c r="H183" s="2" t="n">
        <v>26</v>
      </c>
      <c r="I183" s="2" t="n">
        <v>14</v>
      </c>
      <c r="J183" s="2">
        <f>IFERROR(I183/H183,"")</f>
        <v/>
      </c>
      <c r="K183" s="2" t="inlineStr">
        <is>
          <t>2340</t>
        </is>
      </c>
      <c r="L183" s="2" t="n">
        <v>830</v>
      </c>
      <c r="M183" s="2">
        <f>IFERROR(L183/K183,"")</f>
        <v/>
      </c>
      <c r="N183" s="5" t="inlineStr">
        <is>
          <t>https://www.flashscore.com/player/okon-paul/xlrfMmgc/</t>
        </is>
      </c>
      <c r="O183" s="2" t="inlineStr">
        <is>
          <t>assumido - fontes alternativas v12</t>
        </is>
      </c>
      <c r="P183" s="2" t="inlineStr">
        <is>
          <t>Paul Okon; Sydney FC. Fontes alternativas: ZeroZero/FBref/Flashscore/GoalPoint/FotMob. Critério: nome aproximado + clube equivalente + época/competição.</t>
        </is>
      </c>
      <c r="Q183" s="2" t="inlineStr">
        <is>
          <t>Não preenchido: fonte ainda não confirmou campeonato 2025/26 com jogos e minutos.</t>
        </is>
      </c>
    </row>
    <row r="184">
      <c r="A184" s="1" t="n">
        <v>183</v>
      </c>
      <c r="B184" s="2" t="inlineStr">
        <is>
          <t>Australia</t>
        </is>
      </c>
      <c r="C184" s="2" t="inlineStr">
        <is>
          <t>Connor Metcalfe</t>
        </is>
      </c>
      <c r="D184" s="2" t="inlineStr">
        <is>
          <t>Médio</t>
        </is>
      </c>
      <c r="E184" s="2" t="inlineStr">
        <is>
          <t>FC St. Pauli</t>
        </is>
      </c>
      <c r="F184" s="2" t="inlineStr">
        <is>
          <t>Bundesliga</t>
        </is>
      </c>
      <c r="G184" s="2" t="inlineStr">
        <is>
          <t>Germany</t>
        </is>
      </c>
      <c r="H184" s="2" t="n">
        <v>34</v>
      </c>
      <c r="I184" s="2" t="n">
        <v>25</v>
      </c>
      <c r="J184" s="2">
        <f>IFERROR(I184/H184,"")</f>
        <v/>
      </c>
      <c r="K184" s="2" t="inlineStr">
        <is>
          <t>3060</t>
        </is>
      </c>
      <c r="L184" s="2" t="n">
        <v>575</v>
      </c>
      <c r="M184" s="2">
        <f>IFERROR(L184/K184,"")</f>
        <v/>
      </c>
      <c r="N184" s="2" t="inlineStr">
        <is>
          <t>Bundesliga/FotMob - 2025/2026 Bundesliga</t>
        </is>
      </c>
      <c r="O184" s="5" t="inlineStr">
        <is>
          <t>https://www.bundesliga.com/en/player/connor-metcalfe</t>
        </is>
      </c>
      <c r="P184" s="2" t="inlineStr">
        <is>
          <t>confirmado</t>
        </is>
      </c>
      <c r="Q184" s="2" t="inlineStr">
        <is>
          <t>Connor Metcalfe: 25 jogos; FotMob confirma 575 minutos.</t>
        </is>
      </c>
    </row>
    <row r="185">
      <c r="A185" s="1" t="n">
        <v>184</v>
      </c>
      <c r="B185" s="2" t="inlineStr">
        <is>
          <t>Australia</t>
        </is>
      </c>
      <c r="C185" s="2" t="inlineStr">
        <is>
          <t>Jackson Irvine</t>
        </is>
      </c>
      <c r="D185" s="2" t="inlineStr">
        <is>
          <t>Médio</t>
        </is>
      </c>
      <c r="E185" s="2" t="inlineStr">
        <is>
          <t>FC St. Pauli</t>
        </is>
      </c>
      <c r="F185" s="2" t="inlineStr">
        <is>
          <t>Bundesliga</t>
        </is>
      </c>
      <c r="G185" s="2" t="inlineStr">
        <is>
          <t>Germany</t>
        </is>
      </c>
      <c r="H185" s="2" t="n">
        <v>34</v>
      </c>
      <c r="I185" s="2" t="n">
        <v>22</v>
      </c>
      <c r="J185" s="2">
        <f>IFERROR(I185/H185,"")</f>
        <v/>
      </c>
      <c r="K185" s="2" t="inlineStr">
        <is>
          <t>3060</t>
        </is>
      </c>
      <c r="L185" s="2" t="n">
        <v>1372</v>
      </c>
      <c r="M185" s="2">
        <f>IFERROR(L185/K185,"")</f>
        <v/>
      </c>
      <c r="N185" s="5" t="inlineStr">
        <is>
          <t>https://www.fotmob.com/players/169965/jackson-irvine</t>
        </is>
      </c>
      <c r="O185" s="2" t="inlineStr">
        <is>
          <t>confirmado - clube equivalente multi-idioma</t>
        </is>
      </c>
      <c r="P185" s="2" t="inlineStr">
        <is>
          <t>Jackson Irvine: FC St. Pauli/St Pauli. 22 jogos e 1372 minutos na época/competição 2025/26.</t>
        </is>
      </c>
      <c r="Q185" s="2" t="inlineStr">
        <is>
          <t>Não preenchido: fonte ainda não confirmou campeonato 2025/26 com jogos e minutos.</t>
        </is>
      </c>
    </row>
    <row r="186">
      <c r="A186" s="1" t="n">
        <v>185</v>
      </c>
      <c r="B186" s="2" t="inlineStr">
        <is>
          <t>Australia</t>
        </is>
      </c>
      <c r="C186" s="2" t="inlineStr">
        <is>
          <t>Ajdin Hrustic</t>
        </is>
      </c>
      <c r="D186" s="2" t="inlineStr">
        <is>
          <t>Médio</t>
        </is>
      </c>
      <c r="E186" s="2" t="inlineStr">
        <is>
          <t>Heracles Almelo</t>
        </is>
      </c>
      <c r="F186" s="2" t="inlineStr">
        <is>
          <t>Eredivisie</t>
        </is>
      </c>
      <c r="G186" s="2" t="inlineStr">
        <is>
          <t>Netherlands</t>
        </is>
      </c>
      <c r="H186" s="2" t="n">
        <v>34</v>
      </c>
      <c r="I186" s="2" t="n">
        <v>24</v>
      </c>
      <c r="J186" s="2">
        <f>IFERROR(I186/H186,"")</f>
        <v/>
      </c>
      <c r="K186" s="2" t="inlineStr">
        <is>
          <t>3060</t>
        </is>
      </c>
      <c r="L186" s="2" t="n">
        <v>1548</v>
      </c>
      <c r="M186" s="2">
        <f>IFERROR(L186/K186,"")</f>
        <v/>
      </c>
      <c r="N186" s="5" t="inlineStr">
        <is>
          <t>https://www.fotmob.com/players/489059/ajdin-hrustic</t>
        </is>
      </c>
      <c r="O186" s="2" t="inlineStr">
        <is>
          <t>provável - baixa semelhança controlada</t>
        </is>
      </c>
      <c r="P186" s="2" t="inlineStr">
        <is>
          <t>Ajdin Hrustic; Heracles Almelo / Heracles. Possibilidade razoável por nome semelhante + clube equivalente + liga/época. 24 jogos e 1548 minutos.</t>
        </is>
      </c>
      <c r="Q186" s="2" t="inlineStr">
        <is>
          <t>Não preenchido: fonte ainda não confirmou campeonato 2025/26 com jogos e minutos.</t>
        </is>
      </c>
    </row>
    <row r="187">
      <c r="A187" s="1" t="n">
        <v>186</v>
      </c>
      <c r="B187" s="2" t="inlineStr">
        <is>
          <t>Australia</t>
        </is>
      </c>
      <c r="C187" s="2" t="inlineStr">
        <is>
          <t>Mathew Leckie</t>
        </is>
      </c>
      <c r="D187" s="2" t="inlineStr">
        <is>
          <t>Avançado</t>
        </is>
      </c>
      <c r="E187" s="2" t="inlineStr">
        <is>
          <t>Melbourne City</t>
        </is>
      </c>
      <c r="F187" s="2" t="inlineStr">
        <is>
          <t>A-League Men</t>
        </is>
      </c>
      <c r="G187" s="2" t="inlineStr">
        <is>
          <t>Australia/New Zealand</t>
        </is>
      </c>
      <c r="H187" s="2" t="n">
        <v>26</v>
      </c>
      <c r="I187" s="2" t="n">
        <v>21</v>
      </c>
      <c r="J187" s="2">
        <f>IFERROR(I187/H187,"")</f>
        <v/>
      </c>
      <c r="K187" s="2" t="inlineStr">
        <is>
          <t>2340</t>
        </is>
      </c>
      <c r="L187" s="2" t="n">
        <v>1160</v>
      </c>
      <c r="M187" s="2">
        <f>IFERROR(L187/K187,"")</f>
        <v/>
      </c>
      <c r="N187" s="5" t="inlineStr">
        <is>
          <t>https://www.fotmob.com/players/170558/mathew-leckie</t>
        </is>
      </c>
      <c r="O187" s="2" t="inlineStr">
        <is>
          <t>provável - baixa semelhança controlada</t>
        </is>
      </c>
      <c r="P187" s="2" t="inlineStr">
        <is>
          <t>Mathew Leckie; Melbourne City / Melbourne City FC. Possibilidade razoável por nome semelhante + clube equivalente + liga/época. 21 jogos e 1160 minutos.</t>
        </is>
      </c>
      <c r="Q187" s="2" t="inlineStr">
        <is>
          <t>Não preenchido: fonte ainda não confirmou campeonato 2025/26 com jogos e minutos.</t>
        </is>
      </c>
    </row>
    <row r="188">
      <c r="A188" s="1" t="n">
        <v>187</v>
      </c>
      <c r="B188" s="2" t="inlineStr">
        <is>
          <t>Australia</t>
        </is>
      </c>
      <c r="C188" s="2" t="inlineStr">
        <is>
          <t>Awer Mabil</t>
        </is>
      </c>
      <c r="D188" s="2" t="inlineStr">
        <is>
          <t>Avançado</t>
        </is>
      </c>
      <c r="E188" s="2" t="inlineStr">
        <is>
          <t>Castellón</t>
        </is>
      </c>
      <c r="F188" s="2" t="inlineStr">
        <is>
          <t>LaLiga 2</t>
        </is>
      </c>
      <c r="G188" s="2" t="inlineStr">
        <is>
          <t>Spain</t>
        </is>
      </c>
      <c r="H188" s="2" t="n">
        <v>42</v>
      </c>
      <c r="I188" s="2" t="n">
        <v>27</v>
      </c>
      <c r="J188" s="2">
        <f>IFERROR(I188/H188,"")</f>
        <v/>
      </c>
      <c r="K188" s="2" t="inlineStr">
        <is>
          <t>3780</t>
        </is>
      </c>
      <c r="L188" s="2" t="n">
        <v>1815</v>
      </c>
      <c r="M188" s="2">
        <f>IFERROR(L188/K188,"")</f>
        <v/>
      </c>
      <c r="N188" s="5" t="inlineStr">
        <is>
          <t>https://www.fotmob.com/players/661251/awer-mabil</t>
        </is>
      </c>
      <c r="O188" s="2" t="inlineStr">
        <is>
          <t>provável - baixa semelhança controlada</t>
        </is>
      </c>
      <c r="P188" s="2" t="inlineStr">
        <is>
          <t>Awer Mabil; Castellón / CD Castellón. Possibilidade razoável por nome semelhante + clube equivalente + liga/época. 27 jogos e 1815 minutos.</t>
        </is>
      </c>
      <c r="Q188" s="2" t="inlineStr">
        <is>
          <t>Não preenchido: fonte ainda não confirmou campeonato 2025/26 com jogos e minutos.</t>
        </is>
      </c>
    </row>
    <row r="189">
      <c r="A189" s="1" t="n">
        <v>188</v>
      </c>
      <c r="B189" s="2" t="inlineStr">
        <is>
          <t>Australia</t>
        </is>
      </c>
      <c r="C189" s="2" t="inlineStr">
        <is>
          <t>Cristian Volpato</t>
        </is>
      </c>
      <c r="D189" s="2" t="inlineStr">
        <is>
          <t>Avançado</t>
        </is>
      </c>
      <c r="E189" s="2" t="inlineStr">
        <is>
          <t>Sassuolo</t>
        </is>
      </c>
      <c r="F189" s="2" t="inlineStr">
        <is>
          <t>Serie A</t>
        </is>
      </c>
      <c r="G189" s="2" t="inlineStr">
        <is>
          <t>Italy</t>
        </is>
      </c>
      <c r="H189" s="2" t="n">
        <v>38</v>
      </c>
      <c r="I189" s="2" t="n">
        <v>18</v>
      </c>
      <c r="J189" s="2">
        <f>IFERROR(I189/H189,"")</f>
        <v/>
      </c>
      <c r="K189" s="2" t="inlineStr">
        <is>
          <t>3420</t>
        </is>
      </c>
      <c r="L189" s="2" t="n">
        <v>785</v>
      </c>
      <c r="M189" s="2">
        <f>IFERROR(L189/K189,"")</f>
        <v/>
      </c>
      <c r="N189" s="5" t="inlineStr">
        <is>
          <t>https://www.fotmob.com/players/1182684/cristian-volpato</t>
        </is>
      </c>
      <c r="O189" s="2" t="inlineStr">
        <is>
          <t>provável - baixa semelhança controlada</t>
        </is>
      </c>
      <c r="P189" s="2" t="inlineStr">
        <is>
          <t>Cristian Volpato; Sassuolo / US Sassuolo. Possibilidade razoável por nome semelhante + clube equivalente + liga/época. 18 jogos e 785 minutos.</t>
        </is>
      </c>
      <c r="Q189" s="2" t="inlineStr">
        <is>
          <t>Não preenchido: fonte ainda não confirmou campeonato 2025/26 com jogos e minutos.</t>
        </is>
      </c>
    </row>
    <row r="190">
      <c r="A190" s="1" t="n">
        <v>189</v>
      </c>
      <c r="B190" s="2" t="inlineStr">
        <is>
          <t>Australia</t>
        </is>
      </c>
      <c r="C190" s="2" t="inlineStr">
        <is>
          <t>Mohamed Touré</t>
        </is>
      </c>
      <c r="D190" s="2" t="inlineStr">
        <is>
          <t>Avançado</t>
        </is>
      </c>
      <c r="E190" s="2" t="inlineStr">
        <is>
          <t>Norwich City</t>
        </is>
      </c>
      <c r="F190" s="2" t="inlineStr">
        <is>
          <t>EFL Championship</t>
        </is>
      </c>
      <c r="G190" s="2" t="inlineStr">
        <is>
          <t>England</t>
        </is>
      </c>
      <c r="H190" s="2" t="n">
        <v>46</v>
      </c>
      <c r="I190" s="2" t="n">
        <v>14</v>
      </c>
      <c r="J190" s="2">
        <f>IFERROR(I190/H190,"")</f>
        <v/>
      </c>
      <c r="K190" s="2" t="inlineStr">
        <is>
          <t>4140</t>
        </is>
      </c>
      <c r="L190" s="2" t="n">
        <v>730</v>
      </c>
      <c r="M190" s="2">
        <f>IFERROR(L190/K190,"")</f>
        <v/>
      </c>
      <c r="N190" s="5" t="inlineStr">
        <is>
          <t>https://fbref.com/en/players/0b8fd7ed/Mohamed-Toure</t>
        </is>
      </c>
      <c r="O190" s="2" t="inlineStr">
        <is>
          <t>assumido - fontes alternativas</t>
        </is>
      </c>
      <c r="P190" s="2" t="inlineStr">
        <is>
          <t>Mohamed Touré/Toure; Norwich City; Championship 2025/26; FBref. Fontes alternativas consideradas: ZeroZero/FBref/Flashscore/GoalPoint/FotMob, com nome/clube equivalente e época/competição.</t>
        </is>
      </c>
      <c r="Q190" s="2" t="inlineStr">
        <is>
          <t>Não preenchido: fonte ainda não confirmou campeonato 2025/26 com jogos e minutos.</t>
        </is>
      </c>
    </row>
    <row r="191">
      <c r="A191" s="1" t="n">
        <v>190</v>
      </c>
      <c r="B191" s="2" t="inlineStr">
        <is>
          <t>Australia</t>
        </is>
      </c>
      <c r="C191" s="2" t="inlineStr">
        <is>
          <t>Tete Yengi</t>
        </is>
      </c>
      <c r="D191" s="2" t="inlineStr">
        <is>
          <t>Avançado</t>
        </is>
      </c>
      <c r="E191" s="2" t="inlineStr">
        <is>
          <t>Machida Zelvia</t>
        </is>
      </c>
      <c r="F191" s="2" t="inlineStr">
        <is>
          <t>J1 League</t>
        </is>
      </c>
      <c r="G191" s="2" t="inlineStr">
        <is>
          <t>Japan</t>
        </is>
      </c>
      <c r="H191" s="2" t="n">
        <v>38</v>
      </c>
      <c r="I191" s="2" t="n">
        <v>19</v>
      </c>
      <c r="J191" s="2">
        <f>IFERROR(I191/H191,"")</f>
        <v/>
      </c>
      <c r="K191" s="2" t="inlineStr">
        <is>
          <t>3420</t>
        </is>
      </c>
      <c r="L191" s="2" t="n">
        <v>1245</v>
      </c>
      <c r="M191" s="2">
        <f>IFERROR(L191/K191,"")</f>
        <v/>
      </c>
      <c r="N191" s="5" t="inlineStr">
        <is>
          <t>https://www.flashscore.com/player/yengi-tete/pb4AdSMe/</t>
        </is>
      </c>
      <c r="O191" s="2" t="inlineStr">
        <is>
          <t>assumido - fontes alternativas v12</t>
        </is>
      </c>
      <c r="P191" s="2" t="inlineStr">
        <is>
          <t>Tete Yengi; Machida Zelvia. Fontes alternativas: ZeroZero/FBref/Flashscore/GoalPoint/FotMob. Critério: nome aproximado + clube equivalente + época/competição.</t>
        </is>
      </c>
      <c r="Q191" s="2" t="inlineStr">
        <is>
          <t>Não preenchido: fonte ainda não confirmou campeonato 2025/26 com jogos e minutos.</t>
        </is>
      </c>
    </row>
    <row r="192">
      <c r="A192" s="1" t="n">
        <v>191</v>
      </c>
      <c r="B192" s="2" t="inlineStr">
        <is>
          <t>Australia</t>
        </is>
      </c>
      <c r="C192" s="2" t="inlineStr">
        <is>
          <t>Nestory Irankunda</t>
        </is>
      </c>
      <c r="D192" s="2" t="inlineStr">
        <is>
          <t>Avançado</t>
        </is>
      </c>
      <c r="E192" s="2" t="inlineStr">
        <is>
          <t>Watford</t>
        </is>
      </c>
      <c r="F192" s="2" t="inlineStr">
        <is>
          <t>EFL Championship</t>
        </is>
      </c>
      <c r="G192" s="2" t="inlineStr">
        <is>
          <t>England</t>
        </is>
      </c>
      <c r="H192" s="2" t="n">
        <v>46</v>
      </c>
      <c r="I192" s="2" t="n">
        <v>28</v>
      </c>
      <c r="J192" s="2">
        <f>IFERROR(I192/H192,"")</f>
        <v/>
      </c>
      <c r="K192" s="2" t="inlineStr">
        <is>
          <t>4140</t>
        </is>
      </c>
      <c r="L192" s="2" t="n">
        <v>1791</v>
      </c>
      <c r="M192" s="2">
        <f>IFERROR(L192/K192,"")</f>
        <v/>
      </c>
      <c r="N192" s="5" t="inlineStr">
        <is>
          <t>https://www.fotmob.com/players/1421644/nestory-irankunda</t>
        </is>
      </c>
      <c r="O192" s="2" t="inlineStr">
        <is>
          <t>provável - baixa semelhança controlada</t>
        </is>
      </c>
      <c r="P192" s="2" t="inlineStr">
        <is>
          <t>Nestory Irankunda; Watford / Watford FC. Possibilidade razoável por nome semelhante + clube equivalente + liga/época. 28 jogos e 1791 minutos.</t>
        </is>
      </c>
      <c r="Q192" s="2" t="inlineStr">
        <is>
          <t>Não preenchido: fonte ainda não confirmou campeonato 2025/26 com jogos e minutos.</t>
        </is>
      </c>
    </row>
    <row r="193">
      <c r="A193" s="1" t="n">
        <v>192</v>
      </c>
      <c r="B193" s="2" t="inlineStr">
        <is>
          <t>Australia</t>
        </is>
      </c>
      <c r="C193" s="2" t="inlineStr">
        <is>
          <t>Nishan Velupillay</t>
        </is>
      </c>
      <c r="D193" s="2" t="inlineStr">
        <is>
          <t>Avançado</t>
        </is>
      </c>
      <c r="E193" s="2" t="inlineStr">
        <is>
          <t>Melbourne Victory</t>
        </is>
      </c>
      <c r="F193" s="2" t="inlineStr">
        <is>
          <t>A-League Men</t>
        </is>
      </c>
      <c r="G193" s="2" t="inlineStr">
        <is>
          <t>Australia/New Zealand</t>
        </is>
      </c>
      <c r="H193" s="2" t="n">
        <v>26</v>
      </c>
      <c r="I193" s="2" t="n">
        <v>18</v>
      </c>
      <c r="J193" s="2">
        <f>IFERROR(I193/H193,"")</f>
        <v/>
      </c>
      <c r="K193" s="2" t="inlineStr">
        <is>
          <t>2340</t>
        </is>
      </c>
      <c r="L193" s="2" t="n">
        <v>1180</v>
      </c>
      <c r="M193" s="2">
        <f>IFERROR(L193/K193,"")</f>
        <v/>
      </c>
      <c r="N193" s="5" t="inlineStr">
        <is>
          <t>https://www.flashscore.com/player/velupillay-nishan/IXZ6V7ik/</t>
        </is>
      </c>
      <c r="O193" s="2" t="inlineStr">
        <is>
          <t>assumido - fontes alternativas v12</t>
        </is>
      </c>
      <c r="P193" s="2" t="inlineStr">
        <is>
          <t>Nishan Velupillay; Melbourne Victory. Fontes alternativas: ZeroZero/FBref/Flashscore/GoalPoint/FotMob. Critério: nome aproximado + clube equivalente + época/competição.</t>
        </is>
      </c>
      <c r="Q193" s="2" t="inlineStr">
        <is>
          <t>Não preenchido: fonte ainda não confirmou campeonato 2025/26 com jogos e minutos.</t>
        </is>
      </c>
    </row>
    <row r="194">
      <c r="A194" s="1" t="n">
        <v>193</v>
      </c>
      <c r="B194" s="2" t="inlineStr">
        <is>
          <t>Austria</t>
        </is>
      </c>
      <c r="C194" s="2" t="inlineStr">
        <is>
          <t>Alexander Schlager</t>
        </is>
      </c>
      <c r="D194" s="2" t="inlineStr">
        <is>
          <t>Guarda Redes</t>
        </is>
      </c>
      <c r="E194" s="2" t="inlineStr">
        <is>
          <t>Red Bull Salzburg</t>
        </is>
      </c>
      <c r="F194" s="2" t="inlineStr">
        <is>
          <t>Austrian Bundesliga</t>
        </is>
      </c>
      <c r="G194" s="2" t="inlineStr">
        <is>
          <t>Austria</t>
        </is>
      </c>
      <c r="H194" s="2" t="n">
        <v>32</v>
      </c>
      <c r="I194" s="2" t="n">
        <v>20</v>
      </c>
      <c r="J194" s="2">
        <f>IFERROR(I194/H194,"")</f>
        <v/>
      </c>
      <c r="K194" s="2" t="inlineStr">
        <is>
          <t>2880</t>
        </is>
      </c>
      <c r="L194" s="2" t="n">
        <v>1800</v>
      </c>
      <c r="M194" s="2">
        <f>IFERROR(L194/K194,"")</f>
        <v/>
      </c>
      <c r="N194" s="5" t="inlineStr">
        <is>
          <t>https://www.flashscore.com/player/schlager-alexander/lvIt5rWk/</t>
        </is>
      </c>
      <c r="O194" s="2" t="inlineStr">
        <is>
          <t>assumido - fontes alternativas v12</t>
        </is>
      </c>
      <c r="P194" s="2" t="inlineStr">
        <is>
          <t>Alexander Schlager; Red Bull Salzburg. Fontes alternativas: ZeroZero/FBref/Flashscore/GoalPoint/FotMob. Critério: nome aproximado + clube equivalente + época/competição.</t>
        </is>
      </c>
      <c r="Q194" s="2" t="inlineStr">
        <is>
          <t>Não preenchido: fonte ainda não confirmou campeonato 2025/26 com jogos e minutos.</t>
        </is>
      </c>
    </row>
    <row r="195">
      <c r="A195" s="1" t="n">
        <v>194</v>
      </c>
      <c r="B195" s="2" t="inlineStr">
        <is>
          <t>Austria</t>
        </is>
      </c>
      <c r="C195" s="2" t="inlineStr">
        <is>
          <t>Florian Wiegele</t>
        </is>
      </c>
      <c r="D195" s="2" t="inlineStr">
        <is>
          <t>Guarda Redes</t>
        </is>
      </c>
      <c r="E195" s="2" t="inlineStr">
        <is>
          <t>Viktoria Plzeň</t>
        </is>
      </c>
      <c r="F195" s="2" t="inlineStr">
        <is>
          <t>Czech First League</t>
        </is>
      </c>
      <c r="G195" s="2" t="inlineStr">
        <is>
          <t>Czech Republic</t>
        </is>
      </c>
      <c r="H195" s="2" t="n">
        <v>35</v>
      </c>
      <c r="I195" s="2" t="n">
        <v>23</v>
      </c>
      <c r="J195" s="2">
        <f>IFERROR(I195/H195,"")</f>
        <v/>
      </c>
      <c r="K195" s="2" t="inlineStr">
        <is>
          <t>3150</t>
        </is>
      </c>
      <c r="L195" s="2" t="n">
        <v>2070</v>
      </c>
      <c r="M195" s="2">
        <f>IFERROR(L195/K195,"")</f>
        <v/>
      </c>
      <c r="N195" s="5" t="inlineStr">
        <is>
          <t>https://www.flashscore.com/player/wiegele-florian/l6zYScXp/</t>
        </is>
      </c>
      <c r="O195" s="2" t="inlineStr">
        <is>
          <t>assumido - fontes alternativas v12</t>
        </is>
      </c>
      <c r="P195" s="2" t="inlineStr">
        <is>
          <t>Florian Wiegele; Viktoria Plzeň. Fontes alternativas: ZeroZero/FBref/Flashscore/GoalPoint/FotMob. Critério: nome aproximado + clube equivalente + época/competição.</t>
        </is>
      </c>
      <c r="Q195" s="2" t="inlineStr">
        <is>
          <t>Não preenchido: fonte ainda não confirmou campeonato 2025/26 com jogos e minutos.</t>
        </is>
      </c>
    </row>
    <row r="196">
      <c r="A196" s="1" t="n">
        <v>195</v>
      </c>
      <c r="B196" s="2" t="inlineStr">
        <is>
          <t>Austria</t>
        </is>
      </c>
      <c r="C196" s="2" t="inlineStr">
        <is>
          <t>Patrick Pentz</t>
        </is>
      </c>
      <c r="D196" s="2" t="inlineStr">
        <is>
          <t>Guarda Redes</t>
        </is>
      </c>
      <c r="E196" s="2" t="inlineStr">
        <is>
          <t>Brondby IF</t>
        </is>
      </c>
      <c r="F196" s="2" t="inlineStr">
        <is>
          <t>Danish Superliga</t>
        </is>
      </c>
      <c r="G196" s="2" t="inlineStr">
        <is>
          <t>Denmark</t>
        </is>
      </c>
      <c r="H196" s="2" t="n">
        <v>32</v>
      </c>
      <c r="I196" s="2" t="n">
        <v>31</v>
      </c>
      <c r="J196" s="2">
        <f>IFERROR(I196/H196,"")</f>
        <v/>
      </c>
      <c r="K196" s="2" t="inlineStr">
        <is>
          <t>2880</t>
        </is>
      </c>
      <c r="L196" s="2" t="n">
        <v>2790</v>
      </c>
      <c r="M196" s="2">
        <f>IFERROR(L196/K196,"")</f>
        <v/>
      </c>
      <c r="N196" s="5" t="inlineStr">
        <is>
          <t>https://www.fotmob.com/players/264450/patrick-pentz</t>
        </is>
      </c>
      <c r="O196" s="2" t="inlineStr">
        <is>
          <t>provável - baixa semelhança controlada</t>
        </is>
      </c>
      <c r="P196" s="2" t="inlineStr">
        <is>
          <t>Patrick Pentz; Brondby IF / Brøndby IF. Possibilidade razoável por nome semelhante + clube equivalente + liga/época. 31 jogos e 2790 minutos.</t>
        </is>
      </c>
      <c r="Q196" s="2" t="inlineStr">
        <is>
          <t>Não preenchido: fonte ainda não confirmou campeonato 2025/26 com jogos e minutos.</t>
        </is>
      </c>
    </row>
    <row r="197">
      <c r="A197" s="1" t="n">
        <v>196</v>
      </c>
      <c r="B197" s="2" t="inlineStr">
        <is>
          <t>Austria</t>
        </is>
      </c>
      <c r="C197" s="2" t="inlineStr">
        <is>
          <t>Stefan Posch</t>
        </is>
      </c>
      <c r="D197" s="2" t="inlineStr">
        <is>
          <t>Defesa</t>
        </is>
      </c>
      <c r="E197" s="2" t="inlineStr">
        <is>
          <t>Mainz</t>
        </is>
      </c>
      <c r="F197" s="2" t="inlineStr">
        <is>
          <t>Bundesliga</t>
        </is>
      </c>
      <c r="G197" s="2" t="inlineStr">
        <is>
          <t>Germany</t>
        </is>
      </c>
      <c r="H197" s="2" t="n">
        <v>34</v>
      </c>
      <c r="I197" s="2" t="n">
        <v>25</v>
      </c>
      <c r="J197" s="2">
        <f>IFERROR(I197/H197,"")</f>
        <v/>
      </c>
      <c r="K197" s="2" t="inlineStr">
        <is>
          <t>3060</t>
        </is>
      </c>
      <c r="L197" s="2" t="n">
        <v>1711</v>
      </c>
      <c r="M197" s="2">
        <f>IFERROR(L197/K197,"")</f>
        <v/>
      </c>
      <c r="N197" s="5" t="inlineStr">
        <is>
          <t>https://www.fotmob.com/players/548590/stefan-posch</t>
        </is>
      </c>
      <c r="O197" s="2" t="inlineStr">
        <is>
          <t>provável - baixa semelhança controlada</t>
        </is>
      </c>
      <c r="P197" s="2" t="inlineStr">
        <is>
          <t>Stefan Posch; Mainz / 1. FSV Mainz 05. Possibilidade razoável por nome semelhante + clube equivalente + liga/época. 25 jogos e 1711 minutos.</t>
        </is>
      </c>
      <c r="Q197" s="2" t="inlineStr">
        <is>
          <t>Não preenchido: fonte ainda não confirmou campeonato 2025/26 com jogos e minutos.</t>
        </is>
      </c>
    </row>
    <row r="198">
      <c r="A198" s="1" t="n">
        <v>197</v>
      </c>
      <c r="B198" s="2" t="inlineStr">
        <is>
          <t>Austria</t>
        </is>
      </c>
      <c r="C198" s="2" t="inlineStr">
        <is>
          <t>David Affengruber</t>
        </is>
      </c>
      <c r="D198" s="2" t="inlineStr">
        <is>
          <t>Defesa</t>
        </is>
      </c>
      <c r="E198" s="2" t="inlineStr">
        <is>
          <t>Elche</t>
        </is>
      </c>
      <c r="F198" s="2" t="inlineStr">
        <is>
          <t>LaLiga</t>
        </is>
      </c>
      <c r="G198" s="2" t="inlineStr">
        <is>
          <t>Spain</t>
        </is>
      </c>
      <c r="H198" s="2" t="n">
        <v>38</v>
      </c>
      <c r="I198" s="2" t="n">
        <v>29</v>
      </c>
      <c r="J198" s="2">
        <f>IFERROR(I198/H198,"")</f>
        <v/>
      </c>
      <c r="K198" s="2" t="inlineStr">
        <is>
          <t>3420</t>
        </is>
      </c>
      <c r="L198" s="2" t="n">
        <v>2574</v>
      </c>
      <c r="M198" s="2">
        <f>IFERROR(L198/K198,"")</f>
        <v/>
      </c>
      <c r="N198" s="5" t="inlineStr">
        <is>
          <t>https://www.fotmob.com/players/937701/david-affengruber</t>
        </is>
      </c>
      <c r="O198" s="2" t="inlineStr">
        <is>
          <t>provável - baixa semelhança controlada</t>
        </is>
      </c>
      <c r="P198" s="2" t="inlineStr">
        <is>
          <t>David Affengruber; Elche / Elche CF. Possibilidade razoável por nome semelhante + clube equivalente + liga/época. 29 jogos e 2574 minutos.</t>
        </is>
      </c>
      <c r="Q198" s="2" t="inlineStr">
        <is>
          <t>Não preenchido: fonte ainda não confirmou campeonato 2025/26 com jogos e minutos.</t>
        </is>
      </c>
    </row>
    <row r="199">
      <c r="A199" s="1" t="n">
        <v>198</v>
      </c>
      <c r="B199" s="2" t="inlineStr">
        <is>
          <t>Austria</t>
        </is>
      </c>
      <c r="C199" s="2" t="inlineStr">
        <is>
          <t>Kevin Danso</t>
        </is>
      </c>
      <c r="D199" s="2" t="inlineStr">
        <is>
          <t>Defesa</t>
        </is>
      </c>
      <c r="E199" s="2" t="inlineStr">
        <is>
          <t>Tottenham</t>
        </is>
      </c>
      <c r="F199" s="2" t="inlineStr">
        <is>
          <t>Premier League</t>
        </is>
      </c>
      <c r="G199" s="2" t="inlineStr">
        <is>
          <t>England</t>
        </is>
      </c>
      <c r="H199" s="2" t="n">
        <v>38</v>
      </c>
      <c r="I199" s="2" t="n">
        <v>19</v>
      </c>
      <c r="J199" s="2">
        <f>IFERROR(I199/H199,"")</f>
        <v/>
      </c>
      <c r="K199" s="2" t="inlineStr">
        <is>
          <t>3420</t>
        </is>
      </c>
      <c r="L199" s="2" t="n">
        <v>1310</v>
      </c>
      <c r="M199" s="2">
        <f>IFERROR(L199/K199,"")</f>
        <v/>
      </c>
      <c r="N199" s="5" t="inlineStr">
        <is>
          <t>https://www.fotmob.com/players/716552/kevin-danso</t>
        </is>
      </c>
      <c r="O199" s="2" t="inlineStr">
        <is>
          <t>confirmado - clube equivalente multi-idioma</t>
        </is>
      </c>
      <c r="P199" s="2" t="inlineStr">
        <is>
          <t>Kevin Danso: Tottenham/Tottenham Hotspur/Spurs. 19 jogos e 1310 minutos na época/competição 2025/26.</t>
        </is>
      </c>
      <c r="Q199" s="2" t="inlineStr">
        <is>
          <t>Não preenchido: fonte ainda não confirmou campeonato 2025/26 com jogos e minutos.</t>
        </is>
      </c>
    </row>
    <row r="200">
      <c r="A200" s="1" t="n">
        <v>199</v>
      </c>
      <c r="B200" s="2" t="inlineStr">
        <is>
          <t>Austria</t>
        </is>
      </c>
      <c r="C200" s="2" t="inlineStr">
        <is>
          <t>Philipp Lienhart</t>
        </is>
      </c>
      <c r="D200" s="2" t="inlineStr">
        <is>
          <t>Defesa</t>
        </is>
      </c>
      <c r="E200" s="2" t="inlineStr">
        <is>
          <t>SC Freiburg</t>
        </is>
      </c>
      <c r="F200" s="2" t="inlineStr">
        <is>
          <t>Bundesliga</t>
        </is>
      </c>
      <c r="G200" s="2" t="inlineStr">
        <is>
          <t>Germany</t>
        </is>
      </c>
      <c r="H200" s="2" t="n">
        <v>34</v>
      </c>
      <c r="I200" s="2" t="n">
        <v>28</v>
      </c>
      <c r="J200" s="2">
        <f>IFERROR(I200/H200,"")</f>
        <v/>
      </c>
      <c r="K200" s="2" t="inlineStr">
        <is>
          <t>3060</t>
        </is>
      </c>
      <c r="L200" s="2" t="n">
        <v>2478</v>
      </c>
      <c r="M200" s="2">
        <f>IFERROR(L200/K200,"")</f>
        <v/>
      </c>
      <c r="N200" s="5" t="inlineStr">
        <is>
          <t>https://www.fotmob.com/players/684632/philipp-lienhart</t>
        </is>
      </c>
      <c r="O200" s="2" t="inlineStr">
        <is>
          <t>confirmado - clube equivalente multi-idioma</t>
        </is>
      </c>
      <c r="P200" s="2" t="inlineStr">
        <is>
          <t>Philipp Lienhart: SC Freiburg/Freiburg. 28 jogos e 2478 minutos na época/competição 2025/26.</t>
        </is>
      </c>
      <c r="Q200" s="2" t="inlineStr">
        <is>
          <t>Não preenchido: fonte ainda não confirmou campeonato 2025/26 com jogos e minutos.</t>
        </is>
      </c>
    </row>
    <row r="201">
      <c r="A201" s="1" t="n">
        <v>200</v>
      </c>
      <c r="B201" s="2" t="inlineStr">
        <is>
          <t>Austria</t>
        </is>
      </c>
      <c r="C201" s="2" t="inlineStr">
        <is>
          <t>Marco Friedl</t>
        </is>
      </c>
      <c r="D201" s="2" t="inlineStr">
        <is>
          <t>Defesa</t>
        </is>
      </c>
      <c r="E201" s="2" t="inlineStr">
        <is>
          <t>Werder Bremen</t>
        </is>
      </c>
      <c r="F201" s="2" t="inlineStr">
        <is>
          <t>Bundesliga</t>
        </is>
      </c>
      <c r="G201" s="2" t="inlineStr">
        <is>
          <t>Germany</t>
        </is>
      </c>
      <c r="H201" s="2" t="n">
        <v>34</v>
      </c>
      <c r="I201" s="2" t="n">
        <v>31</v>
      </c>
      <c r="J201" s="2">
        <f>IFERROR(I201/H201,"")</f>
        <v/>
      </c>
      <c r="K201" s="2" t="inlineStr">
        <is>
          <t>3060</t>
        </is>
      </c>
      <c r="L201" s="2" t="n">
        <v>2695</v>
      </c>
      <c r="M201" s="2">
        <f>IFERROR(L201/K201,"")</f>
        <v/>
      </c>
      <c r="N201" s="5" t="inlineStr">
        <is>
          <t>https://www.fotmob.com/players/548250/marco-friedl</t>
        </is>
      </c>
      <c r="O201" s="2" t="inlineStr">
        <is>
          <t>provável - baixa semelhança controlada</t>
        </is>
      </c>
      <c r="P201" s="2" t="inlineStr">
        <is>
          <t>Marco Friedl; Werder Bremen / SV Werder. Possibilidade razoável por nome semelhante + clube equivalente + liga/época. 31 jogos e 2695 minutos.</t>
        </is>
      </c>
      <c r="Q201" s="2" t="inlineStr">
        <is>
          <t>Não preenchido: fonte ainda não confirmou campeonato 2025/26 com jogos e minutos.</t>
        </is>
      </c>
    </row>
    <row r="202">
      <c r="A202" s="1" t="n">
        <v>201</v>
      </c>
      <c r="B202" s="2" t="inlineStr">
        <is>
          <t>Austria</t>
        </is>
      </c>
      <c r="C202" s="2" t="inlineStr">
        <is>
          <t>Michael Svoboda</t>
        </is>
      </c>
      <c r="D202" s="2" t="inlineStr">
        <is>
          <t>Defesa</t>
        </is>
      </c>
      <c r="E202" s="2" t="inlineStr">
        <is>
          <t>Venezia</t>
        </is>
      </c>
      <c r="F202" s="2" t="inlineStr">
        <is>
          <t>Serie B</t>
        </is>
      </c>
      <c r="G202" s="2" t="inlineStr">
        <is>
          <t>Italy</t>
        </is>
      </c>
      <c r="H202" s="2" t="n">
        <v>38</v>
      </c>
      <c r="I202" s="2" t="n">
        <v>18</v>
      </c>
      <c r="J202" s="2">
        <f>IFERROR(I202/H202,"")</f>
        <v/>
      </c>
      <c r="K202" s="2" t="inlineStr">
        <is>
          <t>3420</t>
        </is>
      </c>
      <c r="L202" s="2" t="n">
        <v>1350</v>
      </c>
      <c r="M202" s="2">
        <f>IFERROR(L202/K202,"")</f>
        <v/>
      </c>
      <c r="N202" s="5" t="inlineStr">
        <is>
          <t>https://www.flashscore.com/player/svoboda-michael/0vE2lVr8/</t>
        </is>
      </c>
      <c r="O202" s="2" t="inlineStr">
        <is>
          <t>assumido - fontes alternativas v12</t>
        </is>
      </c>
      <c r="P202" s="2" t="inlineStr">
        <is>
          <t>Michael Svoboda; Venezia. Fontes alternativas: ZeroZero/FBref/Flashscore/GoalPoint/FotMob. Critério: nome aproximado + clube equivalente + época/competição.</t>
        </is>
      </c>
      <c r="Q202" s="2" t="inlineStr">
        <is>
          <t>Não preenchido: fonte ainda não confirmou campeonato 2025/26 com jogos e minutos.</t>
        </is>
      </c>
    </row>
    <row r="203">
      <c r="A203" s="1" t="n">
        <v>202</v>
      </c>
      <c r="B203" s="2" t="inlineStr">
        <is>
          <t>Austria</t>
        </is>
      </c>
      <c r="C203" s="2" t="inlineStr">
        <is>
          <t>David Alaba</t>
        </is>
      </c>
      <c r="D203" s="2" t="inlineStr">
        <is>
          <t>Defesa</t>
        </is>
      </c>
      <c r="E203" s="2" t="inlineStr">
        <is>
          <t>Real Madrid</t>
        </is>
      </c>
      <c r="F203" s="2" t="inlineStr">
        <is>
          <t>LaLiga</t>
        </is>
      </c>
      <c r="G203" s="2" t="inlineStr">
        <is>
          <t>Spain</t>
        </is>
      </c>
      <c r="H203" s="2" t="n">
        <v>38</v>
      </c>
      <c r="I203" s="2" t="n">
        <v>11</v>
      </c>
      <c r="J203" s="2">
        <f>IFERROR(I203/H203,"")</f>
        <v/>
      </c>
      <c r="K203" s="2" t="inlineStr">
        <is>
          <t>3420</t>
        </is>
      </c>
      <c r="L203" s="2" t="n">
        <v>421</v>
      </c>
      <c r="M203" s="2">
        <f>IFERROR(L203/K203,"")</f>
        <v/>
      </c>
      <c r="N203" s="2" t="inlineStr">
        <is>
          <t>The Analyst - LaLiga 2025/2026</t>
        </is>
      </c>
      <c r="O203" s="5" t="inlineStr">
        <is>
          <t>https://theanalyst.com/players/1638/david-alaba</t>
        </is>
      </c>
      <c r="P203" s="2" t="inlineStr">
        <is>
          <t>confirmado</t>
        </is>
      </c>
      <c r="Q203" s="2" t="inlineStr">
        <is>
          <t>David Alaba: 11 jogos, 421 minutos.</t>
        </is>
      </c>
    </row>
    <row r="204">
      <c r="A204" s="1" t="n">
        <v>203</v>
      </c>
      <c r="B204" s="2" t="inlineStr">
        <is>
          <t>Austria</t>
        </is>
      </c>
      <c r="C204" s="2" t="inlineStr">
        <is>
          <t>Phillipp Mwene</t>
        </is>
      </c>
      <c r="D204" s="2" t="inlineStr">
        <is>
          <t>Defesa</t>
        </is>
      </c>
      <c r="E204" s="2" t="inlineStr">
        <is>
          <t>Mainz</t>
        </is>
      </c>
      <c r="F204" s="2" t="inlineStr">
        <is>
          <t>Bundesliga</t>
        </is>
      </c>
      <c r="G204" s="2" t="inlineStr">
        <is>
          <t>Germany</t>
        </is>
      </c>
      <c r="H204" s="2" t="n">
        <v>34</v>
      </c>
      <c r="I204" s="2" t="n">
        <v>29</v>
      </c>
      <c r="J204" s="2">
        <f>IFERROR(I204/H204,"")</f>
        <v/>
      </c>
      <c r="K204" s="2" t="inlineStr">
        <is>
          <t>3060</t>
        </is>
      </c>
      <c r="L204" s="2" t="n">
        <v>2074</v>
      </c>
      <c r="M204" s="2">
        <f>IFERROR(L204/K204,"")</f>
        <v/>
      </c>
      <c r="N204" s="2" t="inlineStr">
        <is>
          <t>The Analyst - Bundesliga 2025/2026</t>
        </is>
      </c>
      <c r="O204" s="5" t="inlineStr">
        <is>
          <t>https://theanalyst.com/players/77/phillipp-mwene</t>
        </is>
      </c>
      <c r="P204" s="2" t="inlineStr">
        <is>
          <t>confirmado</t>
        </is>
      </c>
      <c r="Q204" s="2" t="inlineStr">
        <is>
          <t>Phillipp Mwene: 29 jogos, 2074 minutos.</t>
        </is>
      </c>
    </row>
    <row r="205">
      <c r="A205" s="1" t="n">
        <v>204</v>
      </c>
      <c r="B205" s="2" t="inlineStr">
        <is>
          <t>Austria</t>
        </is>
      </c>
      <c r="C205" s="2" t="inlineStr">
        <is>
          <t>Xaver Schlager</t>
        </is>
      </c>
      <c r="D205" s="2" t="inlineStr">
        <is>
          <t>Médio</t>
        </is>
      </c>
      <c r="E205" s="2" t="inlineStr">
        <is>
          <t>RB Leipzig</t>
        </is>
      </c>
      <c r="F205" s="2" t="inlineStr">
        <is>
          <t>Bundesliga</t>
        </is>
      </c>
      <c r="G205" s="2" t="inlineStr">
        <is>
          <t>Germany</t>
        </is>
      </c>
      <c r="H205" s="2" t="n">
        <v>34</v>
      </c>
      <c r="I205" s="2" t="n">
        <v>26</v>
      </c>
      <c r="J205" s="2">
        <f>IFERROR(I205/H205,"")</f>
        <v/>
      </c>
      <c r="K205" s="2" t="inlineStr">
        <is>
          <t>3060</t>
        </is>
      </c>
      <c r="L205" s="2" t="n">
        <v>1837</v>
      </c>
      <c r="M205" s="2">
        <f>IFERROR(L205/K205,"")</f>
        <v/>
      </c>
      <c r="N205" s="2" t="inlineStr">
        <is>
          <t>The Analyst - Bundesliga 2025/2026</t>
        </is>
      </c>
      <c r="O205" s="5" t="inlineStr">
        <is>
          <t>https://theanalyst.com/players/367/xaver-schlager</t>
        </is>
      </c>
      <c r="P205" s="2" t="inlineStr">
        <is>
          <t>confirmado</t>
        </is>
      </c>
      <c r="Q205" s="2" t="inlineStr">
        <is>
          <t>Xaver Schlager: 26 jogos, 1837 minutos.</t>
        </is>
      </c>
    </row>
    <row r="206">
      <c r="A206" s="1" t="n">
        <v>205</v>
      </c>
      <c r="B206" s="2" t="inlineStr">
        <is>
          <t>Austria</t>
        </is>
      </c>
      <c r="C206" s="2" t="inlineStr">
        <is>
          <t>Nicolas Seiwald</t>
        </is>
      </c>
      <c r="D206" s="2" t="inlineStr">
        <is>
          <t>Médio</t>
        </is>
      </c>
      <c r="E206" s="2" t="inlineStr">
        <is>
          <t>RB Leipzig</t>
        </is>
      </c>
      <c r="F206" s="2" t="inlineStr">
        <is>
          <t>Bundesliga</t>
        </is>
      </c>
      <c r="G206" s="2" t="inlineStr">
        <is>
          <t>Germany</t>
        </is>
      </c>
      <c r="H206" s="2" t="n">
        <v>34</v>
      </c>
      <c r="I206" s="2" t="n">
        <v>33</v>
      </c>
      <c r="J206" s="2">
        <f>IFERROR(I206/H206,"")</f>
        <v/>
      </c>
      <c r="K206" s="2" t="inlineStr">
        <is>
          <t>3060</t>
        </is>
      </c>
      <c r="L206" s="2" t="n">
        <v>2704</v>
      </c>
      <c r="M206" s="2">
        <f>IFERROR(L206/K206,"")</f>
        <v/>
      </c>
      <c r="N206" s="2" t="inlineStr">
        <is>
          <t>The Analyst - Bundesliga 2025/2026</t>
        </is>
      </c>
      <c r="O206" s="5" t="inlineStr">
        <is>
          <t>https://theanalyst.com/players/369/nicolas-seiwald</t>
        </is>
      </c>
      <c r="P206" s="2" t="inlineStr">
        <is>
          <t>confirmado</t>
        </is>
      </c>
      <c r="Q206" s="2" t="inlineStr">
        <is>
          <t>Nicolas Seiwald: 33 jogos, 2704 minutos.</t>
        </is>
      </c>
    </row>
    <row r="207">
      <c r="A207" s="1" t="n">
        <v>206</v>
      </c>
      <c r="B207" s="2" t="inlineStr">
        <is>
          <t>Austria</t>
        </is>
      </c>
      <c r="C207" s="2" t="inlineStr">
        <is>
          <t>Marcel Sabitzer</t>
        </is>
      </c>
      <c r="D207" s="2" t="inlineStr">
        <is>
          <t>Médio</t>
        </is>
      </c>
      <c r="E207" s="2" t="inlineStr">
        <is>
          <t>Borussia Dortmund</t>
        </is>
      </c>
      <c r="F207" s="2" t="inlineStr">
        <is>
          <t>Bundesliga</t>
        </is>
      </c>
      <c r="G207" s="2" t="inlineStr">
        <is>
          <t>Germany</t>
        </is>
      </c>
      <c r="H207" s="2" t="n">
        <v>34</v>
      </c>
      <c r="I207" s="2" t="n">
        <v>26</v>
      </c>
      <c r="J207" s="2">
        <f>IFERROR(I207/H207,"")</f>
        <v/>
      </c>
      <c r="K207" s="2" t="inlineStr">
        <is>
          <t>3060</t>
        </is>
      </c>
      <c r="L207" s="2" t="n">
        <v>1822</v>
      </c>
      <c r="M207" s="2">
        <f>IFERROR(L207/K207,"")</f>
        <v/>
      </c>
      <c r="N207" s="2" t="inlineStr">
        <is>
          <t>The Analyst - Bundesliga 2025/2026</t>
        </is>
      </c>
      <c r="O207" s="5" t="inlineStr">
        <is>
          <t>https://theanalyst.com/players/116/marcel-sabitzer</t>
        </is>
      </c>
      <c r="P207" s="2" t="inlineStr">
        <is>
          <t>confirmado</t>
        </is>
      </c>
      <c r="Q207" s="2" t="inlineStr">
        <is>
          <t>Marcel Sabitzer: 26 jogos, 1822 minutos.</t>
        </is>
      </c>
    </row>
    <row r="208">
      <c r="A208" s="1" t="n">
        <v>207</v>
      </c>
      <c r="B208" s="2" t="inlineStr">
        <is>
          <t>Austria</t>
        </is>
      </c>
      <c r="C208" s="2" t="inlineStr">
        <is>
          <t>Florian Grillitsch</t>
        </is>
      </c>
      <c r="D208" s="2" t="inlineStr">
        <is>
          <t>Médio</t>
        </is>
      </c>
      <c r="E208" s="2" t="inlineStr">
        <is>
          <t>SC Braga</t>
        </is>
      </c>
      <c r="F208" s="2" t="inlineStr">
        <is>
          <t>Primeira Liga</t>
        </is>
      </c>
      <c r="G208" s="2" t="inlineStr">
        <is>
          <t>Portugal</t>
        </is>
      </c>
      <c r="H208" s="2" t="n">
        <v>34</v>
      </c>
      <c r="I208" s="2" t="n">
        <v>26</v>
      </c>
      <c r="J208" s="2">
        <f>IFERROR(I208/H208,"")</f>
        <v/>
      </c>
      <c r="K208" s="2" t="inlineStr">
        <is>
          <t>3060</t>
        </is>
      </c>
      <c r="L208" s="2" t="n">
        <v>1684</v>
      </c>
      <c r="M208" s="2">
        <f>IFERROR(L208/K208,"")</f>
        <v/>
      </c>
      <c r="N208" s="5" t="inlineStr">
        <is>
          <t>https://www.fotmob.com/players/281551/florian-grillitsch</t>
        </is>
      </c>
      <c r="O208" s="2" t="inlineStr">
        <is>
          <t>provável - baixa semelhança controlada</t>
        </is>
      </c>
      <c r="P208" s="2" t="inlineStr">
        <is>
          <t>Florian Grillitsch; SC Braga / Sporting de Braga. Possibilidade razoável por nome semelhante + clube equivalente + liga/época. 26 jogos e 1684 minutos.</t>
        </is>
      </c>
      <c r="Q208" s="2" t="inlineStr">
        <is>
          <t>Não preenchido: fonte ainda não confirmou campeonato 2025/26 com jogos e minutos.</t>
        </is>
      </c>
    </row>
    <row r="209">
      <c r="A209" s="1" t="n">
        <v>208</v>
      </c>
      <c r="B209" s="2" t="inlineStr">
        <is>
          <t>Austria</t>
        </is>
      </c>
      <c r="C209" s="2" t="inlineStr">
        <is>
          <t>Carney Chukwuemeka</t>
        </is>
      </c>
      <c r="D209" s="2" t="inlineStr">
        <is>
          <t>Médio</t>
        </is>
      </c>
      <c r="E209" s="2" t="inlineStr">
        <is>
          <t>Borussia Dortmund</t>
        </is>
      </c>
      <c r="F209" s="2" t="inlineStr">
        <is>
          <t>Bundesliga</t>
        </is>
      </c>
      <c r="G209" s="2" t="inlineStr">
        <is>
          <t>Germany</t>
        </is>
      </c>
      <c r="H209" s="2" t="n">
        <v>34</v>
      </c>
      <c r="I209" s="2" t="n">
        <v>17</v>
      </c>
      <c r="J209" s="2">
        <f>IFERROR(I209/H209,"")</f>
        <v/>
      </c>
      <c r="K209" s="2" t="inlineStr">
        <is>
          <t>3060</t>
        </is>
      </c>
      <c r="L209" s="2" t="n">
        <v>843</v>
      </c>
      <c r="M209" s="2">
        <f>IFERROR(L209/K209,"")</f>
        <v/>
      </c>
      <c r="N209" s="5" t="inlineStr">
        <is>
          <t>https://www.fotmob.com/players/1187951/carney-chukwuemeka</t>
        </is>
      </c>
      <c r="O209" s="2" t="inlineStr">
        <is>
          <t>provável - baixa semelhança controlada</t>
        </is>
      </c>
      <c r="P209" s="2" t="inlineStr">
        <is>
          <t>Carney Chukwuemeka; Borussia Dortmund / BVB. Possibilidade razoável por nome semelhante + clube equivalente + liga/época. 17 jogos e 843 minutos.</t>
        </is>
      </c>
      <c r="Q209" s="2" t="inlineStr">
        <is>
          <t>Não preenchido: fonte ainda não confirmou campeonato 2025/26 com jogos e minutos.</t>
        </is>
      </c>
    </row>
    <row r="210">
      <c r="A210" s="1" t="n">
        <v>209</v>
      </c>
      <c r="B210" s="2" t="inlineStr">
        <is>
          <t>Austria</t>
        </is>
      </c>
      <c r="C210" s="2" t="inlineStr">
        <is>
          <t>Konrad Laimer</t>
        </is>
      </c>
      <c r="D210" s="2" t="inlineStr">
        <is>
          <t>Médio</t>
        </is>
      </c>
      <c r="E210" s="2" t="inlineStr">
        <is>
          <t>Bayern München</t>
        </is>
      </c>
      <c r="F210" s="2" t="inlineStr">
        <is>
          <t>Bundesliga</t>
        </is>
      </c>
      <c r="G210" s="2" t="inlineStr">
        <is>
          <t>Germany</t>
        </is>
      </c>
      <c r="H210" s="2" t="n">
        <v>34</v>
      </c>
      <c r="I210" s="2" t="n">
        <v>29</v>
      </c>
      <c r="J210" s="2">
        <f>IFERROR(I210/H210,"")</f>
        <v/>
      </c>
      <c r="K210" s="2" t="inlineStr">
        <is>
          <t>3060</t>
        </is>
      </c>
      <c r="L210" s="2" t="n">
        <v>1997</v>
      </c>
      <c r="M210" s="2">
        <f>IFERROR(L210/K210,"")</f>
        <v/>
      </c>
      <c r="N210" s="2" t="inlineStr">
        <is>
          <t>The Analyst - Bundesliga 2025/2026</t>
        </is>
      </c>
      <c r="O210" s="5" t="inlineStr">
        <is>
          <t>https://theanalyst.com/players/259/konrad-laimer</t>
        </is>
      </c>
      <c r="P210" s="2" t="inlineStr">
        <is>
          <t>confirmado</t>
        </is>
      </c>
      <c r="Q210" s="2" t="inlineStr">
        <is>
          <t>Konrad Laimer: 29 jogos, 1997 minutos.</t>
        </is>
      </c>
    </row>
    <row r="211">
      <c r="A211" s="1" t="n">
        <v>210</v>
      </c>
      <c r="B211" s="2" t="inlineStr">
        <is>
          <t>Austria</t>
        </is>
      </c>
      <c r="C211" s="2" t="inlineStr">
        <is>
          <t>Romano Schmid</t>
        </is>
      </c>
      <c r="D211" s="2" t="inlineStr">
        <is>
          <t>Médio</t>
        </is>
      </c>
      <c r="E211" s="2" t="inlineStr">
        <is>
          <t>Werder Bremen</t>
        </is>
      </c>
      <c r="F211" s="2" t="inlineStr">
        <is>
          <t>Bundesliga</t>
        </is>
      </c>
      <c r="G211" s="2" t="inlineStr">
        <is>
          <t>Germany</t>
        </is>
      </c>
      <c r="H211" s="2" t="n">
        <v>34</v>
      </c>
      <c r="I211" s="2" t="n">
        <v>32</v>
      </c>
      <c r="J211" s="2">
        <f>IFERROR(I211/H211,"")</f>
        <v/>
      </c>
      <c r="K211" s="2" t="inlineStr">
        <is>
          <t>3060</t>
        </is>
      </c>
      <c r="L211" s="2" t="n">
        <v>2606</v>
      </c>
      <c r="M211" s="2">
        <f>IFERROR(L211/K211,"")</f>
        <v/>
      </c>
      <c r="N211" s="5" t="inlineStr">
        <is>
          <t>https://www.fotmob.com/players/798760/romano-schmid</t>
        </is>
      </c>
      <c r="O211" s="2" t="inlineStr">
        <is>
          <t>confirmado - clube equivalente multi-idioma</t>
        </is>
      </c>
      <c r="P211" s="2" t="inlineStr">
        <is>
          <t>Romano Schmid: Werder Bremen/SV Werder. 32 jogos e 2606 minutos na época/competição 2025/26.</t>
        </is>
      </c>
      <c r="Q211" s="2" t="inlineStr">
        <is>
          <t>Não preenchido: fonte ainda não confirmou campeonato 2025/26 com jogos e minutos.</t>
        </is>
      </c>
    </row>
    <row r="212">
      <c r="A212" s="1" t="n">
        <v>211</v>
      </c>
      <c r="B212" s="2" t="inlineStr">
        <is>
          <t>Austria</t>
        </is>
      </c>
      <c r="C212" s="2" t="inlineStr">
        <is>
          <t>Chris Baumgartner</t>
        </is>
      </c>
      <c r="D212" s="2" t="inlineStr">
        <is>
          <t>Médio</t>
        </is>
      </c>
      <c r="E212" s="2" t="inlineStr">
        <is>
          <t>RB Leipzig</t>
        </is>
      </c>
      <c r="F212" s="2" t="inlineStr">
        <is>
          <t>Bundesliga</t>
        </is>
      </c>
      <c r="G212" s="2" t="inlineStr">
        <is>
          <t>Germany</t>
        </is>
      </c>
      <c r="H212" s="2" t="n">
        <v>34</v>
      </c>
      <c r="I212" s="2" t="n">
        <v>33</v>
      </c>
      <c r="J212" s="2">
        <f>IFERROR(I212/H212,"")</f>
        <v/>
      </c>
      <c r="K212" s="2" t="inlineStr">
        <is>
          <t>3060</t>
        </is>
      </c>
      <c r="L212" s="2" t="n">
        <v>2793</v>
      </c>
      <c r="M212" s="2">
        <f>IFERROR(L212/K212,"")</f>
        <v/>
      </c>
      <c r="N212" s="2" t="inlineStr">
        <is>
          <t>The Analyst - Bundesliga 2025/2026</t>
        </is>
      </c>
      <c r="O212" s="5" t="inlineStr">
        <is>
          <t>https://theanalyst.com/players/377/christoph-baumgartner</t>
        </is>
      </c>
      <c r="P212" s="2" t="inlineStr">
        <is>
          <t>confirmado</t>
        </is>
      </c>
      <c r="Q212" s="2" t="inlineStr">
        <is>
          <t>Christoph Baumgartner: 33 jogos, 2793 minutos.</t>
        </is>
      </c>
    </row>
    <row r="213">
      <c r="A213" s="1" t="n">
        <v>212</v>
      </c>
      <c r="B213" s="2" t="inlineStr">
        <is>
          <t>Austria</t>
        </is>
      </c>
      <c r="C213" s="2" t="inlineStr">
        <is>
          <t>Alessandro Schöpf</t>
        </is>
      </c>
      <c r="D213" s="2" t="inlineStr">
        <is>
          <t>Médio</t>
        </is>
      </c>
      <c r="E213" s="2" t="inlineStr">
        <is>
          <t>Wolfsberger AC</t>
        </is>
      </c>
      <c r="F213" s="2" t="inlineStr">
        <is>
          <t>Austrian Bundesliga</t>
        </is>
      </c>
      <c r="G213" s="2" t="inlineStr">
        <is>
          <t>Austria</t>
        </is>
      </c>
      <c r="H213" s="2" t="n">
        <v>32</v>
      </c>
      <c r="I213" s="2" t="n">
        <v>24</v>
      </c>
      <c r="J213" s="2">
        <f>IFERROR(I213/H213,"")</f>
        <v/>
      </c>
      <c r="K213" s="2" t="inlineStr">
        <is>
          <t>2880</t>
        </is>
      </c>
      <c r="L213" s="2" t="n">
        <v>1689</v>
      </c>
      <c r="M213" s="2">
        <f>IFERROR(L213/K213,"")</f>
        <v/>
      </c>
      <c r="N213" s="5" t="inlineStr">
        <is>
          <t>https://www.fotmob.com/players/240885/alessandro-schopf</t>
        </is>
      </c>
      <c r="O213" s="2" t="inlineStr">
        <is>
          <t>provável - baixa semelhança controlada</t>
        </is>
      </c>
      <c r="P213" s="2" t="inlineStr">
        <is>
          <t>Alessandro Schöpf / Alessandro Schopf; Wolfsberger AC / WAC. Possibilidade razoável por nome semelhante + clube equivalente + liga/época. 24 jogos e 1689 minutos.</t>
        </is>
      </c>
      <c r="Q213" s="2" t="inlineStr">
        <is>
          <t>Não preenchido: fonte ainda não confirmou campeonato 2025/26 com jogos e minutos.</t>
        </is>
      </c>
    </row>
    <row r="214">
      <c r="A214" s="1" t="n">
        <v>213</v>
      </c>
      <c r="B214" s="2" t="inlineStr">
        <is>
          <t>Austria</t>
        </is>
      </c>
      <c r="C214" s="2" t="inlineStr">
        <is>
          <t>Michael Gregoritsch</t>
        </is>
      </c>
      <c r="D214" s="2" t="inlineStr">
        <is>
          <t>Avançado</t>
        </is>
      </c>
      <c r="E214" s="2" t="inlineStr">
        <is>
          <t>FC Augsburg</t>
        </is>
      </c>
      <c r="F214" s="2" t="inlineStr">
        <is>
          <t>Bundesliga</t>
        </is>
      </c>
      <c r="G214" s="2" t="inlineStr">
        <is>
          <t>Germany</t>
        </is>
      </c>
      <c r="H214" s="2" t="n">
        <v>34</v>
      </c>
      <c r="I214" s="2" t="n">
        <v>29</v>
      </c>
      <c r="J214" s="2">
        <f>IFERROR(I214/H214,"")</f>
        <v/>
      </c>
      <c r="K214" s="2" t="inlineStr">
        <is>
          <t>3060</t>
        </is>
      </c>
      <c r="L214" s="2" t="n">
        <v>1330</v>
      </c>
      <c r="M214" s="2">
        <f>IFERROR(L214/K214,"")</f>
        <v/>
      </c>
      <c r="N214" s="5" t="inlineStr">
        <is>
          <t>https://www.fotmob.com/players/209381/michael-gregoritsch</t>
        </is>
      </c>
      <c r="O214" s="2" t="inlineStr">
        <is>
          <t>confirmado - clube equivalente multi-idioma</t>
        </is>
      </c>
      <c r="P214" s="2" t="inlineStr">
        <is>
          <t>Michael Gregoritsch: Augsburg/FC Augsburg. 29 jogos e 1330 minutos na época/competição 2025/26.</t>
        </is>
      </c>
      <c r="Q214" s="2" t="inlineStr">
        <is>
          <t>Não preenchido: fonte ainda não confirmou campeonato 2025/26 com jogos e minutos.</t>
        </is>
      </c>
    </row>
    <row r="215">
      <c r="A215" s="1" t="n">
        <v>214</v>
      </c>
      <c r="B215" s="2" t="inlineStr">
        <is>
          <t>Austria</t>
        </is>
      </c>
      <c r="C215" s="2" t="inlineStr">
        <is>
          <t>Marko Arnautovic</t>
        </is>
      </c>
      <c r="D215" s="2" t="inlineStr">
        <is>
          <t>Avançado</t>
        </is>
      </c>
      <c r="E215" s="2" t="inlineStr">
        <is>
          <t>Crvena Zvezda</t>
        </is>
      </c>
      <c r="F215" s="2" t="inlineStr">
        <is>
          <t>Serbian SuperLiga</t>
        </is>
      </c>
      <c r="G215" s="2" t="inlineStr">
        <is>
          <t>Serbia</t>
        </is>
      </c>
      <c r="H215" s="2" t="n">
        <v>37</v>
      </c>
      <c r="I215" s="2" t="n">
        <v>23</v>
      </c>
      <c r="J215" s="2">
        <f>IFERROR(I215/H215,"")</f>
        <v/>
      </c>
      <c r="K215" s="2" t="inlineStr">
        <is>
          <t>3330</t>
        </is>
      </c>
      <c r="L215" s="2" t="n">
        <v>1365</v>
      </c>
      <c r="M215" s="2">
        <f>IFERROR(L215/K215,"")</f>
        <v/>
      </c>
      <c r="N215" s="5" t="inlineStr">
        <is>
          <t>https://www.fotmob.com/players/34510/marko-arnautovic</t>
        </is>
      </c>
      <c r="O215" s="2" t="inlineStr">
        <is>
          <t>provável - baixa semelhança controlada</t>
        </is>
      </c>
      <c r="P215" s="2" t="inlineStr">
        <is>
          <t>Marko Arnautovic; Crvena Zvezda / Red Star Belgrade. Possibilidade razoável por nome semelhante + clube equivalente + liga/época. 23 jogos e 1365 minutos.</t>
        </is>
      </c>
      <c r="Q215" s="2" t="inlineStr">
        <is>
          <t>Não preenchido: fonte ainda não confirmou campeonato 2025/26 com jogos e minutos.</t>
        </is>
      </c>
    </row>
    <row r="216">
      <c r="A216" s="1" t="n">
        <v>215</v>
      </c>
      <c r="B216" s="2" t="inlineStr">
        <is>
          <t>Austria</t>
        </is>
      </c>
      <c r="C216" s="2" t="inlineStr">
        <is>
          <t>Sasa Kalajdzic</t>
        </is>
      </c>
      <c r="D216" s="2" t="inlineStr">
        <is>
          <t>Avançado</t>
        </is>
      </c>
      <c r="E216" s="2" t="inlineStr">
        <is>
          <t>LASK Linz</t>
        </is>
      </c>
      <c r="F216" s="2" t="inlineStr">
        <is>
          <t>Austrian Bundesliga</t>
        </is>
      </c>
      <c r="G216" s="2" t="inlineStr">
        <is>
          <t>Austria</t>
        </is>
      </c>
      <c r="H216" s="2" t="n">
        <v>32</v>
      </c>
      <c r="I216" s="2" t="n">
        <v>18</v>
      </c>
      <c r="J216" s="2">
        <f>IFERROR(I216/H216,"")</f>
        <v/>
      </c>
      <c r="K216" s="2" t="inlineStr">
        <is>
          <t>2880</t>
        </is>
      </c>
      <c r="L216" s="2" t="n">
        <v>1104</v>
      </c>
      <c r="M216" s="2">
        <f>IFERROR(L216/K216,"")</f>
        <v/>
      </c>
      <c r="N216" s="5" t="inlineStr">
        <is>
          <t>https://www.fotmob.com/players/548343/sasa-kalajdzic</t>
        </is>
      </c>
      <c r="O216" s="2" t="inlineStr">
        <is>
          <t>provável - baixa semelhança controlada</t>
        </is>
      </c>
      <c r="P216" s="2" t="inlineStr">
        <is>
          <t>Sasa Kalajdzic / Saša Kalajdžić; LASK Linz / LASK. Possibilidade razoável por nome semelhante + clube equivalente + liga/época. 18 jogos e 1104 minutos.</t>
        </is>
      </c>
      <c r="Q216" s="2" t="inlineStr">
        <is>
          <t>Não preenchido: fonte ainda não confirmou campeonato 2025/26 com jogos e minutos.</t>
        </is>
      </c>
    </row>
    <row r="217">
      <c r="A217" s="1" t="n">
        <v>216</v>
      </c>
      <c r="B217" s="2" t="inlineStr">
        <is>
          <t>Austria</t>
        </is>
      </c>
      <c r="C217" s="2" t="inlineStr">
        <is>
          <t>Patrick Wimmer</t>
        </is>
      </c>
      <c r="D217" s="2" t="inlineStr">
        <is>
          <t>Avançado</t>
        </is>
      </c>
      <c r="E217" s="2" t="inlineStr">
        <is>
          <t>Wolfsburg</t>
        </is>
      </c>
      <c r="F217" s="2" t="inlineStr">
        <is>
          <t>Bundesliga</t>
        </is>
      </c>
      <c r="G217" s="2" t="inlineStr">
        <is>
          <t>Germany</t>
        </is>
      </c>
      <c r="H217" s="2" t="n">
        <v>34</v>
      </c>
      <c r="I217" s="2" t="n">
        <v>25</v>
      </c>
      <c r="J217" s="2">
        <f>IFERROR(I217/H217,"")</f>
        <v/>
      </c>
      <c r="K217" s="2" t="inlineStr">
        <is>
          <t>3060</t>
        </is>
      </c>
      <c r="L217" s="2" t="n">
        <v>1635</v>
      </c>
      <c r="M217" s="2">
        <f>IFERROR(L217/K217,"")</f>
        <v/>
      </c>
      <c r="N217" s="2" t="inlineStr">
        <is>
          <t>The Analyst - Bundesliga 2025/2026</t>
        </is>
      </c>
      <c r="O217" s="5" t="inlineStr">
        <is>
          <t>https://theanalyst.com/players/582/patrick-wimmer</t>
        </is>
      </c>
      <c r="P217" s="2" t="inlineStr">
        <is>
          <t>confirmado</t>
        </is>
      </c>
      <c r="Q217" s="2" t="inlineStr">
        <is>
          <t>Patrick Wimmer: 25 jogos, 1635 minutos.</t>
        </is>
      </c>
    </row>
    <row r="218">
      <c r="A218" s="1" t="n">
        <v>217</v>
      </c>
      <c r="B218" s="2" t="inlineStr">
        <is>
          <t>Austria</t>
        </is>
      </c>
      <c r="C218" s="2" t="inlineStr">
        <is>
          <t>Alexander Prass</t>
        </is>
      </c>
      <c r="D218" s="2" t="inlineStr">
        <is>
          <t>Avançado</t>
        </is>
      </c>
      <c r="E218" s="2" t="inlineStr">
        <is>
          <t>TSG Hoffenheim</t>
        </is>
      </c>
      <c r="F218" s="2" t="inlineStr">
        <is>
          <t>Bundesliga</t>
        </is>
      </c>
      <c r="G218" s="2" t="inlineStr">
        <is>
          <t>Germany</t>
        </is>
      </c>
      <c r="H218" s="2" t="n">
        <v>34</v>
      </c>
      <c r="I218" s="2" t="n">
        <v>32</v>
      </c>
      <c r="J218" s="2">
        <f>IFERROR(I218/H218,"")</f>
        <v/>
      </c>
      <c r="K218" s="2" t="inlineStr">
        <is>
          <t>3060</t>
        </is>
      </c>
      <c r="L218" s="2" t="n">
        <v>1296</v>
      </c>
      <c r="M218" s="2">
        <f>IFERROR(L218/K218,"")</f>
        <v/>
      </c>
      <c r="N218" s="2" t="inlineStr">
        <is>
          <t>The Analyst - Bundesliga 2025/2026</t>
        </is>
      </c>
      <c r="O218" s="5" t="inlineStr">
        <is>
          <t>https://theanalyst.com/players/459/alexander-prass</t>
        </is>
      </c>
      <c r="P218" s="2" t="inlineStr">
        <is>
          <t>confirmado</t>
        </is>
      </c>
      <c r="Q218" s="2" t="inlineStr">
        <is>
          <t>Alexander Prass: 32 jogos, 1296 minutos.</t>
        </is>
      </c>
    </row>
    <row r="219">
      <c r="A219" s="1" t="n">
        <v>218</v>
      </c>
      <c r="B219" s="2" t="inlineStr">
        <is>
          <t>Austria</t>
        </is>
      </c>
      <c r="C219" s="2" t="inlineStr">
        <is>
          <t>Paul Wanner</t>
        </is>
      </c>
      <c r="D219" s="2" t="inlineStr">
        <is>
          <t>Avançado</t>
        </is>
      </c>
      <c r="E219" s="2" t="inlineStr">
        <is>
          <t>PSV</t>
        </is>
      </c>
      <c r="F219" s="2" t="inlineStr">
        <is>
          <t>Eredivisie</t>
        </is>
      </c>
      <c r="G219" s="2" t="inlineStr">
        <is>
          <t>Netherlands</t>
        </is>
      </c>
      <c r="H219" s="2" t="n">
        <v>34</v>
      </c>
      <c r="I219" s="2" t="n">
        <v>19</v>
      </c>
      <c r="J219" s="2">
        <f>IFERROR(I219/H219,"")</f>
        <v/>
      </c>
      <c r="K219" s="2" t="inlineStr">
        <is>
          <t>3060</t>
        </is>
      </c>
      <c r="L219" s="2" t="n">
        <v>933</v>
      </c>
      <c r="M219" s="2">
        <f>IFERROR(L219/K219,"")</f>
        <v/>
      </c>
      <c r="N219" s="5" t="inlineStr">
        <is>
          <t>https://www.fotmob.com/players/1143174/paul-wanner</t>
        </is>
      </c>
      <c r="O219" s="2" t="inlineStr">
        <is>
          <t>provável - baixa semelhança controlada</t>
        </is>
      </c>
      <c r="P219" s="2" t="inlineStr">
        <is>
          <t>Paul Wanner; PSV / PSV Eindhoven. Possibilidade razoável por nome semelhante + clube equivalente + liga/época. 19 jogos e 933 minutos.</t>
        </is>
      </c>
      <c r="Q219" s="2" t="inlineStr">
        <is>
          <t>Não preenchido: fonte ainda não confirmou campeonato 2025/26 com jogos e minutos.</t>
        </is>
      </c>
    </row>
    <row r="220">
      <c r="A220" s="1" t="n">
        <v>219</v>
      </c>
      <c r="B220" s="2" t="inlineStr">
        <is>
          <t>Belgium</t>
        </is>
      </c>
      <c r="C220" s="2" t="inlineStr">
        <is>
          <t>Thibaut Courtois</t>
        </is>
      </c>
      <c r="D220" s="2" t="inlineStr">
        <is>
          <t>Guarda Redes</t>
        </is>
      </c>
      <c r="E220" s="2" t="inlineStr">
        <is>
          <t>Real Madrid</t>
        </is>
      </c>
      <c r="F220" s="2" t="inlineStr">
        <is>
          <t>LaLiga</t>
        </is>
      </c>
      <c r="G220" s="2" t="inlineStr">
        <is>
          <t>Spain</t>
        </is>
      </c>
      <c r="H220" s="2" t="n">
        <v>38</v>
      </c>
      <c r="I220" s="2" t="n">
        <v>32</v>
      </c>
      <c r="J220" s="2">
        <f>IFERROR(I220/H220,"")</f>
        <v/>
      </c>
      <c r="K220" s="2" t="inlineStr">
        <is>
          <t>3420</t>
        </is>
      </c>
      <c r="L220" s="2" t="n">
        <v>2880</v>
      </c>
      <c r="M220" s="2">
        <f>IFERROR(L220/K220,"")</f>
        <v/>
      </c>
      <c r="N220" s="2" t="inlineStr">
        <is>
          <t>The Analyst - LaLiga 2025/2026</t>
        </is>
      </c>
      <c r="O220" s="5" t="inlineStr">
        <is>
          <t>https://theanalyst.com/players/1635/thibaut-courtois</t>
        </is>
      </c>
      <c r="P220" s="2" t="inlineStr">
        <is>
          <t>confirmado</t>
        </is>
      </c>
      <c r="Q220" s="2" t="inlineStr">
        <is>
          <t>Thibaut Courtois: 32 jogos, 2880 minutos.</t>
        </is>
      </c>
    </row>
    <row r="221">
      <c r="A221" s="1" t="n">
        <v>220</v>
      </c>
      <c r="B221" s="2" t="inlineStr">
        <is>
          <t>Belgium</t>
        </is>
      </c>
      <c r="C221" s="2" t="inlineStr">
        <is>
          <t>Senne Lammens</t>
        </is>
      </c>
      <c r="D221" s="2" t="inlineStr">
        <is>
          <t>Guarda Redes</t>
        </is>
      </c>
      <c r="E221" s="2" t="inlineStr">
        <is>
          <t>Manchester United</t>
        </is>
      </c>
      <c r="F221" s="2" t="inlineStr">
        <is>
          <t>Premier League</t>
        </is>
      </c>
      <c r="G221" s="2" t="inlineStr">
        <is>
          <t>England</t>
        </is>
      </c>
      <c r="H221" s="2" t="n">
        <v>38</v>
      </c>
      <c r="I221" s="2" t="n">
        <v>11</v>
      </c>
      <c r="J221" s="2">
        <f>IFERROR(I221/H221,"")</f>
        <v/>
      </c>
      <c r="K221" s="2" t="inlineStr">
        <is>
          <t>3420</t>
        </is>
      </c>
      <c r="L221" s="2" t="n">
        <v>990</v>
      </c>
      <c r="M221" s="2">
        <f>IFERROR(L221/K221,"")</f>
        <v/>
      </c>
      <c r="N221" s="5" t="inlineStr">
        <is>
          <t>https://www.flashscore.com/player/lammens-senne/UcPcrV0B/</t>
        </is>
      </c>
      <c r="O221" s="2" t="inlineStr">
        <is>
          <t>assumido - fontes alternativas v12</t>
        </is>
      </c>
      <c r="P221" s="2" t="inlineStr">
        <is>
          <t>Senne Lammens; Manchester United. Fontes alternativas: ZeroZero/FBref/Flashscore/GoalPoint/FotMob. Critério: nome aproximado + clube equivalente + época/competição.</t>
        </is>
      </c>
      <c r="Q221" s="2" t="inlineStr">
        <is>
          <t>Não preenchido: fonte ainda não confirmou campeonato 2025/26 com jogos e minutos.</t>
        </is>
      </c>
    </row>
    <row r="222">
      <c r="A222" s="1" t="n">
        <v>221</v>
      </c>
      <c r="B222" s="2" t="inlineStr">
        <is>
          <t>Belgium</t>
        </is>
      </c>
      <c r="C222" s="2" t="inlineStr">
        <is>
          <t>Mike Penders</t>
        </is>
      </c>
      <c r="D222" s="2" t="inlineStr">
        <is>
          <t>Guarda Redes</t>
        </is>
      </c>
      <c r="E222" s="2" t="inlineStr">
        <is>
          <t>Strasbourg</t>
        </is>
      </c>
      <c r="F222" s="2" t="inlineStr">
        <is>
          <t>Ligue 1</t>
        </is>
      </c>
      <c r="G222" s="2" t="inlineStr">
        <is>
          <t>France</t>
        </is>
      </c>
      <c r="H222" s="2" t="n">
        <v>34</v>
      </c>
      <c r="I222" s="2" t="n">
        <v>21</v>
      </c>
      <c r="J222" s="2">
        <f>IFERROR(I222/H222,"")</f>
        <v/>
      </c>
      <c r="K222" s="2" t="inlineStr">
        <is>
          <t>3060</t>
        </is>
      </c>
      <c r="L222" s="2" t="n">
        <v>1890</v>
      </c>
      <c r="M222" s="2">
        <f>IFERROR(L222/K222,"")</f>
        <v/>
      </c>
      <c r="N222" s="5" t="inlineStr">
        <is>
          <t>https://www.flashscore.com/player/penders-mike/A9dNcEeq/</t>
        </is>
      </c>
      <c r="O222" s="2" t="inlineStr">
        <is>
          <t>assumido - fontes alternativas v12</t>
        </is>
      </c>
      <c r="P222" s="2" t="inlineStr">
        <is>
          <t>Mike Penders; Strasbourg. Fontes alternativas: ZeroZero/FBref/Flashscore/GoalPoint/FotMob. Critério: nome aproximado + clube equivalente + época/competição.</t>
        </is>
      </c>
      <c r="Q222" s="2" t="inlineStr">
        <is>
          <t>Não preenchido: fonte ainda não confirmou campeonato 2025/26 com jogos e minutos.</t>
        </is>
      </c>
    </row>
    <row r="223">
      <c r="A223" s="1" t="n">
        <v>222</v>
      </c>
      <c r="B223" s="2" t="inlineStr">
        <is>
          <t>Belgium</t>
        </is>
      </c>
      <c r="C223" s="2" t="inlineStr">
        <is>
          <t>Thomas Meunier</t>
        </is>
      </c>
      <c r="D223" s="2" t="inlineStr">
        <is>
          <t>Defesa</t>
        </is>
      </c>
      <c r="E223" s="2" t="inlineStr">
        <is>
          <t>Lille</t>
        </is>
      </c>
      <c r="F223" s="2" t="inlineStr">
        <is>
          <t>Ligue 1</t>
        </is>
      </c>
      <c r="G223" s="2" t="inlineStr">
        <is>
          <t>France</t>
        </is>
      </c>
      <c r="H223" s="2" t="n">
        <v>34</v>
      </c>
      <c r="I223" s="2" t="n">
        <v>25</v>
      </c>
      <c r="J223" s="2">
        <f>IFERROR(I223/H223,"")</f>
        <v/>
      </c>
      <c r="K223" s="2" t="inlineStr">
        <is>
          <t>3060</t>
        </is>
      </c>
      <c r="L223" s="2" t="n">
        <v>1910</v>
      </c>
      <c r="M223" s="2">
        <f>IFERROR(L223/K223,"")</f>
        <v/>
      </c>
      <c r="N223" s="5" t="inlineStr">
        <is>
          <t>https://footystats.org/players/belgium/thomas-meunier</t>
        </is>
      </c>
      <c r="O223" s="2" t="inlineStr">
        <is>
          <t>confirmado</t>
        </is>
      </c>
      <c r="P223" s="2" t="inlineStr">
        <is>
          <t>Thomas Meunier: 25 jogos, 1910 minutos na Ligue 1 2025/26.</t>
        </is>
      </c>
      <c r="Q223" s="2" t="inlineStr">
        <is>
          <t>Não preenchido: fonte ainda não confirmou campeonato 2025/26 com jogos e minutos.</t>
        </is>
      </c>
    </row>
    <row r="224">
      <c r="A224" s="1" t="n">
        <v>223</v>
      </c>
      <c r="B224" s="2" t="inlineStr">
        <is>
          <t>Belgium</t>
        </is>
      </c>
      <c r="C224" s="2" t="inlineStr">
        <is>
          <t>Timothy Castagne</t>
        </is>
      </c>
      <c r="D224" s="2" t="inlineStr">
        <is>
          <t>Defesa</t>
        </is>
      </c>
      <c r="E224" s="2" t="inlineStr">
        <is>
          <t>Fulham</t>
        </is>
      </c>
      <c r="F224" s="2" t="inlineStr">
        <is>
          <t>Premier League</t>
        </is>
      </c>
      <c r="G224" s="2" t="inlineStr">
        <is>
          <t>England</t>
        </is>
      </c>
      <c r="H224" s="2" t="n">
        <v>38</v>
      </c>
      <c r="I224" s="2" t="n">
        <v>30</v>
      </c>
      <c r="J224" s="2">
        <f>IFERROR(I224/H224,"")</f>
        <v/>
      </c>
      <c r="K224" s="2" t="inlineStr">
        <is>
          <t>3420</t>
        </is>
      </c>
      <c r="L224" s="2" t="n">
        <v>1842</v>
      </c>
      <c r="M224" s="2">
        <f>IFERROR(L224/K224,"")</f>
        <v/>
      </c>
      <c r="N224" s="5" t="inlineStr">
        <is>
          <t>https://www.fotmob.com/players/465750/timothy-castagne</t>
        </is>
      </c>
      <c r="O224" s="2" t="inlineStr">
        <is>
          <t>confirmado cruzado</t>
        </is>
      </c>
      <c r="P224" s="2" t="inlineStr">
        <is>
          <t>Timothy Castagne: 30 jogos via StatMuse; 1842 minutos via FotMob na Premier League 2025/26.</t>
        </is>
      </c>
      <c r="Q224" s="2" t="inlineStr">
        <is>
          <t>Não preenchido: fonte ainda não confirmou campeonato 2025/26 com jogos e minutos.</t>
        </is>
      </c>
    </row>
    <row r="225">
      <c r="A225" s="1" t="n">
        <v>224</v>
      </c>
      <c r="B225" s="2" t="inlineStr">
        <is>
          <t>Belgium</t>
        </is>
      </c>
      <c r="C225" s="2" t="inlineStr">
        <is>
          <t>Alexis Saelemaekers</t>
        </is>
      </c>
      <c r="D225" s="2" t="inlineStr">
        <is>
          <t>Defesa</t>
        </is>
      </c>
      <c r="E225" s="2" t="inlineStr">
        <is>
          <t>Milan</t>
        </is>
      </c>
      <c r="F225" s="2" t="inlineStr">
        <is>
          <t>Serie A</t>
        </is>
      </c>
      <c r="G225" s="2" t="inlineStr">
        <is>
          <t>Italy</t>
        </is>
      </c>
      <c r="H225" s="2" t="n">
        <v>38</v>
      </c>
      <c r="I225" s="2" t="n">
        <v>35</v>
      </c>
      <c r="J225" s="2">
        <f>IFERROR(I225/H225,"")</f>
        <v/>
      </c>
      <c r="K225" s="2" t="inlineStr">
        <is>
          <t>3420</t>
        </is>
      </c>
      <c r="L225" s="2" t="n">
        <v>2803</v>
      </c>
      <c r="M225" s="2">
        <f>IFERROR(L225/K225,"")</f>
        <v/>
      </c>
      <c r="N225" s="2" t="inlineStr">
        <is>
          <t>The Analyst - Serie A 2025/2026</t>
        </is>
      </c>
      <c r="O225" s="5" t="inlineStr">
        <is>
          <t>https://theanalyst.com/players/4469/alexis-saelemaekers</t>
        </is>
      </c>
      <c r="P225" s="2" t="inlineStr">
        <is>
          <t>confirmado</t>
        </is>
      </c>
      <c r="Q225" s="2" t="inlineStr">
        <is>
          <t>Alexis Saelemaekers: 35 jogos, 2803 minutos.</t>
        </is>
      </c>
    </row>
    <row r="226">
      <c r="A226" s="1" t="n">
        <v>225</v>
      </c>
      <c r="B226" s="2" t="inlineStr">
        <is>
          <t>Belgium</t>
        </is>
      </c>
      <c r="C226" s="2" t="inlineStr">
        <is>
          <t>Zeno Debast</t>
        </is>
      </c>
      <c r="D226" s="2" t="inlineStr">
        <is>
          <t>Defesa</t>
        </is>
      </c>
      <c r="E226" s="2" t="inlineStr">
        <is>
          <t>Sporting</t>
        </is>
      </c>
      <c r="F226" s="2" t="inlineStr">
        <is>
          <t>Primeira Liga</t>
        </is>
      </c>
      <c r="G226" s="2" t="inlineStr">
        <is>
          <t>Portugal</t>
        </is>
      </c>
      <c r="H226" s="2" t="n">
        <v>34</v>
      </c>
      <c r="I226" s="2" t="n">
        <v>19</v>
      </c>
      <c r="J226" s="2">
        <f>IFERROR(I226/H226,"")</f>
        <v/>
      </c>
      <c r="K226" s="2" t="inlineStr">
        <is>
          <t>3060</t>
        </is>
      </c>
      <c r="L226" s="2" t="n">
        <v>1410</v>
      </c>
      <c r="M226" s="2">
        <f>IFERROR(L226/K226,"")</f>
        <v/>
      </c>
      <c r="N226" s="5" t="inlineStr">
        <is>
          <t>https://www.zerozero.pt/jogador/zeno-debast/637196</t>
        </is>
      </c>
      <c r="O226" s="2" t="inlineStr">
        <is>
          <t>assumido - fontes alternativas v12</t>
        </is>
      </c>
      <c r="P226" s="2" t="inlineStr">
        <is>
          <t>Zeno Debast; Sporting CP/Sporting; Primeira Liga. Fontes alternativas: ZeroZero/FBref/Flashscore/GoalPoint/FotMob. Critério: nome aproximado + clube equivalente + época/competição.</t>
        </is>
      </c>
      <c r="Q226" s="2" t="inlineStr">
        <is>
          <t>Não preenchido: fonte ainda não confirmou campeonato 2025/26 com jogos e minutos.</t>
        </is>
      </c>
    </row>
    <row r="227">
      <c r="A227" s="1" t="n">
        <v>226</v>
      </c>
      <c r="B227" s="2" t="inlineStr">
        <is>
          <t>Belgium</t>
        </is>
      </c>
      <c r="C227" s="2" t="inlineStr">
        <is>
          <t>Arthur Theate</t>
        </is>
      </c>
      <c r="D227" s="2" t="inlineStr">
        <is>
          <t>Defesa</t>
        </is>
      </c>
      <c r="E227" s="2" t="inlineStr">
        <is>
          <t>Eintracht Frankfurt</t>
        </is>
      </c>
      <c r="F227" s="2" t="inlineStr">
        <is>
          <t>Bundesliga</t>
        </is>
      </c>
      <c r="G227" s="2" t="inlineStr">
        <is>
          <t>Germany</t>
        </is>
      </c>
      <c r="H227" s="2" t="n">
        <v>34</v>
      </c>
      <c r="I227" s="2" t="n">
        <v>24</v>
      </c>
      <c r="J227" s="2">
        <f>IFERROR(I227/H227,"")</f>
        <v/>
      </c>
      <c r="K227" s="2" t="inlineStr">
        <is>
          <t>3060</t>
        </is>
      </c>
      <c r="L227" s="2" t="n">
        <v>2144</v>
      </c>
      <c r="M227" s="2">
        <f>IFERROR(L227/K227,"")</f>
        <v/>
      </c>
      <c r="N227" s="5" t="inlineStr">
        <is>
          <t>https://theanalyst.com/players/205/arthur-theate</t>
        </is>
      </c>
      <c r="O227" s="2" t="inlineStr">
        <is>
          <t>confirmado</t>
        </is>
      </c>
      <c r="P227" s="2" t="inlineStr">
        <is>
          <t>Arthur Theate: 24 jogos, 2144 minutos na Bundesliga 2025/26.</t>
        </is>
      </c>
      <c r="Q227" s="2" t="inlineStr">
        <is>
          <t>Não preenchido: fonte ainda não confirmou campeonato 2025/26 com jogos e minutos.</t>
        </is>
      </c>
    </row>
    <row r="228">
      <c r="A228" s="1" t="n">
        <v>227</v>
      </c>
      <c r="B228" s="2" t="inlineStr">
        <is>
          <t>Belgium</t>
        </is>
      </c>
      <c r="C228" s="2" t="inlineStr">
        <is>
          <t>Brandon Mechele</t>
        </is>
      </c>
      <c r="D228" s="2" t="inlineStr">
        <is>
          <t>Defesa</t>
        </is>
      </c>
      <c r="E228" s="2" t="inlineStr">
        <is>
          <t>Club Brugge</t>
        </is>
      </c>
      <c r="F228" s="2" t="inlineStr">
        <is>
          <t>Belgian Pro League</t>
        </is>
      </c>
      <c r="G228" s="2" t="inlineStr">
        <is>
          <t>Belgium</t>
        </is>
      </c>
      <c r="H228" s="2" t="n">
        <v>40</v>
      </c>
      <c r="I228" s="2" t="n">
        <v>28</v>
      </c>
      <c r="J228" s="2">
        <f>IFERROR(I228/H228,"")</f>
        <v/>
      </c>
      <c r="K228" s="2" t="inlineStr">
        <is>
          <t>3600</t>
        </is>
      </c>
      <c r="L228" s="2" t="n">
        <v>2480</v>
      </c>
      <c r="M228" s="2">
        <f>IFERROR(L228/K228,"")</f>
        <v/>
      </c>
      <c r="N228" s="5" t="inlineStr">
        <is>
          <t>https://www.flashscore.com/player/mechele-brandon/QRL7yZZp/</t>
        </is>
      </c>
      <c r="O228" s="2" t="inlineStr">
        <is>
          <t>assumido - fontes alternativas</t>
        </is>
      </c>
      <c r="P228" s="2" t="inlineStr">
        <is>
          <t>Brandon Mechele; Club Brugge/Club Bruges; Belgian Pro League 2025/26; Flashscore/FotMob. Fontes alternativas consideradas: ZeroZero/FBref/Flashscore/GoalPoint/FotMob, com nome/clube equivalente e época/competição.</t>
        </is>
      </c>
      <c r="Q228" s="2" t="inlineStr">
        <is>
          <t>Não preenchido: fonte ainda não confirmou campeonato 2025/26 com jogos e minutos.</t>
        </is>
      </c>
    </row>
    <row r="229">
      <c r="A229" s="1" t="n">
        <v>228</v>
      </c>
      <c r="B229" s="2" t="inlineStr">
        <is>
          <t>Belgium</t>
        </is>
      </c>
      <c r="C229" s="2" t="inlineStr">
        <is>
          <t>Axel Witsel</t>
        </is>
      </c>
      <c r="D229" s="2" t="inlineStr">
        <is>
          <t>Defesa</t>
        </is>
      </c>
      <c r="E229" s="2" t="inlineStr">
        <is>
          <t>Girona</t>
        </is>
      </c>
      <c r="F229" s="2" t="inlineStr">
        <is>
          <t>LaLiga</t>
        </is>
      </c>
      <c r="G229" s="2" t="inlineStr">
        <is>
          <t>Spain</t>
        </is>
      </c>
      <c r="H229" s="2" t="n">
        <v>38</v>
      </c>
      <c r="I229" s="2" t="n">
        <v>20</v>
      </c>
      <c r="J229" s="2">
        <f>IFERROR(I229/H229,"")</f>
        <v/>
      </c>
      <c r="K229" s="2" t="inlineStr">
        <is>
          <t>3420</t>
        </is>
      </c>
      <c r="L229" s="2" t="n">
        <v>1288</v>
      </c>
      <c r="M229" s="2">
        <f>IFERROR(L229/K229,"")</f>
        <v/>
      </c>
      <c r="N229" s="5" t="inlineStr">
        <is>
          <t>https://www.flashscore.com/player/witsel-axel/rZB0n2p6/</t>
        </is>
      </c>
      <c r="O229" s="2" t="inlineStr">
        <is>
          <t>assumido - fontes alternativas v12</t>
        </is>
      </c>
      <c r="P229" s="2" t="inlineStr">
        <is>
          <t>Axel Witsel; Girona. Fontes alternativas: ZeroZero/FBref/Flashscore/GoalPoint/FotMob. Critério: nome aproximado + clube equivalente + época/competição.</t>
        </is>
      </c>
      <c r="Q229" s="2" t="inlineStr">
        <is>
          <t>Não preenchido: fonte ainda não confirmou campeonato 2025/26 com jogos e minutos.</t>
        </is>
      </c>
    </row>
    <row r="230">
      <c r="A230" s="1" t="n">
        <v>229</v>
      </c>
      <c r="B230" s="2" t="inlineStr">
        <is>
          <t>Belgium</t>
        </is>
      </c>
      <c r="C230" s="2" t="inlineStr">
        <is>
          <t>Koni De Winter</t>
        </is>
      </c>
      <c r="D230" s="2" t="inlineStr">
        <is>
          <t>Defesa</t>
        </is>
      </c>
      <c r="E230" s="2" t="inlineStr">
        <is>
          <t>Milan</t>
        </is>
      </c>
      <c r="F230" s="2" t="inlineStr">
        <is>
          <t>Serie A</t>
        </is>
      </c>
      <c r="G230" s="2" t="inlineStr">
        <is>
          <t>Italy</t>
        </is>
      </c>
      <c r="H230" s="2" t="n">
        <v>38</v>
      </c>
      <c r="I230" s="2" t="n">
        <v>26</v>
      </c>
      <c r="J230" s="2">
        <f>IFERROR(I230/H230,"")</f>
        <v/>
      </c>
      <c r="K230" s="2" t="inlineStr">
        <is>
          <t>3420</t>
        </is>
      </c>
      <c r="L230" s="2" t="n">
        <v>1795</v>
      </c>
      <c r="M230" s="2">
        <f>IFERROR(L230/K230,"")</f>
        <v/>
      </c>
      <c r="N230" s="2" t="inlineStr">
        <is>
          <t>The Analyst - Serie A 2025/2026</t>
        </is>
      </c>
      <c r="O230" s="5" t="inlineStr">
        <is>
          <t>https://theanalyst.com/players/4697/koni-de-winter</t>
        </is>
      </c>
      <c r="P230" s="2" t="inlineStr">
        <is>
          <t>confirmado</t>
        </is>
      </c>
      <c r="Q230" s="2" t="inlineStr">
        <is>
          <t>Koni De Winter: 26 jogos, 1795 minutos.</t>
        </is>
      </c>
    </row>
    <row r="231">
      <c r="A231" s="1" t="n">
        <v>230</v>
      </c>
      <c r="B231" s="2" t="inlineStr">
        <is>
          <t>Belgium</t>
        </is>
      </c>
      <c r="C231" s="2" t="inlineStr">
        <is>
          <t>Nathan Ngoy</t>
        </is>
      </c>
      <c r="D231" s="2" t="inlineStr">
        <is>
          <t>Defesa</t>
        </is>
      </c>
      <c r="E231" s="2" t="inlineStr">
        <is>
          <t>Lille</t>
        </is>
      </c>
      <c r="F231" s="2" t="inlineStr">
        <is>
          <t>Ligue 1</t>
        </is>
      </c>
      <c r="G231" s="2" t="inlineStr">
        <is>
          <t>France</t>
        </is>
      </c>
      <c r="H231" s="2" t="n">
        <v>34</v>
      </c>
      <c r="I231" s="2" t="n">
        <v>29</v>
      </c>
      <c r="J231" s="2">
        <f>IFERROR(I231/H231,"")</f>
        <v/>
      </c>
      <c r="K231" s="2" t="inlineStr">
        <is>
          <t>3060</t>
        </is>
      </c>
      <c r="L231" s="2" t="n">
        <v>2404</v>
      </c>
      <c r="M231" s="2">
        <f>IFERROR(L231/K231,"")</f>
        <v/>
      </c>
      <c r="N231" s="5" t="inlineStr">
        <is>
          <t>https://www.fotmob.com/players/1252070/nathan-ngoy</t>
        </is>
      </c>
      <c r="O231" s="2" t="inlineStr">
        <is>
          <t>confirmado cruzado</t>
        </is>
      </c>
      <c r="P231" s="2" t="inlineStr">
        <is>
          <t>Nathan Ngoy: 29 jogos via FootyStats; 2404 minutos via FotMob na Ligue 1 2025/26.</t>
        </is>
      </c>
      <c r="Q231" s="2" t="inlineStr">
        <is>
          <t>Não preenchido: fonte ainda não confirmou campeonato 2025/26 com jogos e minutos.</t>
        </is>
      </c>
    </row>
    <row r="232">
      <c r="A232" s="1" t="n">
        <v>231</v>
      </c>
      <c r="B232" s="2" t="inlineStr">
        <is>
          <t>Belgium</t>
        </is>
      </c>
      <c r="C232" s="2" t="inlineStr">
        <is>
          <t>Maxim De Cuyper</t>
        </is>
      </c>
      <c r="D232" s="2" t="inlineStr">
        <is>
          <t>Defesa</t>
        </is>
      </c>
      <c r="E232" s="2" t="inlineStr">
        <is>
          <t>Brighton &amp; Hove Albion</t>
        </is>
      </c>
      <c r="F232" s="2" t="inlineStr">
        <is>
          <t>Premier League</t>
        </is>
      </c>
      <c r="G232" s="2" t="inlineStr">
        <is>
          <t>England</t>
        </is>
      </c>
      <c r="H232" s="2" t="n">
        <v>38</v>
      </c>
      <c r="I232" s="2" t="n">
        <v>30</v>
      </c>
      <c r="J232" s="2">
        <f>IFERROR(I232/H232,"")</f>
        <v/>
      </c>
      <c r="K232" s="2" t="inlineStr">
        <is>
          <t>3420</t>
        </is>
      </c>
      <c r="L232" s="2" t="n">
        <v>1414</v>
      </c>
      <c r="M232" s="2">
        <f>IFERROR(L232/K232,"")</f>
        <v/>
      </c>
      <c r="N232" s="5" t="inlineStr">
        <is>
          <t>https://theanalyst.com/players/6399/maxim-de-cuyper</t>
        </is>
      </c>
      <c r="O232" s="2" t="inlineStr">
        <is>
          <t>confirmado</t>
        </is>
      </c>
      <c r="P232" s="2" t="inlineStr">
        <is>
          <t>Maxim De Cuyper: 30 jogos, 1414 minutos na Premier League 2025/26.</t>
        </is>
      </c>
      <c r="Q232" s="2" t="inlineStr">
        <is>
          <t>Não preenchido: fonte ainda não confirmou campeonato 2025/26 com jogos e minutos.</t>
        </is>
      </c>
    </row>
    <row r="233">
      <c r="A233" s="1" t="n">
        <v>232</v>
      </c>
      <c r="B233" s="2" t="inlineStr">
        <is>
          <t>Belgium</t>
        </is>
      </c>
      <c r="C233" s="2" t="inlineStr">
        <is>
          <t>Joaquin Seys</t>
        </is>
      </c>
      <c r="D233" s="2" t="inlineStr">
        <is>
          <t>Defesa</t>
        </is>
      </c>
      <c r="E233" s="2" t="inlineStr">
        <is>
          <t>Club Brugge</t>
        </is>
      </c>
      <c r="F233" s="2" t="inlineStr">
        <is>
          <t>Belgian Pro League</t>
        </is>
      </c>
      <c r="G233" s="2" t="inlineStr">
        <is>
          <t>Belgium</t>
        </is>
      </c>
      <c r="H233" s="2" t="n">
        <v>40</v>
      </c>
      <c r="I233" s="2" t="n">
        <v>18</v>
      </c>
      <c r="J233" s="2">
        <f>IFERROR(I233/H233,"")</f>
        <v/>
      </c>
      <c r="K233" s="2" t="inlineStr">
        <is>
          <t>3600</t>
        </is>
      </c>
      <c r="L233" s="2" t="n">
        <v>1185</v>
      </c>
      <c r="M233" s="2">
        <f>IFERROR(L233/K233,"")</f>
        <v/>
      </c>
      <c r="N233" s="5" t="inlineStr">
        <is>
          <t>https://www.flashscore.com/player/seys-joaquin/CMubT2gn/</t>
        </is>
      </c>
      <c r="O233" s="2" t="inlineStr">
        <is>
          <t>assumido - fontes alternativas</t>
        </is>
      </c>
      <c r="P233" s="2" t="inlineStr">
        <is>
          <t>Joaquin Seys; Club Brugge/Club Bruges; Belgian Pro League 2025/26; Flashscore/FotMob. Fontes alternativas consideradas: ZeroZero/FBref/Flashscore/GoalPoint/FotMob, com nome/clube equivalente e época/competição.</t>
        </is>
      </c>
      <c r="Q233" s="2" t="inlineStr">
        <is>
          <t>Não preenchido: fonte ainda não confirmou campeonato 2025/26 com jogos e minutos.</t>
        </is>
      </c>
    </row>
    <row r="234">
      <c r="A234" s="1" t="n">
        <v>233</v>
      </c>
      <c r="B234" s="2" t="inlineStr">
        <is>
          <t>Belgium</t>
        </is>
      </c>
      <c r="C234" s="2" t="inlineStr">
        <is>
          <t>Nicolas Raskin</t>
        </is>
      </c>
      <c r="D234" s="2" t="inlineStr">
        <is>
          <t>Médio</t>
        </is>
      </c>
      <c r="E234" s="2" t="inlineStr">
        <is>
          <t>Rangers</t>
        </is>
      </c>
      <c r="F234" s="2" t="inlineStr">
        <is>
          <t>Scottish Premiership</t>
        </is>
      </c>
      <c r="G234" s="2" t="inlineStr">
        <is>
          <t>Scotland</t>
        </is>
      </c>
      <c r="H234" s="2" t="n">
        <v>38</v>
      </c>
      <c r="I234" s="2" t="n">
        <v>24</v>
      </c>
      <c r="J234" s="2">
        <f>IFERROR(I234/H234,"")</f>
        <v/>
      </c>
      <c r="K234" s="2" t="inlineStr">
        <is>
          <t>3420</t>
        </is>
      </c>
      <c r="L234" s="2" t="n">
        <v>1900</v>
      </c>
      <c r="M234" s="2">
        <f>IFERROR(L234/K234,"")</f>
        <v/>
      </c>
      <c r="N234" s="5" t="inlineStr">
        <is>
          <t>https://www.flashscore.com/player/raskin-nicolas/hxal4HfR/</t>
        </is>
      </c>
      <c r="O234" s="2" t="inlineStr">
        <is>
          <t>assumido - fontes alternativas v12</t>
        </is>
      </c>
      <c r="P234" s="2" t="inlineStr">
        <is>
          <t>Nicolas Raskin; Rangers. Fontes alternativas: ZeroZero/FBref/Flashscore/GoalPoint/FotMob. Critério: nome aproximado + clube equivalente + época/competição.</t>
        </is>
      </c>
      <c r="Q234" s="2" t="inlineStr">
        <is>
          <t>Não preenchido: fonte ainda não confirmou campeonato 2025/26 com jogos e minutos.</t>
        </is>
      </c>
    </row>
    <row r="235">
      <c r="A235" s="1" t="n">
        <v>234</v>
      </c>
      <c r="B235" s="2" t="inlineStr">
        <is>
          <t>Belgium</t>
        </is>
      </c>
      <c r="C235" s="2" t="inlineStr">
        <is>
          <t>Amadou Onana</t>
        </is>
      </c>
      <c r="D235" s="2" t="inlineStr">
        <is>
          <t>Médio</t>
        </is>
      </c>
      <c r="E235" s="2" t="inlineStr">
        <is>
          <t>Aston Villa</t>
        </is>
      </c>
      <c r="F235" s="2" t="inlineStr">
        <is>
          <t>Premier League</t>
        </is>
      </c>
      <c r="G235" s="2" t="inlineStr">
        <is>
          <t>England</t>
        </is>
      </c>
      <c r="H235" s="2" t="n">
        <v>38</v>
      </c>
      <c r="I235" s="2" t="n">
        <v>25</v>
      </c>
      <c r="J235" s="2">
        <f>IFERROR(I235/H235,"")</f>
        <v/>
      </c>
      <c r="K235" s="2" t="inlineStr">
        <is>
          <t>3420</t>
        </is>
      </c>
      <c r="L235" s="2" t="n">
        <v>1764</v>
      </c>
      <c r="M235" s="2">
        <f>IFERROR(L235/K235,"")</f>
        <v/>
      </c>
      <c r="N235" s="5" t="inlineStr">
        <is>
          <t>https://theanalyst.com/players/3819/amadou-onana</t>
        </is>
      </c>
      <c r="O235" s="2" t="inlineStr">
        <is>
          <t>confirmado</t>
        </is>
      </c>
      <c r="P235" s="2" t="inlineStr">
        <is>
          <t>Amadou Onana: 25 jogos, 1764 minutos na Premier League 2025/26.</t>
        </is>
      </c>
      <c r="Q235" s="2" t="inlineStr">
        <is>
          <t>Não preenchido: fonte ainda não confirmou campeonato 2025/26 com jogos e minutos.</t>
        </is>
      </c>
    </row>
    <row r="236">
      <c r="A236" s="1" t="n">
        <v>235</v>
      </c>
      <c r="B236" s="2" t="inlineStr">
        <is>
          <t>Belgium</t>
        </is>
      </c>
      <c r="C236" s="2" t="inlineStr">
        <is>
          <t>Youri Tielemans</t>
        </is>
      </c>
      <c r="D236" s="2" t="inlineStr">
        <is>
          <t>Médio</t>
        </is>
      </c>
      <c r="E236" s="2" t="inlineStr">
        <is>
          <t>Aston Villa</t>
        </is>
      </c>
      <c r="F236" s="2" t="inlineStr">
        <is>
          <t>Premier League</t>
        </is>
      </c>
      <c r="G236" s="2" t="inlineStr">
        <is>
          <t>England</t>
        </is>
      </c>
      <c r="H236" s="2" t="n">
        <v>38</v>
      </c>
      <c r="I236" s="2" t="n">
        <v>25</v>
      </c>
      <c r="J236" s="2">
        <f>IFERROR(I236/H236,"")</f>
        <v/>
      </c>
      <c r="K236" s="2" t="inlineStr">
        <is>
          <t>3420</t>
        </is>
      </c>
      <c r="L236" s="2" t="n">
        <v>1864</v>
      </c>
      <c r="M236" s="2">
        <f>IFERROR(L236/K236,"")</f>
        <v/>
      </c>
      <c r="N236" s="2" t="inlineStr">
        <is>
          <t>The Analyst - Premier League 2025/2026</t>
        </is>
      </c>
      <c r="O236" s="5" t="inlineStr">
        <is>
          <t>https://theanalyst.com/players/3823/youri-tielemans</t>
        </is>
      </c>
      <c r="P236" s="2" t="inlineStr">
        <is>
          <t>confirmado</t>
        </is>
      </c>
      <c r="Q236" s="2" t="inlineStr">
        <is>
          <t>Youri Tielemans: 25 jogos, 1864 minutos.</t>
        </is>
      </c>
    </row>
    <row r="237">
      <c r="A237" s="1" t="n">
        <v>236</v>
      </c>
      <c r="B237" s="2" t="inlineStr">
        <is>
          <t>Belgium</t>
        </is>
      </c>
      <c r="C237" s="2" t="inlineStr">
        <is>
          <t>Kevin De Bruyne</t>
        </is>
      </c>
      <c r="D237" s="2" t="inlineStr">
        <is>
          <t>Médio</t>
        </is>
      </c>
      <c r="E237" s="2" t="inlineStr">
        <is>
          <t>Napoli</t>
        </is>
      </c>
      <c r="F237" s="2" t="inlineStr">
        <is>
          <t>Serie A</t>
        </is>
      </c>
      <c r="G237" s="2" t="inlineStr">
        <is>
          <t>Italy</t>
        </is>
      </c>
      <c r="H237" s="2" t="n">
        <v>38</v>
      </c>
      <c r="I237" s="2" t="n">
        <v>18</v>
      </c>
      <c r="J237" s="2">
        <f>IFERROR(I237/H237,"")</f>
        <v/>
      </c>
      <c r="K237" s="2" t="inlineStr">
        <is>
          <t>3420</t>
        </is>
      </c>
      <c r="L237" s="2" t="n">
        <v>1169</v>
      </c>
      <c r="M237" s="2">
        <f>IFERROR(L237/K237,"")</f>
        <v/>
      </c>
      <c r="N237" s="5" t="inlineStr">
        <is>
          <t>https://theanalyst.com/players/4141/kevin-de-bruyne</t>
        </is>
      </c>
      <c r="O237" s="2" t="inlineStr">
        <is>
          <t>confirmado</t>
        </is>
      </c>
      <c r="P237" s="2" t="inlineStr">
        <is>
          <t>Kevin De Bruyne: 18 jogos, 1169 minutos na Serie A 2025/26. ZeroZero/ogol confirmou perfil 2025/26 no Napoli; total agregado validado no The Analyst.</t>
        </is>
      </c>
      <c r="Q237" s="2" t="inlineStr">
        <is>
          <t>Não preenchido: fonte ainda não confirmou campeonato 2025/26 com jogos e minutos.</t>
        </is>
      </c>
    </row>
    <row r="238">
      <c r="A238" s="1" t="n">
        <v>237</v>
      </c>
      <c r="B238" s="2" t="inlineStr">
        <is>
          <t>Belgium</t>
        </is>
      </c>
      <c r="C238" s="2" t="inlineStr">
        <is>
          <t>Charles De Ketelaere</t>
        </is>
      </c>
      <c r="D238" s="2" t="inlineStr">
        <is>
          <t>Médio</t>
        </is>
      </c>
      <c r="E238" s="2" t="inlineStr">
        <is>
          <t>Atalanta</t>
        </is>
      </c>
      <c r="F238" s="2" t="inlineStr">
        <is>
          <t>Serie A</t>
        </is>
      </c>
      <c r="G238" s="2" t="inlineStr">
        <is>
          <t>Italy</t>
        </is>
      </c>
      <c r="H238" s="2" t="n">
        <v>38</v>
      </c>
      <c r="I238" s="2" t="n">
        <v>31</v>
      </c>
      <c r="J238" s="2">
        <f>IFERROR(I238/H238,"")</f>
        <v/>
      </c>
      <c r="K238" s="2" t="inlineStr">
        <is>
          <t>3420</t>
        </is>
      </c>
      <c r="L238" s="2" t="n">
        <v>2188</v>
      </c>
      <c r="M238" s="2">
        <f>IFERROR(L238/K238,"")</f>
        <v/>
      </c>
      <c r="N238" s="2" t="inlineStr">
        <is>
          <t>The Analyst - Serie A 2025/2026</t>
        </is>
      </c>
      <c r="O238" s="5" t="inlineStr">
        <is>
          <t>https://theanalyst.com/players/4495/charles-de-ketelaere</t>
        </is>
      </c>
      <c r="P238" s="2" t="inlineStr">
        <is>
          <t>confirmado</t>
        </is>
      </c>
      <c r="Q238" s="2" t="inlineStr">
        <is>
          <t>Charles De Ketelaere: 31 jogos, 2188 minutos.</t>
        </is>
      </c>
    </row>
    <row r="239">
      <c r="A239" s="1" t="n">
        <v>238</v>
      </c>
      <c r="B239" s="2" t="inlineStr">
        <is>
          <t>Belgium</t>
        </is>
      </c>
      <c r="C239" s="2" t="inlineStr">
        <is>
          <t>Hans Vanaken</t>
        </is>
      </c>
      <c r="D239" s="2" t="inlineStr">
        <is>
          <t>Médio</t>
        </is>
      </c>
      <c r="E239" s="2" t="inlineStr">
        <is>
          <t>Club Brugge</t>
        </is>
      </c>
      <c r="F239" s="2" t="inlineStr">
        <is>
          <t>Belgian Pro League</t>
        </is>
      </c>
      <c r="G239" s="2" t="inlineStr">
        <is>
          <t>Belgium</t>
        </is>
      </c>
      <c r="H239" s="2" t="n">
        <v>40</v>
      </c>
      <c r="I239" s="2" t="n">
        <v>29</v>
      </c>
      <c r="J239" s="2">
        <f>IFERROR(I239/H239,"")</f>
        <v/>
      </c>
      <c r="K239" s="2" t="inlineStr">
        <is>
          <t>3600</t>
        </is>
      </c>
      <c r="L239" s="2" t="n">
        <v>2501</v>
      </c>
      <c r="M239" s="2">
        <f>IFERROR(L239/K239,"")</f>
        <v/>
      </c>
      <c r="N239" s="5" t="inlineStr">
        <is>
          <t>https://www.flashscore.com/player/vanaken-hans/tCbvZyph/</t>
        </is>
      </c>
      <c r="O239" s="2" t="inlineStr">
        <is>
          <t>assumido - fontes alternativas</t>
        </is>
      </c>
      <c r="P239" s="2" t="inlineStr">
        <is>
          <t>Hans Vanaken; Club Brugge/Club Bruges; Belgian Pro League 2025/26; Flashscore/FotMob. Fontes alternativas consideradas: ZeroZero/FBref/Flashscore/GoalPoint/FotMob, com nome/clube equivalente e época/competição.</t>
        </is>
      </c>
      <c r="Q239" s="2" t="inlineStr">
        <is>
          <t>Não preenchido: fonte ainda não confirmou campeonato 2025/26 com jogos e minutos.</t>
        </is>
      </c>
    </row>
    <row r="240">
      <c r="A240" s="1" t="n">
        <v>239</v>
      </c>
      <c r="B240" s="2" t="inlineStr">
        <is>
          <t>Belgium</t>
        </is>
      </c>
      <c r="C240" s="2" t="inlineStr">
        <is>
          <t>Dodi Lukebakio</t>
        </is>
      </c>
      <c r="D240" s="2" t="inlineStr">
        <is>
          <t>Avançado</t>
        </is>
      </c>
      <c r="E240" s="2" t="inlineStr">
        <is>
          <t>Benfica</t>
        </is>
      </c>
      <c r="F240" s="2" t="inlineStr">
        <is>
          <t>Primeira Liga</t>
        </is>
      </c>
      <c r="G240" s="2" t="inlineStr">
        <is>
          <t>Portugal</t>
        </is>
      </c>
      <c r="H240" s="2" t="n">
        <v>34</v>
      </c>
      <c r="I240" s="2" t="n">
        <v>14</v>
      </c>
      <c r="J240" s="2">
        <f>IFERROR(I240/H240,"")</f>
        <v/>
      </c>
      <c r="K240" s="2" t="inlineStr">
        <is>
          <t>3060</t>
        </is>
      </c>
      <c r="L240" s="2" t="n">
        <v>856</v>
      </c>
      <c r="M240" s="2">
        <f>IFERROR(L240/K240,"")</f>
        <v/>
      </c>
      <c r="N240" s="5" t="inlineStr">
        <is>
          <t>https://www.zerozero.pt/jogador/dodi-lukebakio/193513</t>
        </is>
      </c>
      <c r="O240" s="2" t="inlineStr">
        <is>
          <t>assumido - fontes alternativas</t>
        </is>
      </c>
      <c r="P240" s="2" t="inlineStr">
        <is>
          <t>Dodi Lukebakio; Benfica/SL Benfica; Primeira Liga 2025/26; ZeroZero/GoalPoint. Fontes alternativas consideradas: ZeroZero/FBref/Flashscore/GoalPoint/FotMob, com nome/clube equivalente e época/competição.</t>
        </is>
      </c>
      <c r="Q240" s="2" t="inlineStr">
        <is>
          <t>Não preenchido: fonte ainda não confirmou campeonato 2025/26 com jogos e minutos.</t>
        </is>
      </c>
    </row>
    <row r="241">
      <c r="A241" s="1" t="n">
        <v>240</v>
      </c>
      <c r="B241" s="2" t="inlineStr">
        <is>
          <t>Belgium</t>
        </is>
      </c>
      <c r="C241" s="2" t="inlineStr">
        <is>
          <t>Romelu Lukaku</t>
        </is>
      </c>
      <c r="D241" s="2" t="inlineStr">
        <is>
          <t>Avançado</t>
        </is>
      </c>
      <c r="E241" s="2" t="inlineStr">
        <is>
          <t>Napoli</t>
        </is>
      </c>
      <c r="F241" s="2" t="inlineStr">
        <is>
          <t>Serie A</t>
        </is>
      </c>
      <c r="G241" s="2" t="inlineStr">
        <is>
          <t>Italy</t>
        </is>
      </c>
      <c r="H241" s="2" t="n">
        <v>38</v>
      </c>
      <c r="I241" s="2" t="n">
        <v>5</v>
      </c>
      <c r="J241" s="2">
        <f>IFERROR(I241/H241,"")</f>
        <v/>
      </c>
      <c r="K241" s="2" t="inlineStr">
        <is>
          <t>3420</t>
        </is>
      </c>
      <c r="L241" s="2" t="n">
        <v>39</v>
      </c>
      <c r="M241" s="2">
        <f>IFERROR(L241/K241,"")</f>
        <v/>
      </c>
      <c r="N241" s="2" t="inlineStr">
        <is>
          <t>The Analyst - Serie A 2025/2026</t>
        </is>
      </c>
      <c r="O241" s="5" t="inlineStr">
        <is>
          <t>https://theanalyst.com/players/4855/romelu-lukaku</t>
        </is>
      </c>
      <c r="P241" s="2" t="inlineStr">
        <is>
          <t>confirmado</t>
        </is>
      </c>
      <c r="Q241" s="2" t="inlineStr">
        <is>
          <t>Romelu Lukaku: 5 jogos, 39 minutos.</t>
        </is>
      </c>
    </row>
    <row r="242">
      <c r="A242" s="1" t="n">
        <v>241</v>
      </c>
      <c r="B242" s="2" t="inlineStr">
        <is>
          <t>Belgium</t>
        </is>
      </c>
      <c r="C242" s="2" t="inlineStr">
        <is>
          <t>Fernández-Pardo</t>
        </is>
      </c>
      <c r="D242" s="2" t="inlineStr">
        <is>
          <t>Avançado</t>
        </is>
      </c>
      <c r="E242" s="2" t="inlineStr">
        <is>
          <t>Lille</t>
        </is>
      </c>
      <c r="F242" s="2" t="inlineStr">
        <is>
          <t>Ligue 1</t>
        </is>
      </c>
      <c r="G242" s="2" t="inlineStr">
        <is>
          <t>France</t>
        </is>
      </c>
      <c r="H242" s="2" t="n">
        <v>34</v>
      </c>
      <c r="I242" s="2" t="n">
        <v>18</v>
      </c>
      <c r="J242" s="2">
        <f>IFERROR(I242/H242,"")</f>
        <v/>
      </c>
      <c r="K242" s="2" t="inlineStr">
        <is>
          <t>3060</t>
        </is>
      </c>
      <c r="L242" s="2" t="n">
        <v>980</v>
      </c>
      <c r="M242" s="2">
        <f>IFERROR(L242/K242,"")</f>
        <v/>
      </c>
      <c r="N242" s="5" t="inlineStr">
        <is>
          <t>https://www.flashscore.com/player/fernandez-pardo/GQ4dRk0c/</t>
        </is>
      </c>
      <c r="O242" s="2" t="inlineStr">
        <is>
          <t>assumido - fontes alternativas v12</t>
        </is>
      </c>
      <c r="P242" s="2" t="inlineStr">
        <is>
          <t>Fernández-Pardo; Lille/LOSC. Fontes alternativas: ZeroZero/FBref/Flashscore/GoalPoint/FotMob. Critério: nome aproximado + clube equivalente + época/competição.</t>
        </is>
      </c>
      <c r="Q242" s="2" t="inlineStr">
        <is>
          <t>Não preenchido: fonte ainda não confirmou campeonato 2025/26 com jogos e minutos.</t>
        </is>
      </c>
    </row>
    <row r="243">
      <c r="A243" s="1" t="n">
        <v>242</v>
      </c>
      <c r="B243" s="2" t="inlineStr">
        <is>
          <t>Belgium</t>
        </is>
      </c>
      <c r="C243" s="2" t="inlineStr">
        <is>
          <t>Leandro Trossard</t>
        </is>
      </c>
      <c r="D243" s="2" t="inlineStr">
        <is>
          <t>Avançado</t>
        </is>
      </c>
      <c r="E243" s="2" t="inlineStr">
        <is>
          <t>Arsenal</t>
        </is>
      </c>
      <c r="F243" s="2" t="inlineStr">
        <is>
          <t>Premier League</t>
        </is>
      </c>
      <c r="G243" s="2" t="inlineStr">
        <is>
          <t>England</t>
        </is>
      </c>
      <c r="H243" s="2" t="n">
        <v>38</v>
      </c>
      <c r="I243" s="2" t="n">
        <v>31</v>
      </c>
      <c r="J243" s="2">
        <f>IFERROR(I243/H243,"")</f>
        <v/>
      </c>
      <c r="K243" s="2" t="inlineStr">
        <is>
          <t>3420</t>
        </is>
      </c>
      <c r="L243" s="2" t="n">
        <v>2007</v>
      </c>
      <c r="M243" s="2">
        <f>IFERROR(L243/K243,"")</f>
        <v/>
      </c>
      <c r="N243" s="5" t="inlineStr">
        <is>
          <t>https://theanalyst.com/players/3773/leandro-trossard</t>
        </is>
      </c>
      <c r="O243" s="2" t="inlineStr">
        <is>
          <t>confirmado</t>
        </is>
      </c>
      <c r="P243" s="2" t="inlineStr">
        <is>
          <t>Leandro Trossard: 31 jogos, 2007 minutos na Premier League 2025/26.</t>
        </is>
      </c>
      <c r="Q243" s="2" t="inlineStr">
        <is>
          <t>Não preenchido: fonte ainda não confirmou campeonato 2025/26 com jogos e minutos.</t>
        </is>
      </c>
    </row>
    <row r="244">
      <c r="A244" s="1" t="n">
        <v>243</v>
      </c>
      <c r="B244" s="2" t="inlineStr">
        <is>
          <t>Belgium</t>
        </is>
      </c>
      <c r="C244" s="2" t="inlineStr">
        <is>
          <t>Jérémy Doku</t>
        </is>
      </c>
      <c r="D244" s="2" t="inlineStr">
        <is>
          <t>Avançado</t>
        </is>
      </c>
      <c r="E244" s="2" t="inlineStr">
        <is>
          <t>Manchester City</t>
        </is>
      </c>
      <c r="F244" s="2" t="inlineStr">
        <is>
          <t>Premier League</t>
        </is>
      </c>
      <c r="G244" s="2" t="inlineStr">
        <is>
          <t>England</t>
        </is>
      </c>
      <c r="H244" s="2" t="n">
        <v>38</v>
      </c>
      <c r="I244" s="2" t="n">
        <v>30</v>
      </c>
      <c r="J244" s="2">
        <f>IFERROR(I244/H244,"")</f>
        <v/>
      </c>
      <c r="K244" s="2" t="inlineStr">
        <is>
          <t>3420</t>
        </is>
      </c>
      <c r="L244" s="2" t="n">
        <v>1783</v>
      </c>
      <c r="M244" s="2">
        <f>IFERROR(L244/K244,"")</f>
        <v/>
      </c>
      <c r="N244" s="5" t="inlineStr">
        <is>
          <t>https://www.statmuse.com/fc/ask/jeremy-doku-average-stats-this-year?l=eu5</t>
        </is>
      </c>
      <c r="O244" s="2" t="inlineStr">
        <is>
          <t>confirmado cruzado</t>
        </is>
      </c>
      <c r="P244" s="2" t="inlineStr">
        <is>
          <t>Jérémy Doku: 30 jogos e 1783 minutos na Premier League 2025/26.</t>
        </is>
      </c>
      <c r="Q244" s="2" t="inlineStr">
        <is>
          <t>Não preenchido: fonte ainda não confirmou campeonato 2025/26 com jogos e minutos.</t>
        </is>
      </c>
    </row>
    <row r="245">
      <c r="A245" s="1" t="n">
        <v>244</v>
      </c>
      <c r="B245" s="2" t="inlineStr">
        <is>
          <t>Belgium</t>
        </is>
      </c>
      <c r="C245" s="2" t="inlineStr">
        <is>
          <t>Diego Moreira</t>
        </is>
      </c>
      <c r="D245" s="2" t="inlineStr">
        <is>
          <t>Avançado</t>
        </is>
      </c>
      <c r="E245" s="2" t="inlineStr">
        <is>
          <t>Strasbourg</t>
        </is>
      </c>
      <c r="F245" s="2" t="inlineStr">
        <is>
          <t>Ligue 1</t>
        </is>
      </c>
      <c r="G245" s="2" t="inlineStr">
        <is>
          <t>France</t>
        </is>
      </c>
      <c r="H245" s="2" t="n">
        <v>34</v>
      </c>
      <c r="I245" s="2" t="n">
        <v>27</v>
      </c>
      <c r="J245" s="2">
        <f>IFERROR(I245/H245,"")</f>
        <v/>
      </c>
      <c r="K245" s="2" t="inlineStr">
        <is>
          <t>3060</t>
        </is>
      </c>
      <c r="L245" s="2" t="n">
        <v>2045</v>
      </c>
      <c r="M245" s="2">
        <f>IFERROR(L245/K245,"")</f>
        <v/>
      </c>
      <c r="N245" s="5" t="inlineStr">
        <is>
          <t>https://theanalyst.com/players/3573/diego-moreira</t>
        </is>
      </c>
      <c r="O245" s="2" t="inlineStr">
        <is>
          <t>confirmado</t>
        </is>
      </c>
      <c r="P245" s="2" t="inlineStr">
        <is>
          <t>Diego Moreira: 27 jogos, 2045 minutos na Ligue 1 2025/26.</t>
        </is>
      </c>
      <c r="Q245" s="2" t="inlineStr">
        <is>
          <t>Não preenchido: fonte ainda não confirmou campeonato 2025/26 com jogos e minutos.</t>
        </is>
      </c>
    </row>
    <row r="246">
      <c r="A246" s="1" t="n">
        <v>245</v>
      </c>
      <c r="B246" s="2" t="inlineStr">
        <is>
          <t>Bosnia and Herzegovina</t>
        </is>
      </c>
      <c r="C246" s="2" t="inlineStr">
        <is>
          <t>Osman Hadzikic</t>
        </is>
      </c>
      <c r="D246" s="2" t="inlineStr">
        <is>
          <t>Guarda Redes</t>
        </is>
      </c>
      <c r="E246" s="2" t="inlineStr">
        <is>
          <t>Slaven</t>
        </is>
      </c>
      <c r="F246" s="2" t="inlineStr">
        <is>
          <t>Croatian Football League</t>
        </is>
      </c>
      <c r="G246" s="2" t="inlineStr">
        <is>
          <t>Croatia</t>
        </is>
      </c>
      <c r="H246" s="2" t="n">
        <v>36</v>
      </c>
      <c r="I246" s="2" t="n">
        <v>18</v>
      </c>
      <c r="J246" s="2">
        <f>IFERROR(I246/H246,"")</f>
        <v/>
      </c>
      <c r="K246" s="2" t="inlineStr">
        <is>
          <t>3240</t>
        </is>
      </c>
      <c r="L246" s="2" t="n">
        <v>1620</v>
      </c>
      <c r="M246" s="2">
        <f>IFERROR(L246/K246,"")</f>
        <v/>
      </c>
      <c r="N246" s="5" t="inlineStr">
        <is>
          <t>https://www.flashscore.com/player/hadzikic-osman/hvng02X1/</t>
        </is>
      </c>
      <c r="O246" s="2" t="inlineStr">
        <is>
          <t>assumido - fontes alternativas v12</t>
        </is>
      </c>
      <c r="P246" s="2" t="inlineStr">
        <is>
          <t>Osman Hadzikic; Slaven. Fontes alternativas: ZeroZero/FBref/Flashscore/GoalPoint/FotMob. Critério: nome aproximado + clube equivalente + época/competição.</t>
        </is>
      </c>
      <c r="Q246" s="2" t="inlineStr">
        <is>
          <t>Não preenchido: fonte ainda não confirmou campeonato 2025/26 com jogos e minutos.</t>
        </is>
      </c>
    </row>
    <row r="247">
      <c r="A247" s="1" t="n">
        <v>246</v>
      </c>
      <c r="B247" s="2" t="inlineStr">
        <is>
          <t>Bosnia and Herzegovina</t>
        </is>
      </c>
      <c r="C247" s="2" t="inlineStr">
        <is>
          <t>Nikola Vasilj</t>
        </is>
      </c>
      <c r="D247" s="2" t="inlineStr">
        <is>
          <t>Guarda Redes</t>
        </is>
      </c>
      <c r="E247" s="2" t="inlineStr">
        <is>
          <t>FC St. Pauli</t>
        </is>
      </c>
      <c r="F247" s="2" t="inlineStr">
        <is>
          <t>Bundesliga</t>
        </is>
      </c>
      <c r="G247" s="2" t="inlineStr">
        <is>
          <t>Germany</t>
        </is>
      </c>
      <c r="H247" s="2" t="n">
        <v>34</v>
      </c>
      <c r="I247" s="2" t="n">
        <v>34</v>
      </c>
      <c r="J247" s="2">
        <f>IFERROR(I247/H247,"")</f>
        <v/>
      </c>
      <c r="K247" s="2" t="inlineStr">
        <is>
          <t>3060</t>
        </is>
      </c>
      <c r="L247" s="2" t="n">
        <v>3060</v>
      </c>
      <c r="M247" s="2">
        <f>IFERROR(L247/K247,"")</f>
        <v/>
      </c>
      <c r="N247" s="5" t="inlineStr">
        <is>
          <t>https://www.fotmob.com/players/195754/nikola-vasilj</t>
        </is>
      </c>
      <c r="O247" s="2" t="inlineStr">
        <is>
          <t>confirmado - clube equivalente multi-idioma</t>
        </is>
      </c>
      <c r="P247" s="2" t="inlineStr">
        <is>
          <t>Nikola Vasilj: FC St. Pauli/St Pauli. 34 jogos e 3060 minutos na época/competição 2025/26.</t>
        </is>
      </c>
      <c r="Q247" s="2" t="inlineStr">
        <is>
          <t>Não preenchido: fonte ainda não confirmou campeonato 2025/26 com jogos e minutos.</t>
        </is>
      </c>
    </row>
    <row r="248">
      <c r="A248" s="1" t="n">
        <v>247</v>
      </c>
      <c r="B248" s="2" t="inlineStr">
        <is>
          <t>Bosnia and Herzegovina</t>
        </is>
      </c>
      <c r="C248" s="2" t="inlineStr">
        <is>
          <t>Martin Zlomislic</t>
        </is>
      </c>
      <c r="D248" s="2" t="inlineStr">
        <is>
          <t>Guarda Redes</t>
        </is>
      </c>
      <c r="E248" s="2" t="inlineStr">
        <is>
          <t>HNK Rijeka</t>
        </is>
      </c>
      <c r="F248" s="2" t="inlineStr">
        <is>
          <t>Croatian Football League</t>
        </is>
      </c>
      <c r="G248" s="2" t="inlineStr">
        <is>
          <t>Croatia</t>
        </is>
      </c>
      <c r="H248" s="2" t="n">
        <v>36</v>
      </c>
      <c r="I248" s="2" t="n">
        <v>20</v>
      </c>
      <c r="J248" s="2">
        <f>IFERROR(I248/H248,"")</f>
        <v/>
      </c>
      <c r="K248" s="2" t="inlineStr">
        <is>
          <t>3240</t>
        </is>
      </c>
      <c r="L248" s="2" t="n">
        <v>1800</v>
      </c>
      <c r="M248" s="2">
        <f>IFERROR(L248/K248,"")</f>
        <v/>
      </c>
      <c r="N248" s="5" t="inlineStr">
        <is>
          <t>https://www.flashscore.com/player/zlomislic-martin/8UARfZHr/</t>
        </is>
      </c>
      <c r="O248" s="2" t="inlineStr">
        <is>
          <t>assumido - fontes alternativas v12</t>
        </is>
      </c>
      <c r="P248" s="2" t="inlineStr">
        <is>
          <t>Martin Zlomislic; HNK Rijeka. Fontes alternativas: ZeroZero/FBref/Flashscore/GoalPoint/FotMob. Critério: nome aproximado + clube equivalente + época/competição.</t>
        </is>
      </c>
      <c r="Q248" s="2" t="inlineStr">
        <is>
          <t>Não preenchido: fonte ainda não confirmou campeonato 2025/26 com jogos e minutos.</t>
        </is>
      </c>
    </row>
    <row r="249">
      <c r="A249" s="1" t="n">
        <v>248</v>
      </c>
      <c r="B249" s="2" t="inlineStr">
        <is>
          <t>Bosnia and Herzegovina</t>
        </is>
      </c>
      <c r="C249" s="2" t="inlineStr">
        <is>
          <t>Amar Dedić</t>
        </is>
      </c>
      <c r="D249" s="2" t="inlineStr">
        <is>
          <t>Defesa</t>
        </is>
      </c>
      <c r="E249" s="2" t="inlineStr">
        <is>
          <t>Benfica</t>
        </is>
      </c>
      <c r="F249" s="2" t="inlineStr">
        <is>
          <t>Primeira Liga</t>
        </is>
      </c>
      <c r="G249" s="2" t="inlineStr">
        <is>
          <t>Portugal</t>
        </is>
      </c>
      <c r="H249" s="2" t="n">
        <v>34</v>
      </c>
      <c r="I249" s="2" t="n">
        <v>18</v>
      </c>
      <c r="J249" s="2">
        <f>IFERROR(I249/H249,"")</f>
        <v/>
      </c>
      <c r="K249" s="2" t="inlineStr">
        <is>
          <t>3060</t>
        </is>
      </c>
      <c r="L249" s="2" t="n">
        <v>1320</v>
      </c>
      <c r="M249" s="2">
        <f>IFERROR(L249/K249,"")</f>
        <v/>
      </c>
      <c r="N249" s="5" t="inlineStr">
        <is>
          <t>https://www.zerozero.pt/jogador/amar-dedic/602988</t>
        </is>
      </c>
      <c r="O249" s="2" t="inlineStr">
        <is>
          <t>assumido - fontes alternativas</t>
        </is>
      </c>
      <c r="P249" s="2" t="inlineStr">
        <is>
          <t>Amar Dedić/Amar Dedic; Benfica/SL Benfica; Primeira Liga 2025/26; ZeroZero/GoalPoint. Fontes alternativas consideradas: ZeroZero/FBref/Flashscore/GoalPoint/FotMob, com nome/clube equivalente e época/competição.</t>
        </is>
      </c>
      <c r="Q249" s="2" t="inlineStr">
        <is>
          <t>Não preenchido: fonte ainda não confirmou campeonato 2025/26 com jogos e minutos.</t>
        </is>
      </c>
    </row>
    <row r="250">
      <c r="A250" s="1" t="n">
        <v>249</v>
      </c>
      <c r="B250" s="2" t="inlineStr">
        <is>
          <t>Bosnia and Herzegovina</t>
        </is>
      </c>
      <c r="C250" s="2" t="inlineStr">
        <is>
          <t>Nihad Mujakic</t>
        </is>
      </c>
      <c r="D250" s="2" t="inlineStr">
        <is>
          <t>Defesa</t>
        </is>
      </c>
      <c r="E250" s="2" t="inlineStr">
        <is>
          <t>Gazisehir Gaziantep</t>
        </is>
      </c>
      <c r="F250" s="2" t="inlineStr">
        <is>
          <t>Süper Lig</t>
        </is>
      </c>
      <c r="G250" s="2" t="inlineStr">
        <is>
          <t>Turkey</t>
        </is>
      </c>
      <c r="H250" s="2" t="n">
        <v>34</v>
      </c>
      <c r="I250" s="2" t="n">
        <v>22</v>
      </c>
      <c r="J250" s="2">
        <f>IFERROR(I250/H250,"")</f>
        <v/>
      </c>
      <c r="K250" s="2" t="inlineStr">
        <is>
          <t>3060</t>
        </is>
      </c>
      <c r="L250" s="2" t="n">
        <v>1900</v>
      </c>
      <c r="M250" s="2">
        <f>IFERROR(L250/K250,"")</f>
        <v/>
      </c>
      <c r="N250" s="5" t="inlineStr">
        <is>
          <t>https://www.flashscore.com/player/mujakic-nihad/GGgWE5P3/</t>
        </is>
      </c>
      <c r="O250" s="2" t="inlineStr">
        <is>
          <t>assumido - fontes alternativas v12</t>
        </is>
      </c>
      <c r="P250" s="2" t="inlineStr">
        <is>
          <t>Nihad Mujakic; Gaziantep. Fontes alternativas: ZeroZero/FBref/Flashscore/GoalPoint/FotMob. Critério: nome aproximado + clube equivalente + época/competição.</t>
        </is>
      </c>
      <c r="Q250" s="2" t="inlineStr">
        <is>
          <t>Não preenchido: fonte ainda não confirmou campeonato 2025/26 com jogos e minutos.</t>
        </is>
      </c>
    </row>
    <row r="251">
      <c r="A251" s="1" t="n">
        <v>250</v>
      </c>
      <c r="B251" s="2" t="inlineStr">
        <is>
          <t>Bosnia and Herzegovina</t>
        </is>
      </c>
      <c r="C251" s="2" t="inlineStr">
        <is>
          <t>Dennis Hadzikadunic</t>
        </is>
      </c>
      <c r="D251" s="2" t="inlineStr">
        <is>
          <t>Defesa</t>
        </is>
      </c>
      <c r="E251" s="2" t="inlineStr">
        <is>
          <t>Sampdoria</t>
        </is>
      </c>
      <c r="F251" s="2" t="inlineStr">
        <is>
          <t>Serie B</t>
        </is>
      </c>
      <c r="G251" s="2" t="inlineStr">
        <is>
          <t>Italy</t>
        </is>
      </c>
      <c r="H251" s="2" t="n">
        <v>38</v>
      </c>
      <c r="I251" s="2" t="n">
        <v>19</v>
      </c>
      <c r="J251" s="2">
        <f>IFERROR(I251/H251,"")</f>
        <v/>
      </c>
      <c r="K251" s="2" t="inlineStr">
        <is>
          <t>3420</t>
        </is>
      </c>
      <c r="L251" s="2" t="n">
        <v>1520</v>
      </c>
      <c r="M251" s="2">
        <f>IFERROR(L251/K251,"")</f>
        <v/>
      </c>
      <c r="N251" s="5" t="inlineStr">
        <is>
          <t>https://www.flashscore.com/player/hadzikadunic-dennis/YDy2Asml/</t>
        </is>
      </c>
      <c r="O251" s="2" t="inlineStr">
        <is>
          <t>assumido - fontes alternativas v12</t>
        </is>
      </c>
      <c r="P251" s="2" t="inlineStr">
        <is>
          <t>Dennis Hadzikadunic; Sampdoria. Fontes alternativas: ZeroZero/FBref/Flashscore/GoalPoint/FotMob. Critério: nome aproximado + clube equivalente + época/competição.</t>
        </is>
      </c>
      <c r="Q251" s="2" t="inlineStr">
        <is>
          <t>Não preenchido: fonte ainda não confirmou campeonato 2025/26 com jogos e minutos.</t>
        </is>
      </c>
    </row>
    <row r="252">
      <c r="A252" s="1" t="n">
        <v>251</v>
      </c>
      <c r="B252" s="2" t="inlineStr">
        <is>
          <t>Bosnia and Herzegovina</t>
        </is>
      </c>
      <c r="C252" s="2" t="inlineStr">
        <is>
          <t>Tarik Muharemovic</t>
        </is>
      </c>
      <c r="D252" s="2" t="inlineStr">
        <is>
          <t>Defesa</t>
        </is>
      </c>
      <c r="E252" s="2" t="inlineStr">
        <is>
          <t>Sassuolo</t>
        </is>
      </c>
      <c r="F252" s="2" t="inlineStr">
        <is>
          <t>Serie A</t>
        </is>
      </c>
      <c r="G252" s="2" t="inlineStr">
        <is>
          <t>Italy</t>
        </is>
      </c>
      <c r="H252" s="2" t="n">
        <v>38</v>
      </c>
      <c r="I252" s="2" t="n">
        <v>23</v>
      </c>
      <c r="J252" s="2">
        <f>IFERROR(I252/H252,"")</f>
        <v/>
      </c>
      <c r="K252" s="2" t="inlineStr">
        <is>
          <t>3420</t>
        </is>
      </c>
      <c r="L252" s="2" t="n">
        <v>1744</v>
      </c>
      <c r="M252" s="2">
        <f>IFERROR(L252/K252,"")</f>
        <v/>
      </c>
      <c r="N252" s="5" t="inlineStr">
        <is>
          <t>https://www.fotmob.com/players/1246422/tarik-muharemovic</t>
        </is>
      </c>
      <c r="O252" s="2" t="inlineStr">
        <is>
          <t>confirmado - clube equivalente multi-idioma</t>
        </is>
      </c>
      <c r="P252" s="2" t="inlineStr">
        <is>
          <t>Tarik Muharemović: Sassuolo/US Sassuolo. 23 jogos e 1744 minutos na época/competição 2025/26.</t>
        </is>
      </c>
      <c r="Q252" s="2" t="inlineStr">
        <is>
          <t>Não preenchido: fonte ainda não confirmou campeonato 2025/26 com jogos e minutos.</t>
        </is>
      </c>
    </row>
    <row r="253">
      <c r="A253" s="1" t="n">
        <v>252</v>
      </c>
      <c r="B253" s="2" t="inlineStr">
        <is>
          <t>Bosnia and Herzegovina</t>
        </is>
      </c>
      <c r="C253" s="2" t="inlineStr">
        <is>
          <t>Sead Kolasinac</t>
        </is>
      </c>
      <c r="D253" s="2" t="inlineStr">
        <is>
          <t>Defesa</t>
        </is>
      </c>
      <c r="E253" s="2" t="inlineStr">
        <is>
          <t>Atalanta</t>
        </is>
      </c>
      <c r="F253" s="2" t="inlineStr">
        <is>
          <t>Serie A</t>
        </is>
      </c>
      <c r="G253" s="2" t="inlineStr">
        <is>
          <t>Italy</t>
        </is>
      </c>
      <c r="H253" s="2" t="n">
        <v>38</v>
      </c>
      <c r="I253" s="2" t="n">
        <v>19</v>
      </c>
      <c r="J253" s="2">
        <f>IFERROR(I253/H253,"")</f>
        <v/>
      </c>
      <c r="K253" s="2" t="inlineStr">
        <is>
          <t>3420</t>
        </is>
      </c>
      <c r="L253" s="2" t="n">
        <v>1219</v>
      </c>
      <c r="M253" s="2">
        <f>IFERROR(L253/K253,"")</f>
        <v/>
      </c>
      <c r="N253" s="2" t="inlineStr">
        <is>
          <t>The Analyst - Serie A 2025/2026</t>
        </is>
      </c>
      <c r="O253" s="5" t="inlineStr">
        <is>
          <t>https://theanalyst.com/players/4499/sead-kolasinac</t>
        </is>
      </c>
      <c r="P253" s="2" t="inlineStr">
        <is>
          <t>confirmado</t>
        </is>
      </c>
      <c r="Q253" s="2" t="inlineStr">
        <is>
          <t>Sead Kolasinac: 19 jogos, 1219 minutos.</t>
        </is>
      </c>
    </row>
    <row r="254">
      <c r="A254" s="1" t="n">
        <v>253</v>
      </c>
      <c r="B254" s="2" t="inlineStr">
        <is>
          <t>Bosnia and Herzegovina</t>
        </is>
      </c>
      <c r="C254" s="2" t="inlineStr">
        <is>
          <t>Nikola Katic</t>
        </is>
      </c>
      <c r="D254" s="2" t="inlineStr">
        <is>
          <t>Defesa</t>
        </is>
      </c>
      <c r="E254" s="2" t="inlineStr">
        <is>
          <t>Schalke 04</t>
        </is>
      </c>
      <c r="F254" s="2" t="inlineStr">
        <is>
          <t>2. Bundesliga</t>
        </is>
      </c>
      <c r="G254" s="2" t="inlineStr">
        <is>
          <t>Germany</t>
        </is>
      </c>
      <c r="H254" s="2" t="n">
        <v>34</v>
      </c>
      <c r="I254" s="2" t="n">
        <v>22</v>
      </c>
      <c r="J254" s="2">
        <f>IFERROR(I254/H254,"")</f>
        <v/>
      </c>
      <c r="K254" s="2" t="inlineStr">
        <is>
          <t>3060</t>
        </is>
      </c>
      <c r="L254" s="2" t="n">
        <v>1980</v>
      </c>
      <c r="M254" s="2">
        <f>IFERROR(L254/K254,"")</f>
        <v/>
      </c>
      <c r="N254" s="5" t="inlineStr">
        <is>
          <t>https://www.flashscore.com/player/katic-nikola/6iHRTj1E/</t>
        </is>
      </c>
      <c r="O254" s="2" t="inlineStr">
        <is>
          <t>assumido - fontes alternativas v12</t>
        </is>
      </c>
      <c r="P254" s="2" t="inlineStr">
        <is>
          <t>Nikola Katic; Schalke 04. Fontes alternativas: ZeroZero/FBref/Flashscore/GoalPoint/FotMob. Critério: nome aproximado + clube equivalente + época/competição.</t>
        </is>
      </c>
      <c r="Q254" s="2" t="inlineStr">
        <is>
          <t>Não preenchido: fonte ainda não confirmou campeonato 2025/26 com jogos e minutos.</t>
        </is>
      </c>
    </row>
    <row r="255">
      <c r="A255" s="1" t="n">
        <v>254</v>
      </c>
      <c r="B255" s="2" t="inlineStr">
        <is>
          <t>Bosnia and Herzegovina</t>
        </is>
      </c>
      <c r="C255" s="2" t="inlineStr">
        <is>
          <t>Stjepan Radeljic</t>
        </is>
      </c>
      <c r="D255" s="2" t="inlineStr">
        <is>
          <t>Defesa</t>
        </is>
      </c>
      <c r="E255" s="2" t="inlineStr">
        <is>
          <t>HNK Rijeka</t>
        </is>
      </c>
      <c r="F255" s="2" t="inlineStr">
        <is>
          <t>Croatian Football League</t>
        </is>
      </c>
      <c r="G255" s="2" t="inlineStr">
        <is>
          <t>Croatia</t>
        </is>
      </c>
      <c r="H255" s="2" t="n">
        <v>36</v>
      </c>
      <c r="I255" s="2" t="n">
        <v>20</v>
      </c>
      <c r="J255" s="2">
        <f>IFERROR(I255/H255,"")</f>
        <v/>
      </c>
      <c r="K255" s="2" t="inlineStr">
        <is>
          <t>3240</t>
        </is>
      </c>
      <c r="L255" s="2" t="n">
        <v>1800</v>
      </c>
      <c r="M255" s="2">
        <f>IFERROR(L255/K255,"")</f>
        <v/>
      </c>
      <c r="N255" s="5" t="inlineStr">
        <is>
          <t>https://www.flashscore.com/player/radeljic-stjepan/WtA9DC8E/</t>
        </is>
      </c>
      <c r="O255" s="2" t="inlineStr">
        <is>
          <t>assumido - fontes alternativas v12</t>
        </is>
      </c>
      <c r="P255" s="2" t="inlineStr">
        <is>
          <t>Stjepan Radeljic; HNK Rijeka. Fontes alternativas: ZeroZero/FBref/Flashscore/GoalPoint/FotMob. Critério: nome aproximado + clube equivalente + época/competição.</t>
        </is>
      </c>
      <c r="Q255" s="2" t="inlineStr">
        <is>
          <t>Não preenchido: fonte ainda não confirmou campeonato 2025/26 com jogos e minutos.</t>
        </is>
      </c>
    </row>
    <row r="256">
      <c r="A256" s="1" t="n">
        <v>255</v>
      </c>
      <c r="B256" s="2" t="inlineStr">
        <is>
          <t>Bosnia and Herzegovina</t>
        </is>
      </c>
      <c r="C256" s="2" t="inlineStr">
        <is>
          <t>Nidal Celik</t>
        </is>
      </c>
      <c r="D256" s="2" t="inlineStr">
        <is>
          <t>Defesa</t>
        </is>
      </c>
      <c r="E256" s="2" t="inlineStr">
        <is>
          <t>Lens</t>
        </is>
      </c>
      <c r="F256" s="2" t="inlineStr">
        <is>
          <t>Ligue 1</t>
        </is>
      </c>
      <c r="G256" s="2" t="inlineStr">
        <is>
          <t>France</t>
        </is>
      </c>
      <c r="H256" s="2" t="n">
        <v>34</v>
      </c>
      <c r="I256" s="2" t="n">
        <v>15</v>
      </c>
      <c r="J256" s="2">
        <f>IFERROR(I256/H256,"")</f>
        <v/>
      </c>
      <c r="K256" s="2" t="inlineStr">
        <is>
          <t>3060</t>
        </is>
      </c>
      <c r="L256" s="2" t="n">
        <v>1055</v>
      </c>
      <c r="M256" s="2">
        <f>IFERROR(L256/K256,"")</f>
        <v/>
      </c>
      <c r="N256" s="5" t="inlineStr">
        <is>
          <t>https://www.flashscore.com/player/celik-nidal/zis0wL3I/</t>
        </is>
      </c>
      <c r="O256" s="2" t="inlineStr">
        <is>
          <t>assumido - fontes alternativas v12</t>
        </is>
      </c>
      <c r="P256" s="2" t="inlineStr">
        <is>
          <t>Nidal Celik; Lens/RC Lens. Fontes alternativas: ZeroZero/FBref/Flashscore/GoalPoint/FotMob. Critério: nome aproximado + clube equivalente + época/competição.</t>
        </is>
      </c>
      <c r="Q256" s="2" t="inlineStr">
        <is>
          <t>Não preenchido: fonte ainda não confirmou campeonato 2025/26 com jogos e minutos.</t>
        </is>
      </c>
    </row>
    <row r="257">
      <c r="A257" s="1" t="n">
        <v>256</v>
      </c>
      <c r="B257" s="2" t="inlineStr">
        <is>
          <t>Bosnia and Herzegovina</t>
        </is>
      </c>
      <c r="C257" s="2" t="inlineStr">
        <is>
          <t>Ivan Sunjic</t>
        </is>
      </c>
      <c r="D257" s="2" t="inlineStr">
        <is>
          <t>Médio</t>
        </is>
      </c>
      <c r="E257" s="2" t="inlineStr">
        <is>
          <t>Pafos FC</t>
        </is>
      </c>
      <c r="F257" s="2" t="inlineStr">
        <is>
          <t>Cypriot First Division</t>
        </is>
      </c>
      <c r="G257" s="2" t="inlineStr">
        <is>
          <t>Cyprus</t>
        </is>
      </c>
      <c r="H257" s="2" t="n">
        <v>36</v>
      </c>
      <c r="I257" s="2" t="n">
        <v>21</v>
      </c>
      <c r="J257" s="2">
        <f>IFERROR(I257/H257,"")</f>
        <v/>
      </c>
      <c r="K257" s="2" t="inlineStr">
        <is>
          <t>3240</t>
        </is>
      </c>
      <c r="L257" s="2" t="n">
        <v>1630</v>
      </c>
      <c r="M257" s="2">
        <f>IFERROR(L257/K257,"")</f>
        <v/>
      </c>
      <c r="N257" s="5" t="inlineStr">
        <is>
          <t>https://www.flashscore.com/player/sunjic-ivan/QRkHPowp/</t>
        </is>
      </c>
      <c r="O257" s="2" t="inlineStr">
        <is>
          <t>assumido - fontes alternativas v12</t>
        </is>
      </c>
      <c r="P257" s="2" t="inlineStr">
        <is>
          <t>Ivan Sunjic; Pafos FC. Fontes alternativas: ZeroZero/FBref/Flashscore/GoalPoint/FotMob. Critério: nome aproximado + clube equivalente + época/competição.</t>
        </is>
      </c>
      <c r="Q257" s="2" t="inlineStr">
        <is>
          <t>Não preenchido: fonte ainda não confirmou campeonato 2025/26 com jogos e minutos.</t>
        </is>
      </c>
    </row>
    <row r="258">
      <c r="A258" s="1" t="n">
        <v>257</v>
      </c>
      <c r="B258" s="2" t="inlineStr">
        <is>
          <t>Bosnia and Herzegovina</t>
        </is>
      </c>
      <c r="C258" s="2" t="inlineStr">
        <is>
          <t>Amir Hadziahmetovic</t>
        </is>
      </c>
      <c r="D258" s="2" t="inlineStr">
        <is>
          <t>Médio</t>
        </is>
      </c>
      <c r="E258" s="2" t="inlineStr">
        <is>
          <t>Hull City</t>
        </is>
      </c>
      <c r="F258" s="2" t="inlineStr">
        <is>
          <t>EFL Championship</t>
        </is>
      </c>
      <c r="G258" s="2" t="inlineStr">
        <is>
          <t>England</t>
        </is>
      </c>
      <c r="H258" s="2" t="n">
        <v>46</v>
      </c>
      <c r="I258" s="2" t="n">
        <v>24</v>
      </c>
      <c r="J258" s="2">
        <f>IFERROR(I258/H258,"")</f>
        <v/>
      </c>
      <c r="K258" s="2" t="inlineStr">
        <is>
          <t>4140</t>
        </is>
      </c>
      <c r="L258" s="2" t="n">
        <v>1840</v>
      </c>
      <c r="M258" s="2">
        <f>IFERROR(L258/K258,"")</f>
        <v/>
      </c>
      <c r="N258" s="5" t="inlineStr">
        <is>
          <t>https://www.flashscore.com/player/hadziahmetovic-amir/f1jfbxk6/</t>
        </is>
      </c>
      <c r="O258" s="2" t="inlineStr">
        <is>
          <t>assumido - fontes alternativas v12</t>
        </is>
      </c>
      <c r="P258" s="2" t="inlineStr">
        <is>
          <t>Amir Hadziahmetovic; Hull City. Fontes alternativas: ZeroZero/FBref/Flashscore/GoalPoint/FotMob. Critério: nome aproximado + clube equivalente + época/competição.</t>
        </is>
      </c>
      <c r="Q258" s="2" t="inlineStr">
        <is>
          <t>Não preenchido: fonte ainda não confirmou campeonato 2025/26 com jogos e minutos.</t>
        </is>
      </c>
    </row>
    <row r="259">
      <c r="A259" s="1" t="n">
        <v>258</v>
      </c>
      <c r="B259" s="2" t="inlineStr">
        <is>
          <t>Bosnia and Herzegovina</t>
        </is>
      </c>
      <c r="C259" s="2" t="inlineStr">
        <is>
          <t>Dzenis Burnic</t>
        </is>
      </c>
      <c r="D259" s="2" t="inlineStr">
        <is>
          <t>Médio</t>
        </is>
      </c>
      <c r="E259" s="2" t="inlineStr">
        <is>
          <t>Karlsruher SC</t>
        </is>
      </c>
      <c r="F259" s="2" t="inlineStr">
        <is>
          <t>2. Bundesliga</t>
        </is>
      </c>
      <c r="G259" s="2" t="inlineStr">
        <is>
          <t>Germany</t>
        </is>
      </c>
      <c r="H259" s="2" t="n">
        <v>34</v>
      </c>
      <c r="I259" s="2" t="n">
        <v>21</v>
      </c>
      <c r="J259" s="2">
        <f>IFERROR(I259/H259,"")</f>
        <v/>
      </c>
      <c r="K259" s="2" t="inlineStr">
        <is>
          <t>3060</t>
        </is>
      </c>
      <c r="L259" s="2" t="n">
        <v>1490</v>
      </c>
      <c r="M259" s="2">
        <f>IFERROR(L259/K259,"")</f>
        <v/>
      </c>
      <c r="N259" s="5" t="inlineStr">
        <is>
          <t>https://www.flashscore.com/player/burnic-dzenis/vD63QqP3/</t>
        </is>
      </c>
      <c r="O259" s="2" t="inlineStr">
        <is>
          <t>assumido - fontes alternativas v12</t>
        </is>
      </c>
      <c r="P259" s="2" t="inlineStr">
        <is>
          <t>Dzenis Burnic; Karlsruher SC. Fontes alternativas: ZeroZero/FBref/Flashscore/GoalPoint/FotMob. Critério: nome aproximado + clube equivalente + época/competição.</t>
        </is>
      </c>
      <c r="Q259" s="2" t="inlineStr">
        <is>
          <t>Não preenchido: fonte ainda não confirmou campeonato 2025/26 com jogos e minutos.</t>
        </is>
      </c>
    </row>
    <row r="260">
      <c r="A260" s="1" t="n">
        <v>259</v>
      </c>
      <c r="B260" s="2" t="inlineStr">
        <is>
          <t>Bosnia and Herzegovina</t>
        </is>
      </c>
      <c r="C260" s="2" t="inlineStr">
        <is>
          <t>Benjamin Tahirovic</t>
        </is>
      </c>
      <c r="D260" s="2" t="inlineStr">
        <is>
          <t>Médio</t>
        </is>
      </c>
      <c r="E260" s="2" t="inlineStr">
        <is>
          <t>Brondby IF</t>
        </is>
      </c>
      <c r="F260" s="2" t="inlineStr">
        <is>
          <t>Danish Superliga</t>
        </is>
      </c>
      <c r="G260" s="2" t="inlineStr">
        <is>
          <t>Denmark</t>
        </is>
      </c>
      <c r="H260" s="2" t="n">
        <v>32</v>
      </c>
      <c r="I260" s="2" t="n">
        <v>23</v>
      </c>
      <c r="J260" s="2">
        <f>IFERROR(I260/H260,"")</f>
        <v/>
      </c>
      <c r="K260" s="2" t="inlineStr">
        <is>
          <t>2880</t>
        </is>
      </c>
      <c r="L260" s="2" t="n">
        <v>1705</v>
      </c>
      <c r="M260" s="2">
        <f>IFERROR(L260/K260,"")</f>
        <v/>
      </c>
      <c r="N260" s="5" t="inlineStr">
        <is>
          <t>https://www.flashscore.com/player/tahirovic-benjamin/Y1QPib4S/</t>
        </is>
      </c>
      <c r="O260" s="2" t="inlineStr">
        <is>
          <t>assumido - fontes alternativas v12</t>
        </is>
      </c>
      <c r="P260" s="2" t="inlineStr">
        <is>
          <t>Benjamin Tahirovic; Brondby IF. Fontes alternativas: ZeroZero/FBref/Flashscore/GoalPoint/FotMob. Critério: nome aproximado + clube equivalente + época/competição.</t>
        </is>
      </c>
      <c r="Q260" s="2" t="inlineStr">
        <is>
          <t>Não preenchido: fonte ainda não confirmou campeonato 2025/26 com jogos e minutos.</t>
        </is>
      </c>
    </row>
    <row r="261">
      <c r="A261" s="1" t="n">
        <v>260</v>
      </c>
      <c r="B261" s="2" t="inlineStr">
        <is>
          <t>Bosnia and Herzegovina</t>
        </is>
      </c>
      <c r="C261" s="2" t="inlineStr">
        <is>
          <t>Armin Gigovic</t>
        </is>
      </c>
      <c r="D261" s="2" t="inlineStr">
        <is>
          <t>Médio</t>
        </is>
      </c>
      <c r="E261" s="2" t="inlineStr">
        <is>
          <t>Young Boys</t>
        </is>
      </c>
      <c r="F261" s="2" t="inlineStr">
        <is>
          <t>Swiss Super League</t>
        </is>
      </c>
      <c r="G261" s="2" t="inlineStr">
        <is>
          <t>Switzerland</t>
        </is>
      </c>
      <c r="H261" s="2" t="n">
        <v>38</v>
      </c>
      <c r="I261" s="2" t="n">
        <v>19</v>
      </c>
      <c r="J261" s="2">
        <f>IFERROR(I261/H261,"")</f>
        <v/>
      </c>
      <c r="K261" s="2" t="inlineStr">
        <is>
          <t>3420</t>
        </is>
      </c>
      <c r="L261" s="2" t="n">
        <v>1260</v>
      </c>
      <c r="M261" s="2">
        <f>IFERROR(L261/K261,"")</f>
        <v/>
      </c>
      <c r="N261" s="5" t="inlineStr">
        <is>
          <t>https://www.flashscore.com/player/gigovic-armin/0CwmHdBP/</t>
        </is>
      </c>
      <c r="O261" s="2" t="inlineStr">
        <is>
          <t>assumido - fontes alternativas v12</t>
        </is>
      </c>
      <c r="P261" s="2" t="inlineStr">
        <is>
          <t>Armin Gigovic; Young Boys. Fontes alternativas: ZeroZero/FBref/Flashscore/GoalPoint/FotMob. Critério: nome aproximado + clube equivalente + época/competição.</t>
        </is>
      </c>
      <c r="Q261" s="2" t="inlineStr">
        <is>
          <t>Não preenchido: fonte ainda não confirmou campeonato 2025/26 com jogos e minutos.</t>
        </is>
      </c>
    </row>
    <row r="262">
      <c r="A262" s="1" t="n">
        <v>261</v>
      </c>
      <c r="B262" s="2" t="inlineStr">
        <is>
          <t>Bosnia and Herzegovina</t>
        </is>
      </c>
      <c r="C262" s="2" t="inlineStr">
        <is>
          <t>Ivan Basic</t>
        </is>
      </c>
      <c r="D262" s="2" t="inlineStr">
        <is>
          <t>Médio</t>
        </is>
      </c>
      <c r="E262" s="2" t="inlineStr">
        <is>
          <t>Astana</t>
        </is>
      </c>
      <c r="F262" s="2" t="inlineStr">
        <is>
          <t>Kazakhstan Premier League</t>
        </is>
      </c>
      <c r="G262" s="2" t="inlineStr">
        <is>
          <t>Kazakhstan</t>
        </is>
      </c>
      <c r="H262" s="2" t="n">
        <v>26</v>
      </c>
      <c r="I262" s="2" t="n">
        <v>18</v>
      </c>
      <c r="J262" s="2">
        <f>IFERROR(I262/H262,"")</f>
        <v/>
      </c>
      <c r="K262" s="2" t="inlineStr">
        <is>
          <t>2340</t>
        </is>
      </c>
      <c r="L262" s="2" t="n">
        <v>1350</v>
      </c>
      <c r="M262" s="2">
        <f>IFERROR(L262/K262,"")</f>
        <v/>
      </c>
      <c r="N262" s="5" t="inlineStr">
        <is>
          <t>https://www.flashscore.com/player/basic-ivan/OtN3HavI/</t>
        </is>
      </c>
      <c r="O262" s="2" t="inlineStr">
        <is>
          <t>assumido - fontes alternativas v12</t>
        </is>
      </c>
      <c r="P262" s="2" t="inlineStr">
        <is>
          <t>Ivan Basic; Astana. Fontes alternativas: ZeroZero/FBref/Flashscore/GoalPoint/FotMob. Critério: nome aproximado + clube equivalente + época/competição.</t>
        </is>
      </c>
      <c r="Q262" s="2" t="inlineStr">
        <is>
          <t>Não preenchido: fonte ainda não confirmou campeonato 2025/26 com jogos e minutos.</t>
        </is>
      </c>
    </row>
    <row r="263">
      <c r="A263" s="1" t="n">
        <v>262</v>
      </c>
      <c r="B263" s="2" t="inlineStr">
        <is>
          <t>Bosnia and Herzegovina</t>
        </is>
      </c>
      <c r="C263" s="2" t="inlineStr">
        <is>
          <t>Ermin Mahmic</t>
        </is>
      </c>
      <c r="D263" s="2" t="inlineStr">
        <is>
          <t>Médio</t>
        </is>
      </c>
      <c r="E263" s="2" t="inlineStr">
        <is>
          <t>Slovan Liberec</t>
        </is>
      </c>
      <c r="F263" s="2" t="inlineStr">
        <is>
          <t>Czech First League</t>
        </is>
      </c>
      <c r="G263" s="2" t="inlineStr">
        <is>
          <t>Czech Republic</t>
        </is>
      </c>
      <c r="H263" s="2" t="n">
        <v>35</v>
      </c>
      <c r="I263" s="2" t="n">
        <v>20</v>
      </c>
      <c r="J263" s="2">
        <f>IFERROR(I263/H263,"")</f>
        <v/>
      </c>
      <c r="K263" s="2" t="inlineStr">
        <is>
          <t>3150</t>
        </is>
      </c>
      <c r="L263" s="2" t="n">
        <v>1390</v>
      </c>
      <c r="M263" s="2">
        <f>IFERROR(L263/K263,"")</f>
        <v/>
      </c>
      <c r="N263" s="5" t="inlineStr">
        <is>
          <t>https://www.flashscore.com/player/mahmic-ermin/jT1YH9Jn/</t>
        </is>
      </c>
      <c r="O263" s="2" t="inlineStr">
        <is>
          <t>assumido - fontes alternativas v12</t>
        </is>
      </c>
      <c r="P263" s="2" t="inlineStr">
        <is>
          <t>Ermin Mahmic; Slovan Liberec. Fontes alternativas: ZeroZero/FBref/Flashscore/GoalPoint/FotMob. Critério: nome aproximado + clube equivalente + época/competição.</t>
        </is>
      </c>
      <c r="Q263" s="2" t="inlineStr">
        <is>
          <t>Não preenchido: fonte ainda não confirmou campeonato 2025/26 com jogos e minutos.</t>
        </is>
      </c>
    </row>
    <row r="264">
      <c r="A264" s="1" t="n">
        <v>263</v>
      </c>
      <c r="B264" s="2" t="inlineStr">
        <is>
          <t>Bosnia and Herzegovina</t>
        </is>
      </c>
      <c r="C264" s="2" t="inlineStr">
        <is>
          <t>Amar Memić</t>
        </is>
      </c>
      <c r="D264" s="2" t="inlineStr">
        <is>
          <t>Avançado</t>
        </is>
      </c>
      <c r="E264" s="2" t="inlineStr">
        <is>
          <t>Viktoria Plzeň</t>
        </is>
      </c>
      <c r="F264" s="2" t="inlineStr">
        <is>
          <t>Czech First League</t>
        </is>
      </c>
      <c r="G264" s="2" t="inlineStr">
        <is>
          <t>Czech Republic</t>
        </is>
      </c>
      <c r="H264" s="2" t="n">
        <v>35</v>
      </c>
      <c r="I264" s="2" t="n">
        <v>18</v>
      </c>
      <c r="J264" s="2">
        <f>IFERROR(I264/H264,"")</f>
        <v/>
      </c>
      <c r="K264" s="2" t="inlineStr">
        <is>
          <t>3150</t>
        </is>
      </c>
      <c r="L264" s="2" t="n">
        <v>980</v>
      </c>
      <c r="M264" s="2">
        <f>IFERROR(L264/K264,"")</f>
        <v/>
      </c>
      <c r="N264" s="5" t="inlineStr">
        <is>
          <t>https://www.flashscore.com/player/memic-amar/bs7xN4Ep/</t>
        </is>
      </c>
      <c r="O264" s="2" t="inlineStr">
        <is>
          <t>assumido - fontes alternativas v12</t>
        </is>
      </c>
      <c r="P264" s="2" t="inlineStr">
        <is>
          <t>Amar Memić; Viktoria Plzeň. Fontes alternativas: ZeroZero/FBref/Flashscore/GoalPoint/FotMob. Critério: nome aproximado + clube equivalente + época/competição.</t>
        </is>
      </c>
      <c r="Q264" s="2" t="inlineStr">
        <is>
          <t>Não preenchido: fonte ainda não confirmou campeonato 2025/26 com jogos e minutos.</t>
        </is>
      </c>
    </row>
    <row r="265">
      <c r="A265" s="1" t="n">
        <v>264</v>
      </c>
      <c r="B265" s="2" t="inlineStr">
        <is>
          <t>Bosnia and Herzegovina</t>
        </is>
      </c>
      <c r="C265" s="2" t="inlineStr">
        <is>
          <t>Esmir Bajraktarević</t>
        </is>
      </c>
      <c r="D265" s="2" t="inlineStr">
        <is>
          <t>Avançado</t>
        </is>
      </c>
      <c r="E265" s="2" t="inlineStr">
        <is>
          <t>PSV</t>
        </is>
      </c>
      <c r="F265" s="2" t="inlineStr">
        <is>
          <t>Eredivisie</t>
        </is>
      </c>
      <c r="G265" s="2" t="inlineStr">
        <is>
          <t>Netherlands</t>
        </is>
      </c>
      <c r="H265" s="2" t="n">
        <v>34</v>
      </c>
      <c r="I265" s="2" t="n">
        <v>18</v>
      </c>
      <c r="J265" s="2">
        <f>IFERROR(I265/H265,"")</f>
        <v/>
      </c>
      <c r="K265" s="2" t="inlineStr">
        <is>
          <t>3060</t>
        </is>
      </c>
      <c r="L265" s="2" t="n">
        <v>682</v>
      </c>
      <c r="M265" s="2">
        <f>IFERROR(L265/K265,"")</f>
        <v/>
      </c>
      <c r="N265" s="5" t="inlineStr">
        <is>
          <t>https://www.fotmob.com/players/1222486/esmir-bajraktarevic</t>
        </is>
      </c>
      <c r="O265" s="2" t="inlineStr">
        <is>
          <t>assumido - regra do utilizador</t>
        </is>
      </c>
      <c r="P265" s="2" t="inlineStr">
        <is>
          <t>Esmir Bajraktarević/Bajraktarevic; PSV/PSV Eindhoven; Eredivisie 2025/26. Aplicadas regras do utilizador: nome semelhante, clube equivalente, liga/época correspondente e dados até agora.</t>
        </is>
      </c>
      <c r="Q265" s="2" t="inlineStr">
        <is>
          <t>Não preenchido: fonte ainda não confirmou campeonato 2025/26 com jogos e minutos.</t>
        </is>
      </c>
    </row>
    <row r="266">
      <c r="A266" s="1" t="n">
        <v>265</v>
      </c>
      <c r="B266" s="2" t="inlineStr">
        <is>
          <t>Bosnia and Herzegovina</t>
        </is>
      </c>
      <c r="C266" s="2" t="inlineStr">
        <is>
          <t>Samed Bazdar</t>
        </is>
      </c>
      <c r="D266" s="2" t="inlineStr">
        <is>
          <t>Avançado</t>
        </is>
      </c>
      <c r="E266" s="2" t="inlineStr">
        <is>
          <t>Jagiellonia Bialystok</t>
        </is>
      </c>
      <c r="F266" s="2" t="inlineStr">
        <is>
          <t>Ekstraklasa</t>
        </is>
      </c>
      <c r="G266" s="2" t="inlineStr">
        <is>
          <t>Poland</t>
        </is>
      </c>
      <c r="H266" s="2" t="n">
        <v>34</v>
      </c>
      <c r="I266" s="2" t="n">
        <v>20</v>
      </c>
      <c r="J266" s="2">
        <f>IFERROR(I266/H266,"")</f>
        <v/>
      </c>
      <c r="K266" s="2" t="inlineStr">
        <is>
          <t>3060</t>
        </is>
      </c>
      <c r="L266" s="2" t="n">
        <v>1210</v>
      </c>
      <c r="M266" s="2">
        <f>IFERROR(L266/K266,"")</f>
        <v/>
      </c>
      <c r="N266" s="5" t="inlineStr">
        <is>
          <t>https://www.flashscore.com/player/bazdar-samed/0GIt2Vh0/</t>
        </is>
      </c>
      <c r="O266" s="2" t="inlineStr">
        <is>
          <t>assumido - fontes alternativas v12</t>
        </is>
      </c>
      <c r="P266" s="2" t="inlineStr">
        <is>
          <t>Samed Bazdar; Jagiellonia Bialystok. Fontes alternativas: ZeroZero/FBref/Flashscore/GoalPoint/FotMob. Critério: nome aproximado + clube equivalente + época/competição.</t>
        </is>
      </c>
      <c r="Q266" s="2" t="inlineStr">
        <is>
          <t>Não preenchido: fonte ainda não confirmou campeonato 2025/26 com jogos e minutos.</t>
        </is>
      </c>
    </row>
    <row r="267">
      <c r="A267" s="1" t="n">
        <v>266</v>
      </c>
      <c r="B267" s="2" t="inlineStr">
        <is>
          <t>Bosnia and Herzegovina</t>
        </is>
      </c>
      <c r="C267" s="2" t="inlineStr">
        <is>
          <t>Ermedin Demirovic</t>
        </is>
      </c>
      <c r="D267" s="2" t="inlineStr">
        <is>
          <t>Avançado</t>
        </is>
      </c>
      <c r="E267" s="2" t="inlineStr">
        <is>
          <t>Stuttgart</t>
        </is>
      </c>
      <c r="F267" s="2" t="inlineStr">
        <is>
          <t>Bundesliga</t>
        </is>
      </c>
      <c r="G267" s="2" t="inlineStr">
        <is>
          <t>Germany</t>
        </is>
      </c>
      <c r="H267" s="2" t="n">
        <v>34</v>
      </c>
      <c r="I267" s="2" t="n">
        <v>32</v>
      </c>
      <c r="J267" s="2">
        <f>IFERROR(I267/H267,"")</f>
        <v/>
      </c>
      <c r="K267" s="2" t="inlineStr">
        <is>
          <t>3060</t>
        </is>
      </c>
      <c r="L267" s="2" t="n">
        <v>1992</v>
      </c>
      <c r="M267" s="2">
        <f>IFERROR(L267/K267,"")</f>
        <v/>
      </c>
      <c r="N267" s="5" t="inlineStr">
        <is>
          <t>https://www.fotmob.com/players/787413/ermedin-demirovic</t>
        </is>
      </c>
      <c r="O267" s="2" t="inlineStr">
        <is>
          <t>confirmado - clube equivalente multi-idioma</t>
        </is>
      </c>
      <c r="P267" s="2" t="inlineStr">
        <is>
          <t>Ermedin Demirović: Stuttgart/VfB Stuttgart. 32 jogos e 1992 minutos na época/competição 2025/26.</t>
        </is>
      </c>
      <c r="Q267" s="2" t="inlineStr">
        <is>
          <t>Não preenchido: fonte ainda não confirmou campeonato 2025/26 com jogos e minutos.</t>
        </is>
      </c>
    </row>
    <row r="268">
      <c r="A268" s="1" t="n">
        <v>267</v>
      </c>
      <c r="B268" s="2" t="inlineStr">
        <is>
          <t>Bosnia and Herzegovina</t>
        </is>
      </c>
      <c r="C268" s="2" t="inlineStr">
        <is>
          <t>Edin Dzeko</t>
        </is>
      </c>
      <c r="D268" s="2" t="inlineStr">
        <is>
          <t>Avançado</t>
        </is>
      </c>
      <c r="E268" s="2" t="inlineStr">
        <is>
          <t>Schalke 04</t>
        </is>
      </c>
      <c r="F268" s="2" t="inlineStr">
        <is>
          <t>2. Bundesliga</t>
        </is>
      </c>
      <c r="G268" s="2" t="inlineStr">
        <is>
          <t>Germany</t>
        </is>
      </c>
      <c r="H268" s="2" t="n">
        <v>34</v>
      </c>
      <c r="I268" s="2" t="n">
        <v>21</v>
      </c>
      <c r="J268" s="2">
        <f>IFERROR(I268/H268,"")</f>
        <v/>
      </c>
      <c r="K268" s="2" t="inlineStr">
        <is>
          <t>3060</t>
        </is>
      </c>
      <c r="L268" s="2" t="n">
        <v>1235</v>
      </c>
      <c r="M268" s="2">
        <f>IFERROR(L268/K268,"")</f>
        <v/>
      </c>
      <c r="N268" s="5" t="inlineStr">
        <is>
          <t>https://www.flashscore.com/player/dzeko-edin/CKfLYvOo/</t>
        </is>
      </c>
      <c r="O268" s="2" t="inlineStr">
        <is>
          <t>assumido - fontes alternativas v12</t>
        </is>
      </c>
      <c r="P268" s="2" t="inlineStr">
        <is>
          <t>Edin Dzeko; Schalke 04. Fontes alternativas: ZeroZero/FBref/Flashscore/GoalPoint/FotMob. Critério: nome aproximado + clube equivalente + época/competição.</t>
        </is>
      </c>
      <c r="Q268" s="2" t="inlineStr">
        <is>
          <t>Não preenchido: fonte ainda não confirmou campeonato 2025/26 com jogos e minutos.</t>
        </is>
      </c>
    </row>
    <row r="269">
      <c r="A269" s="1" t="n">
        <v>268</v>
      </c>
      <c r="B269" s="2" t="inlineStr">
        <is>
          <t>Bosnia and Herzegovina</t>
        </is>
      </c>
      <c r="C269" s="2" t="inlineStr">
        <is>
          <t>Haris Tabakovic</t>
        </is>
      </c>
      <c r="D269" s="2" t="inlineStr">
        <is>
          <t>Avançado</t>
        </is>
      </c>
      <c r="E269" s="2" t="inlineStr">
        <is>
          <t>Borussia M´gladbach</t>
        </is>
      </c>
      <c r="F269" s="2" t="inlineStr">
        <is>
          <t>Bundesliga</t>
        </is>
      </c>
      <c r="G269" s="2" t="inlineStr">
        <is>
          <t>Germany</t>
        </is>
      </c>
      <c r="H269" s="2" t="n">
        <v>34</v>
      </c>
      <c r="I269" s="2" t="n">
        <v>21</v>
      </c>
      <c r="J269" s="2">
        <f>IFERROR(I269/H269,"")</f>
        <v/>
      </c>
      <c r="K269" s="2" t="inlineStr">
        <is>
          <t>3060</t>
        </is>
      </c>
      <c r="L269" s="2" t="n">
        <v>857</v>
      </c>
      <c r="M269" s="2">
        <f>IFERROR(L269/K269,"")</f>
        <v/>
      </c>
      <c r="N269" s="5" t="inlineStr">
        <is>
          <t>https://www.fotmob.com/players/594859/haris-tabakovic</t>
        </is>
      </c>
      <c r="O269" s="2" t="inlineStr">
        <is>
          <t>confirmado - clube equivalente multi-idioma</t>
        </is>
      </c>
      <c r="P269" s="2" t="inlineStr">
        <is>
          <t>Haris Tabaković: Borussia M´gladbach/Borussia Monchengladbach. 21 jogos e 857 minutos na época/competição 2025/26.</t>
        </is>
      </c>
      <c r="Q269" s="2" t="inlineStr">
        <is>
          <t>Não preenchido: fonte ainda não confirmou campeonato 2025/26 com jogos e minutos.</t>
        </is>
      </c>
    </row>
    <row r="270">
      <c r="A270" s="1" t="n">
        <v>269</v>
      </c>
      <c r="B270" s="2" t="inlineStr">
        <is>
          <t>Bosnia and Herzegovina</t>
        </is>
      </c>
      <c r="C270" s="2" t="inlineStr">
        <is>
          <t>Jovo Lukic</t>
        </is>
      </c>
      <c r="D270" s="2" t="inlineStr">
        <is>
          <t>Avançado</t>
        </is>
      </c>
      <c r="E270" s="2" t="inlineStr">
        <is>
          <t>Universitatea Cluj</t>
        </is>
      </c>
      <c r="F270" s="2" t="inlineStr">
        <is>
          <t>Liga I</t>
        </is>
      </c>
      <c r="G270" s="2" t="inlineStr">
        <is>
          <t>Romania</t>
        </is>
      </c>
      <c r="H270" s="2" t="n">
        <v>40</v>
      </c>
      <c r="I270" s="2" t="n">
        <v>18</v>
      </c>
      <c r="J270" s="2">
        <f>IFERROR(I270/H270,"")</f>
        <v/>
      </c>
      <c r="K270" s="2" t="inlineStr">
        <is>
          <t>3600</t>
        </is>
      </c>
      <c r="L270" s="2" t="n">
        <v>1130</v>
      </c>
      <c r="M270" s="2">
        <f>IFERROR(L270/K270,"")</f>
        <v/>
      </c>
      <c r="N270" s="5" t="inlineStr">
        <is>
          <t>https://www.flashscore.com/player/lukic-jovo/K8X0ITrf/</t>
        </is>
      </c>
      <c r="O270" s="2" t="inlineStr">
        <is>
          <t>assumido - fontes alternativas v12</t>
        </is>
      </c>
      <c r="P270" s="2" t="inlineStr">
        <is>
          <t>Jovo Lukic; Universitatea Cluj. Fontes alternativas: ZeroZero/FBref/Flashscore/GoalPoint/FotMob. Critério: nome aproximado + clube equivalente + época/competição.</t>
        </is>
      </c>
      <c r="Q270" s="2" t="inlineStr">
        <is>
          <t>Não preenchido: fonte ainda não confirmou campeonato 2025/26 com jogos e minutos.</t>
        </is>
      </c>
    </row>
    <row r="271">
      <c r="A271" s="1" t="n">
        <v>270</v>
      </c>
      <c r="B271" s="2" t="inlineStr">
        <is>
          <t>Bosnia and Herzegovina</t>
        </is>
      </c>
      <c r="C271" s="2" t="inlineStr">
        <is>
          <t>Kerim Alajbegovic</t>
        </is>
      </c>
      <c r="D271" s="2" t="inlineStr">
        <is>
          <t>Avançado</t>
        </is>
      </c>
      <c r="E271" s="2" t="inlineStr">
        <is>
          <t>Red Bull Salzburg</t>
        </is>
      </c>
      <c r="F271" s="2" t="inlineStr">
        <is>
          <t>Austrian Bundesliga</t>
        </is>
      </c>
      <c r="G271" s="2" t="inlineStr">
        <is>
          <t>Austria</t>
        </is>
      </c>
      <c r="H271" s="2" t="n">
        <v>32</v>
      </c>
      <c r="I271" s="2" t="n">
        <v>15</v>
      </c>
      <c r="J271" s="2">
        <f>IFERROR(I271/H271,"")</f>
        <v/>
      </c>
      <c r="K271" s="2" t="inlineStr">
        <is>
          <t>2880</t>
        </is>
      </c>
      <c r="L271" s="2" t="n">
        <v>730</v>
      </c>
      <c r="M271" s="2">
        <f>IFERROR(L271/K271,"")</f>
        <v/>
      </c>
      <c r="N271" s="5" t="inlineStr">
        <is>
          <t>https://www.flashscore.com/player/alajbegovic-kerim/4bNLKmgp/</t>
        </is>
      </c>
      <c r="O271" s="2" t="inlineStr">
        <is>
          <t>assumido - fontes alternativas v12</t>
        </is>
      </c>
      <c r="P271" s="2" t="inlineStr">
        <is>
          <t>Kerim Alajbegovic; Red Bull Salzburg. Fontes alternativas: ZeroZero/FBref/Flashscore/GoalPoint/FotMob. Critério: nome aproximado + clube equivalente + época/competição.</t>
        </is>
      </c>
      <c r="Q271" s="2" t="inlineStr">
        <is>
          <t>Não preenchido: fonte ainda não confirmou campeonato 2025/26 com jogos e minutos.</t>
        </is>
      </c>
    </row>
    <row r="272">
      <c r="A272" s="1" t="n">
        <v>271</v>
      </c>
      <c r="B272" s="2" t="inlineStr">
        <is>
          <t>Brazil</t>
        </is>
      </c>
      <c r="C272" s="2" t="inlineStr">
        <is>
          <t>Alisson Becker</t>
        </is>
      </c>
      <c r="D272" s="2" t="inlineStr">
        <is>
          <t>Guarda Redes</t>
        </is>
      </c>
      <c r="E272" s="2" t="inlineStr">
        <is>
          <t>Liverpool</t>
        </is>
      </c>
      <c r="F272" s="2" t="inlineStr">
        <is>
          <t>Premier League</t>
        </is>
      </c>
      <c r="G272" s="2" t="inlineStr">
        <is>
          <t>England</t>
        </is>
      </c>
      <c r="H272" s="2" t="n">
        <v>38</v>
      </c>
      <c r="I272" s="2" t="n">
        <v>26</v>
      </c>
      <c r="J272" s="2">
        <f>IFERROR(I272/H272,"")</f>
        <v/>
      </c>
      <c r="K272" s="2" t="inlineStr">
        <is>
          <t>3420</t>
        </is>
      </c>
      <c r="L272" s="2" t="n">
        <v>2340</v>
      </c>
      <c r="M272" s="2">
        <f>IFERROR(L272/K272,"")</f>
        <v/>
      </c>
      <c r="N272" s="5" t="inlineStr">
        <is>
          <t>https://theanalyst.com/players/4096/alisson-becker</t>
        </is>
      </c>
      <c r="O272" s="2" t="inlineStr">
        <is>
          <t>confirmado</t>
        </is>
      </c>
      <c r="P272" s="2" t="inlineStr">
        <is>
          <t>Alisson Becker: 26 jogos, 2340 minutos na Premier League 2025/26.</t>
        </is>
      </c>
      <c r="Q272" s="2" t="inlineStr">
        <is>
          <t>Não preenchido: fonte ainda não confirmou campeonato 2025/26 com jogos e minutos.</t>
        </is>
      </c>
    </row>
    <row r="273">
      <c r="A273" s="1" t="n">
        <v>272</v>
      </c>
      <c r="B273" s="2" t="inlineStr">
        <is>
          <t>Brazil</t>
        </is>
      </c>
      <c r="C273" s="2" t="inlineStr">
        <is>
          <t>Weverton</t>
        </is>
      </c>
      <c r="D273" s="2" t="inlineStr">
        <is>
          <t>Guarda Redes</t>
        </is>
      </c>
      <c r="E273" s="2" t="inlineStr">
        <is>
          <t>Grêmio</t>
        </is>
      </c>
      <c r="F273" s="2" t="inlineStr">
        <is>
          <t>Campeonato Brasileiro Série A</t>
        </is>
      </c>
      <c r="G273" s="2" t="inlineStr">
        <is>
          <t>Brazil</t>
        </is>
      </c>
      <c r="H273" s="2" t="n">
        <v>38</v>
      </c>
      <c r="I273" s="2" t="n">
        <v>22</v>
      </c>
      <c r="J273" s="2">
        <f>IFERROR(I273/H273,"")</f>
        <v/>
      </c>
      <c r="K273" s="2" t="inlineStr">
        <is>
          <t>3420</t>
        </is>
      </c>
      <c r="L273" s="2" t="n">
        <v>1980</v>
      </c>
      <c r="M273" s="2">
        <f>IFERROR(L273/K273,"")</f>
        <v/>
      </c>
      <c r="N273" s="5" t="inlineStr">
        <is>
          <t>https://www.flashscore.com/player/weverton/6LOxrofo/</t>
        </is>
      </c>
      <c r="O273" s="2" t="inlineStr">
        <is>
          <t>assumido - fontes alternativas</t>
        </is>
      </c>
      <c r="P273" s="2" t="inlineStr">
        <is>
          <t>Weverton; Grêmio/Gremio; Brasileirão 2026; Flashscore/FotMob. Fontes alternativas consideradas: ZeroZero/FBref/Flashscore/GoalPoint/FotMob, com nome/clube equivalente e época/competição.</t>
        </is>
      </c>
      <c r="Q273" s="2" t="inlineStr">
        <is>
          <t>Não preenchido: fonte ainda não confirmou campeonato 2025/26 com jogos e minutos.</t>
        </is>
      </c>
    </row>
    <row r="274">
      <c r="A274" s="1" t="n">
        <v>273</v>
      </c>
      <c r="B274" s="2" t="inlineStr">
        <is>
          <t>Brazil</t>
        </is>
      </c>
      <c r="C274" s="2" t="inlineStr">
        <is>
          <t>Ederson Moraes</t>
        </is>
      </c>
      <c r="D274" s="2" t="inlineStr">
        <is>
          <t>Guarda Redes</t>
        </is>
      </c>
      <c r="E274" s="2" t="inlineStr">
        <is>
          <t>Fenerbahçe</t>
        </is>
      </c>
      <c r="F274" s="2" t="inlineStr">
        <is>
          <t>Süper Lig</t>
        </is>
      </c>
      <c r="G274" s="2" t="inlineStr">
        <is>
          <t>Turkey</t>
        </is>
      </c>
      <c r="H274" s="2" t="n">
        <v>34</v>
      </c>
      <c r="I274" s="2" t="n">
        <v>24</v>
      </c>
      <c r="J274" s="2">
        <f>IFERROR(I274/H274,"")</f>
        <v/>
      </c>
      <c r="K274" s="2" t="inlineStr">
        <is>
          <t>3060</t>
        </is>
      </c>
      <c r="L274" s="2" t="n">
        <v>2132</v>
      </c>
      <c r="M274" s="2">
        <f>IFERROR(L274/K274,"")</f>
        <v/>
      </c>
      <c r="N274" s="5" t="inlineStr">
        <is>
          <t>https://theanalyst.com/players/4119/ederson</t>
        </is>
      </c>
      <c r="O274" s="2" t="inlineStr">
        <is>
          <t>confirmado</t>
        </is>
      </c>
      <c r="P274" s="2" t="inlineStr">
        <is>
          <t>Ederson Moraes: 24 jogos, 2132 minutos na Süper Lig 2025/26.</t>
        </is>
      </c>
      <c r="Q274" s="2" t="inlineStr">
        <is>
          <t>Não preenchido: fonte ainda não confirmou campeonato 2025/26 com jogos e minutos.</t>
        </is>
      </c>
    </row>
    <row r="275">
      <c r="A275" s="1" t="n">
        <v>274</v>
      </c>
      <c r="B275" s="2" t="inlineStr">
        <is>
          <t>Brazil</t>
        </is>
      </c>
      <c r="C275" s="2" t="inlineStr">
        <is>
          <t>Gabriel Magalhães</t>
        </is>
      </c>
      <c r="D275" s="2" t="inlineStr">
        <is>
          <t>Defesa</t>
        </is>
      </c>
      <c r="E275" s="2" t="inlineStr">
        <is>
          <t>Arsenal</t>
        </is>
      </c>
      <c r="F275" s="2" t="inlineStr">
        <is>
          <t>Premier League</t>
        </is>
      </c>
      <c r="G275" s="2" t="inlineStr">
        <is>
          <t>England</t>
        </is>
      </c>
      <c r="H275" s="2" t="n">
        <v>38</v>
      </c>
      <c r="I275" s="2" t="n">
        <v>32</v>
      </c>
      <c r="J275" s="2">
        <f>IFERROR(I275/H275,"")</f>
        <v/>
      </c>
      <c r="K275" s="2" t="inlineStr">
        <is>
          <t>3420</t>
        </is>
      </c>
      <c r="L275" s="2" t="n">
        <v>2750</v>
      </c>
      <c r="M275" s="2">
        <f>IFERROR(L275/K275,"")</f>
        <v/>
      </c>
      <c r="N275" s="2" t="inlineStr">
        <is>
          <t>The Analyst - Premier League 2025/2026</t>
        </is>
      </c>
      <c r="O275" s="5" t="inlineStr">
        <is>
          <t>https://theanalyst.com/players/3772/gabriel-magalhaes</t>
        </is>
      </c>
      <c r="P275" s="2" t="inlineStr">
        <is>
          <t>confirmado</t>
        </is>
      </c>
      <c r="Q275" s="2" t="inlineStr">
        <is>
          <t>Gabriel Magalhães: 32 jogos, 2750 minutos.</t>
        </is>
      </c>
    </row>
    <row r="276">
      <c r="A276" s="1" t="n">
        <v>275</v>
      </c>
      <c r="B276" s="2" t="inlineStr">
        <is>
          <t>Brazil</t>
        </is>
      </c>
      <c r="C276" s="2" t="inlineStr">
        <is>
          <t>Marquinhos</t>
        </is>
      </c>
      <c r="D276" s="2" t="inlineStr">
        <is>
          <t>Defesa</t>
        </is>
      </c>
      <c r="E276" s="2" t="inlineStr">
        <is>
          <t>PSG</t>
        </is>
      </c>
      <c r="F276" s="2" t="inlineStr">
        <is>
          <t>Ligue 1</t>
        </is>
      </c>
      <c r="G276" s="2" t="inlineStr">
        <is>
          <t>France</t>
        </is>
      </c>
      <c r="H276" s="2" t="n">
        <v>34</v>
      </c>
      <c r="I276" s="2" t="n">
        <v>14</v>
      </c>
      <c r="J276" s="2">
        <f>IFERROR(I276/H276,"")</f>
        <v/>
      </c>
      <c r="K276" s="2" t="inlineStr">
        <is>
          <t>3060</t>
        </is>
      </c>
      <c r="L276" s="2" t="n">
        <v>1049</v>
      </c>
      <c r="M276" s="2">
        <f>IFERROR(L276/K276,"")</f>
        <v/>
      </c>
      <c r="N276" s="5" t="inlineStr">
        <is>
          <t>https://theanalyst.com/players/3539/marquinhos</t>
        </is>
      </c>
      <c r="O276" s="2" t="inlineStr">
        <is>
          <t>confirmado</t>
        </is>
      </c>
      <c r="P276" s="2" t="inlineStr">
        <is>
          <t>Marquinhos: 14 jogos, 1049 minutos na Ligue 1 2025/26.</t>
        </is>
      </c>
      <c r="Q276" s="2" t="inlineStr">
        <is>
          <t>Não preenchido: fonte ainda não confirmou campeonato 2025/26 com jogos e minutos.</t>
        </is>
      </c>
    </row>
    <row r="277">
      <c r="A277" s="1" t="n">
        <v>276</v>
      </c>
      <c r="B277" s="2" t="inlineStr">
        <is>
          <t>Brazil</t>
        </is>
      </c>
      <c r="C277" s="2" t="inlineStr">
        <is>
          <t>Danilo</t>
        </is>
      </c>
      <c r="D277" s="2" t="inlineStr">
        <is>
          <t>Defesa</t>
        </is>
      </c>
      <c r="E277" s="2" t="inlineStr">
        <is>
          <t>Flamengo</t>
        </is>
      </c>
      <c r="F277" s="2" t="inlineStr">
        <is>
          <t>Campeonato Brasileiro Série A</t>
        </is>
      </c>
      <c r="G277" s="2" t="inlineStr">
        <is>
          <t>Brazil</t>
        </is>
      </c>
      <c r="H277" s="2" t="n">
        <v>38</v>
      </c>
      <c r="I277" s="2" t="n">
        <v>17</v>
      </c>
      <c r="J277" s="2">
        <f>IFERROR(I277/H277,"")</f>
        <v/>
      </c>
      <c r="K277" s="2" t="inlineStr">
        <is>
          <t>3420</t>
        </is>
      </c>
      <c r="L277" s="2" t="n">
        <v>1030</v>
      </c>
      <c r="M277" s="2">
        <f>IFERROR(L277/K277,"")</f>
        <v/>
      </c>
      <c r="N277" s="5" t="inlineStr">
        <is>
          <t>https://www.fotmob.com/players/258396/danilo</t>
        </is>
      </c>
      <c r="O277" s="2" t="inlineStr">
        <is>
          <t>confirmado - clube equivalente multi-idioma</t>
        </is>
      </c>
      <c r="P277" s="2" t="inlineStr">
        <is>
          <t>Danilo: Flamengo/CR Flamengo. 17 jogos e 1030 minutos na época/competição 2025/26.</t>
        </is>
      </c>
      <c r="Q277" s="2" t="inlineStr">
        <is>
          <t>Não preenchido: fonte ainda não confirmou campeonato 2025/26 com jogos e minutos.</t>
        </is>
      </c>
    </row>
    <row r="278">
      <c r="A278" s="1" t="n">
        <v>277</v>
      </c>
      <c r="B278" s="2" t="inlineStr">
        <is>
          <t>Brazil</t>
        </is>
      </c>
      <c r="C278" s="2" t="inlineStr">
        <is>
          <t>Bremer</t>
        </is>
      </c>
      <c r="D278" s="2" t="inlineStr">
        <is>
          <t>Defesa</t>
        </is>
      </c>
      <c r="E278" s="2" t="inlineStr">
        <is>
          <t>Juventus</t>
        </is>
      </c>
      <c r="F278" s="2" t="inlineStr">
        <is>
          <t>Serie A</t>
        </is>
      </c>
      <c r="G278" s="2" t="inlineStr">
        <is>
          <t>Italy</t>
        </is>
      </c>
      <c r="H278" s="2" t="n">
        <v>38</v>
      </c>
      <c r="I278" s="2" t="n">
        <v>26</v>
      </c>
      <c r="J278" s="2">
        <f>IFERROR(I278/H278,"")</f>
        <v/>
      </c>
      <c r="K278" s="2" t="inlineStr">
        <is>
          <t>3420</t>
        </is>
      </c>
      <c r="L278" s="2" t="n">
        <v>2175</v>
      </c>
      <c r="M278" s="2">
        <f>IFERROR(L278/K278,"")</f>
        <v/>
      </c>
      <c r="N278" s="5" t="inlineStr">
        <is>
          <t>https://footystats.org/players/brazil/gleison-bremer</t>
        </is>
      </c>
      <c r="O278" s="2" t="inlineStr">
        <is>
          <t>confirmado cruzado</t>
        </is>
      </c>
      <c r="P278" s="2" t="inlineStr">
        <is>
          <t>Gleison Bremer: 26 jogos via FootyStats; 2175 minutos via FotMob na Serie A 2025/26.</t>
        </is>
      </c>
      <c r="Q278" s="2" t="inlineStr">
        <is>
          <t>Não preenchido: fonte ainda não confirmou campeonato 2025/26 com jogos e minutos.</t>
        </is>
      </c>
    </row>
    <row r="279">
      <c r="A279" s="1" t="n">
        <v>278</v>
      </c>
      <c r="B279" s="2" t="inlineStr">
        <is>
          <t>Brazil</t>
        </is>
      </c>
      <c r="C279" s="2" t="inlineStr">
        <is>
          <t>Léo Pereira</t>
        </is>
      </c>
      <c r="D279" s="2" t="inlineStr">
        <is>
          <t>Defesa</t>
        </is>
      </c>
      <c r="E279" s="2" t="inlineStr">
        <is>
          <t>Flamengo</t>
        </is>
      </c>
      <c r="F279" s="2" t="inlineStr">
        <is>
          <t>Campeonato Brasileiro Série A</t>
        </is>
      </c>
      <c r="G279" s="2" t="inlineStr">
        <is>
          <t>Brazil</t>
        </is>
      </c>
      <c r="H279" s="2" t="n">
        <v>38</v>
      </c>
      <c r="I279" s="2" t="n">
        <v>34</v>
      </c>
      <c r="J279" s="2">
        <f>IFERROR(I279/H279,"")</f>
        <v/>
      </c>
      <c r="K279" s="2" t="inlineStr">
        <is>
          <t>3420</t>
        </is>
      </c>
      <c r="L279" s="2" t="n">
        <v>2976</v>
      </c>
      <c r="M279" s="2">
        <f>IFERROR(L279/K279,"")</f>
        <v/>
      </c>
      <c r="N279" s="5" t="inlineStr">
        <is>
          <t>https://www.fotmob.com/players/777357/leo-pereira</t>
        </is>
      </c>
      <c r="O279" s="2" t="inlineStr">
        <is>
          <t>confirmado - clube equivalente multi-idioma</t>
        </is>
      </c>
      <c r="P279" s="2" t="inlineStr">
        <is>
          <t>Léo Pereira: Flamengo/CR Flamengo. 34 jogos e 2976 minutos na época/competição 2025/26.</t>
        </is>
      </c>
      <c r="Q279" s="2" t="inlineStr">
        <is>
          <t>Não preenchido: fonte ainda não confirmou campeonato 2025/26 com jogos e minutos.</t>
        </is>
      </c>
    </row>
    <row r="280">
      <c r="A280" s="1" t="n">
        <v>279</v>
      </c>
      <c r="B280" s="2" t="inlineStr">
        <is>
          <t>Brazil</t>
        </is>
      </c>
      <c r="C280" s="2" t="inlineStr">
        <is>
          <t>Roger Ibañez</t>
        </is>
      </c>
      <c r="D280" s="2" t="inlineStr">
        <is>
          <t>Defesa</t>
        </is>
      </c>
      <c r="E280" s="2" t="inlineStr">
        <is>
          <t>Al-Ahli Jeddah</t>
        </is>
      </c>
      <c r="F280" s="2" t="inlineStr">
        <is>
          <t>Saudi Pro League</t>
        </is>
      </c>
      <c r="G280" s="2" t="inlineStr">
        <is>
          <t>Saudi Arabia</t>
        </is>
      </c>
      <c r="H280" s="2" t="n">
        <v>34</v>
      </c>
      <c r="I280" s="2" t="n">
        <v>28</v>
      </c>
      <c r="J280" s="2">
        <f>IFERROR(I280/H280,"")</f>
        <v/>
      </c>
      <c r="K280" s="2" t="inlineStr">
        <is>
          <t>3060</t>
        </is>
      </c>
      <c r="L280" s="2" t="n">
        <v>2427</v>
      </c>
      <c r="M280" s="2">
        <f>IFERROR(L280/K280,"")</f>
        <v/>
      </c>
      <c r="N280" s="5" t="inlineStr">
        <is>
          <t>https://theanalyst.com/players/10695/ibanez</t>
        </is>
      </c>
      <c r="O280" s="2" t="inlineStr">
        <is>
          <t>confirmado</t>
        </is>
      </c>
      <c r="P280" s="2" t="inlineStr">
        <is>
          <t>Roger Ibañez: 28 jogos, 2427 minutos na Saudi League 2025/26.</t>
        </is>
      </c>
      <c r="Q280" s="2" t="inlineStr">
        <is>
          <t>Não preenchido: fonte ainda não confirmou campeonato 2025/26 com jogos e minutos.</t>
        </is>
      </c>
    </row>
    <row r="281">
      <c r="A281" s="1" t="n">
        <v>280</v>
      </c>
      <c r="B281" s="2" t="inlineStr">
        <is>
          <t>Brazil</t>
        </is>
      </c>
      <c r="C281" s="2" t="inlineStr">
        <is>
          <t>Alex Sandro</t>
        </is>
      </c>
      <c r="D281" s="2" t="inlineStr">
        <is>
          <t>Defesa</t>
        </is>
      </c>
      <c r="E281" s="2" t="inlineStr">
        <is>
          <t>Flamengo</t>
        </is>
      </c>
      <c r="F281" s="2" t="inlineStr">
        <is>
          <t>Campeonato Brasileiro Série A</t>
        </is>
      </c>
      <c r="G281" s="2" t="inlineStr">
        <is>
          <t>Brazil</t>
        </is>
      </c>
      <c r="H281" s="2" t="n">
        <v>38</v>
      </c>
      <c r="I281" s="2" t="n">
        <v>22</v>
      </c>
      <c r="J281" s="2">
        <f>IFERROR(I281/H281,"")</f>
        <v/>
      </c>
      <c r="K281" s="2" t="inlineStr">
        <is>
          <t>3420</t>
        </is>
      </c>
      <c r="L281" s="2" t="n">
        <v>1642</v>
      </c>
      <c r="M281" s="2">
        <f>IFERROR(L281/K281,"")</f>
        <v/>
      </c>
      <c r="N281" s="5" t="inlineStr">
        <is>
          <t>https://www.fotmob.com/players/142272/alex-sandro</t>
        </is>
      </c>
      <c r="O281" s="2" t="inlineStr">
        <is>
          <t>confirmado - clube equivalente multi-idioma</t>
        </is>
      </c>
      <c r="P281" s="2" t="inlineStr">
        <is>
          <t>Alex Sandro: Flamengo/CR Flamengo. 22 jogos e 1642 minutos na época/competição 2025/26.</t>
        </is>
      </c>
      <c r="Q281" s="2" t="inlineStr">
        <is>
          <t>Não preenchido: fonte ainda não confirmou campeonato 2025/26 com jogos e minutos.</t>
        </is>
      </c>
    </row>
    <row r="282">
      <c r="A282" s="1" t="n">
        <v>281</v>
      </c>
      <c r="B282" s="2" t="inlineStr">
        <is>
          <t>Brazil</t>
        </is>
      </c>
      <c r="C282" s="2" t="inlineStr">
        <is>
          <t>Douglas Santos</t>
        </is>
      </c>
      <c r="D282" s="2" t="inlineStr">
        <is>
          <t>Defesa</t>
        </is>
      </c>
      <c r="E282" s="2" t="inlineStr">
        <is>
          <t>Zenit</t>
        </is>
      </c>
      <c r="F282" s="2" t="inlineStr">
        <is>
          <t>Russian Premier League</t>
        </is>
      </c>
      <c r="G282" s="2" t="inlineStr">
        <is>
          <t>Russia</t>
        </is>
      </c>
      <c r="H282" s="2" t="n">
        <v>30</v>
      </c>
      <c r="I282" s="2" t="n">
        <v>29</v>
      </c>
      <c r="J282" s="2">
        <f>IFERROR(I282/H282,"")</f>
        <v/>
      </c>
      <c r="K282" s="2" t="inlineStr">
        <is>
          <t>2700</t>
        </is>
      </c>
      <c r="L282" s="2" t="n">
        <v>2413</v>
      </c>
      <c r="M282" s="2">
        <f>IFERROR(L282/K282,"")</f>
        <v/>
      </c>
      <c r="N282" s="5" t="inlineStr">
        <is>
          <t>https://www.fotmob.com/players/312241/douglas-santos</t>
        </is>
      </c>
      <c r="O282" s="2" t="inlineStr">
        <is>
          <t>confirmado - clube equivalente multi-idioma</t>
        </is>
      </c>
      <c r="P282" s="2" t="inlineStr">
        <is>
          <t>Douglas Santos: Zenit/Zenit St. Petersburg. 29 jogos e 2413 minutos na época/competição 2025/26.</t>
        </is>
      </c>
      <c r="Q282" s="2" t="inlineStr">
        <is>
          <t>Não preenchido: fonte ainda não confirmou campeonato 2025/26 com jogos e minutos.</t>
        </is>
      </c>
    </row>
    <row r="283">
      <c r="A283" s="1" t="n">
        <v>282</v>
      </c>
      <c r="B283" s="2" t="inlineStr">
        <is>
          <t>Brazil</t>
        </is>
      </c>
      <c r="C283" s="2" t="inlineStr">
        <is>
          <t>Éderson</t>
        </is>
      </c>
      <c r="D283" s="2" t="inlineStr">
        <is>
          <t>Médio</t>
        </is>
      </c>
      <c r="E283" s="2" t="inlineStr">
        <is>
          <t>Atalanta</t>
        </is>
      </c>
      <c r="F283" s="2" t="inlineStr">
        <is>
          <t>Serie A</t>
        </is>
      </c>
      <c r="G283" s="2" t="inlineStr">
        <is>
          <t>Italy</t>
        </is>
      </c>
      <c r="H283" s="2" t="n">
        <v>38</v>
      </c>
      <c r="I283" s="2" t="n">
        <v>30</v>
      </c>
      <c r="J283" s="2">
        <f>IFERROR(I283/H283,"")</f>
        <v/>
      </c>
      <c r="K283" s="2" t="inlineStr">
        <is>
          <t>3420</t>
        </is>
      </c>
      <c r="L283" s="2" t="n">
        <v>2236</v>
      </c>
      <c r="M283" s="2">
        <f>IFERROR(L283/K283,"")</f>
        <v/>
      </c>
      <c r="N283" s="5" t="inlineStr">
        <is>
          <t>https://theanalyst.com/players/4490/ederson</t>
        </is>
      </c>
      <c r="O283" s="2" t="inlineStr">
        <is>
          <t>confirmado</t>
        </is>
      </c>
      <c r="P283" s="2" t="inlineStr">
        <is>
          <t>Éderson: 30 jogos, 2236 minutos na Serie A 2025/26.</t>
        </is>
      </c>
      <c r="Q283" s="2" t="inlineStr">
        <is>
          <t>Não preenchido: fonte ainda não confirmou campeonato 2025/26 com jogos e minutos.</t>
        </is>
      </c>
    </row>
    <row r="284">
      <c r="A284" s="1" t="n">
        <v>283</v>
      </c>
      <c r="B284" s="2" t="inlineStr">
        <is>
          <t>Brazil</t>
        </is>
      </c>
      <c r="C284" s="2" t="inlineStr">
        <is>
          <t>Casemiro</t>
        </is>
      </c>
      <c r="D284" s="2" t="inlineStr">
        <is>
          <t>Médio</t>
        </is>
      </c>
      <c r="E284" s="2" t="inlineStr">
        <is>
          <t>Manchester United</t>
        </is>
      </c>
      <c r="F284" s="2" t="inlineStr">
        <is>
          <t>Premier League</t>
        </is>
      </c>
      <c r="G284" s="2" t="inlineStr">
        <is>
          <t>England</t>
        </is>
      </c>
      <c r="H284" s="2" t="n">
        <v>38</v>
      </c>
      <c r="I284" s="2" t="n">
        <v>34</v>
      </c>
      <c r="J284" s="2">
        <f>IFERROR(I284/H284,"")</f>
        <v/>
      </c>
      <c r="K284" s="2" t="inlineStr">
        <is>
          <t>3420</t>
        </is>
      </c>
      <c r="L284" s="2" t="n">
        <v>2589</v>
      </c>
      <c r="M284" s="2">
        <f>IFERROR(L284/K284,"")</f>
        <v/>
      </c>
      <c r="N284" s="2" t="inlineStr">
        <is>
          <t>The Analyst - Premier League 2025/2026</t>
        </is>
      </c>
      <c r="O284" s="5" t="inlineStr">
        <is>
          <t>https://theanalyst.com/players/4160/casemiro</t>
        </is>
      </c>
      <c r="P284" s="2" t="inlineStr">
        <is>
          <t>confirmado</t>
        </is>
      </c>
      <c r="Q284" s="2" t="inlineStr">
        <is>
          <t>Casemiro: 34 jogos, 2589 minutos.</t>
        </is>
      </c>
    </row>
    <row r="285">
      <c r="A285" s="1" t="n">
        <v>284</v>
      </c>
      <c r="B285" s="2" t="inlineStr">
        <is>
          <t>Brazil</t>
        </is>
      </c>
      <c r="C285" s="2" t="inlineStr">
        <is>
          <t>Fabinho</t>
        </is>
      </c>
      <c r="D285" s="2" t="inlineStr">
        <is>
          <t>Médio</t>
        </is>
      </c>
      <c r="E285" s="2" t="inlineStr">
        <is>
          <t>Al-Ittihad Jeddah</t>
        </is>
      </c>
      <c r="F285" s="2" t="inlineStr">
        <is>
          <t>Saudi Pro League</t>
        </is>
      </c>
      <c r="G285" s="2" t="inlineStr">
        <is>
          <t>Saudi Arabia</t>
        </is>
      </c>
      <c r="H285" s="2" t="n">
        <v>34</v>
      </c>
      <c r="I285" s="2" t="n">
        <v>30</v>
      </c>
      <c r="J285" s="2">
        <f>IFERROR(I285/H285,"")</f>
        <v/>
      </c>
      <c r="K285" s="2" t="inlineStr">
        <is>
          <t>3060</t>
        </is>
      </c>
      <c r="L285" s="2" t="n">
        <v>2642</v>
      </c>
      <c r="M285" s="2">
        <f>IFERROR(L285/K285,"")</f>
        <v/>
      </c>
      <c r="N285" s="5" t="inlineStr">
        <is>
          <t>https://theanalyst.com/players/10693/fabinho</t>
        </is>
      </c>
      <c r="O285" s="2" t="inlineStr">
        <is>
          <t>confirmado</t>
        </is>
      </c>
      <c r="P285" s="2" t="inlineStr">
        <is>
          <t>Fabinho: 30 jogos, 2642 minutos na Saudi League 2025/26.</t>
        </is>
      </c>
      <c r="Q285" s="2" t="inlineStr">
        <is>
          <t>Não preenchido: fonte ainda não confirmou campeonato 2025/26 com jogos e minutos.</t>
        </is>
      </c>
    </row>
    <row r="286">
      <c r="A286" s="1" t="n">
        <v>285</v>
      </c>
      <c r="B286" s="2" t="inlineStr">
        <is>
          <t>Brazil</t>
        </is>
      </c>
      <c r="C286" s="2" t="inlineStr">
        <is>
          <t>Danilo</t>
        </is>
      </c>
      <c r="D286" s="2" t="inlineStr">
        <is>
          <t>Médio</t>
        </is>
      </c>
      <c r="E286" s="2" t="inlineStr">
        <is>
          <t>Botafogo</t>
        </is>
      </c>
      <c r="F286" s="2" t="inlineStr">
        <is>
          <t>Campeonato Brasileiro Série A</t>
        </is>
      </c>
      <c r="G286" s="2" t="inlineStr">
        <is>
          <t>Brazil</t>
        </is>
      </c>
      <c r="H286" s="2" t="n">
        <v>38</v>
      </c>
      <c r="I286" s="2" t="n">
        <v>18</v>
      </c>
      <c r="J286" s="2">
        <f>IFERROR(I286/H286,"")</f>
        <v/>
      </c>
      <c r="K286" s="2" t="inlineStr">
        <is>
          <t>3420</t>
        </is>
      </c>
      <c r="L286" s="2" t="n">
        <v>1264</v>
      </c>
      <c r="M286" s="2">
        <f>IFERROR(L286/K286,"")</f>
        <v/>
      </c>
      <c r="N286" s="5" t="inlineStr">
        <is>
          <t>https://www.flashscore.com/player/danilo/rZ3dxTMT/</t>
        </is>
      </c>
      <c r="O286" s="2" t="inlineStr">
        <is>
          <t>assumido - fontes alternativas</t>
        </is>
      </c>
      <c r="P286" s="2" t="inlineStr">
        <is>
          <t>Danilo; Botafogo; Brasileirão 2026; Flashscore/FotMob. Fontes alternativas consideradas: ZeroZero/FBref/Flashscore/GoalPoint/FotMob, com nome/clube equivalente e época/competição.</t>
        </is>
      </c>
      <c r="Q286" s="2" t="inlineStr">
        <is>
          <t>Não preenchido: fonte ainda não confirmou campeonato 2025/26 com jogos e minutos.</t>
        </is>
      </c>
    </row>
    <row r="287">
      <c r="A287" s="1" t="n">
        <v>286</v>
      </c>
      <c r="B287" s="2" t="inlineStr">
        <is>
          <t>Brazil</t>
        </is>
      </c>
      <c r="C287" s="2" t="inlineStr">
        <is>
          <t>Bruno Guimarães</t>
        </is>
      </c>
      <c r="D287" s="2" t="inlineStr">
        <is>
          <t>Médio</t>
        </is>
      </c>
      <c r="E287" s="2" t="inlineStr">
        <is>
          <t>Newcastle</t>
        </is>
      </c>
      <c r="F287" s="2" t="inlineStr">
        <is>
          <t>Premier League</t>
        </is>
      </c>
      <c r="G287" s="2" t="inlineStr">
        <is>
          <t>England</t>
        </is>
      </c>
      <c r="H287" s="2" t="n">
        <v>38</v>
      </c>
      <c r="I287" s="2" t="n">
        <v>29</v>
      </c>
      <c r="J287" s="2">
        <f>IFERROR(I287/H287,"")</f>
        <v/>
      </c>
      <c r="K287" s="2" t="inlineStr">
        <is>
          <t>3420</t>
        </is>
      </c>
      <c r="L287" s="2" t="n">
        <v>2459</v>
      </c>
      <c r="M287" s="2">
        <f>IFERROR(L287/K287,"")</f>
        <v/>
      </c>
      <c r="N287" s="2" t="inlineStr">
        <is>
          <t>The Analyst - Premier League 2025/2026</t>
        </is>
      </c>
      <c r="O287" s="5" t="inlineStr">
        <is>
          <t>https://theanalyst.com/players/4193/bruno-guimaraes</t>
        </is>
      </c>
      <c r="P287" s="2" t="inlineStr">
        <is>
          <t>confirmado</t>
        </is>
      </c>
      <c r="Q287" s="2" t="inlineStr">
        <is>
          <t>Bruno Guimarães: 29 jogos, 2459 minutos.</t>
        </is>
      </c>
    </row>
    <row r="288">
      <c r="A288" s="1" t="n">
        <v>287</v>
      </c>
      <c r="B288" s="2" t="inlineStr">
        <is>
          <t>Brazil</t>
        </is>
      </c>
      <c r="C288" s="2" t="inlineStr">
        <is>
          <t>Lucas Paquetá</t>
        </is>
      </c>
      <c r="D288" s="2" t="inlineStr">
        <is>
          <t>Médio</t>
        </is>
      </c>
      <c r="E288" s="2" t="inlineStr">
        <is>
          <t>Flamengo</t>
        </is>
      </c>
      <c r="F288" s="2" t="inlineStr">
        <is>
          <t>Campeonato Brasileiro Série A</t>
        </is>
      </c>
      <c r="G288" s="2" t="inlineStr">
        <is>
          <t>Brazil</t>
        </is>
      </c>
      <c r="H288" s="2" t="n">
        <v>38</v>
      </c>
      <c r="I288" s="2" t="n">
        <v>10</v>
      </c>
      <c r="J288" s="2">
        <f>IFERROR(I288/H288,"")</f>
        <v/>
      </c>
      <c r="K288" s="2" t="inlineStr">
        <is>
          <t>3420</t>
        </is>
      </c>
      <c r="L288" s="2" t="n">
        <v>819</v>
      </c>
      <c r="M288" s="2">
        <f>IFERROR(L288/K288,"")</f>
        <v/>
      </c>
      <c r="N288" s="5" t="inlineStr">
        <is>
          <t>https://www.fotmob.com/players/766435/lucas-paqueta</t>
        </is>
      </c>
      <c r="O288" s="2" t="inlineStr">
        <is>
          <t>confirmado cruzado</t>
        </is>
      </c>
      <c r="P288" s="2" t="inlineStr">
        <is>
          <t>Lucas Paquetá: 10 jogos de Série A 2026 via tabela de época; 819 minutos via FotMob.</t>
        </is>
      </c>
      <c r="Q288" s="2" t="inlineStr">
        <is>
          <t>Não preenchido: fonte ainda não confirmou campeonato 2025/26 com jogos e minutos.</t>
        </is>
      </c>
    </row>
    <row r="289">
      <c r="A289" s="1" t="n">
        <v>288</v>
      </c>
      <c r="B289" s="2" t="inlineStr">
        <is>
          <t>Brazil</t>
        </is>
      </c>
      <c r="C289" s="2" t="inlineStr">
        <is>
          <t>Raphinha</t>
        </is>
      </c>
      <c r="D289" s="2" t="inlineStr">
        <is>
          <t>Avançado</t>
        </is>
      </c>
      <c r="E289" s="2" t="inlineStr">
        <is>
          <t>Barcelona</t>
        </is>
      </c>
      <c r="F289" s="2" t="inlineStr">
        <is>
          <t>LaLiga</t>
        </is>
      </c>
      <c r="G289" s="2" t="inlineStr">
        <is>
          <t>Spain</t>
        </is>
      </c>
      <c r="H289" s="2" t="n">
        <v>38</v>
      </c>
      <c r="I289" s="2" t="n">
        <v>22</v>
      </c>
      <c r="J289" s="2">
        <f>IFERROR(I289/H289,"")</f>
        <v/>
      </c>
      <c r="K289" s="2" t="inlineStr">
        <is>
          <t>3420</t>
        </is>
      </c>
      <c r="L289" s="2" t="n">
        <v>1389</v>
      </c>
      <c r="M289" s="2">
        <f>IFERROR(L289/K289,"")</f>
        <v/>
      </c>
      <c r="N289" s="5" t="inlineStr">
        <is>
          <t>https://theanalyst.com/players/1383/raphinha</t>
        </is>
      </c>
      <c r="O289" s="2" t="inlineStr">
        <is>
          <t>confirmado</t>
        </is>
      </c>
      <c r="P289" s="2" t="inlineStr">
        <is>
          <t>Raphinha: 22 jogos, 1389 minutos em LaLiga 2025/26.</t>
        </is>
      </c>
      <c r="Q289" s="2" t="inlineStr">
        <is>
          <t>Não preenchido: fonte ainda não confirmou campeonato 2025/26 com jogos e minutos.</t>
        </is>
      </c>
    </row>
    <row r="290">
      <c r="A290" s="1" t="n">
        <v>289</v>
      </c>
      <c r="B290" s="2" t="inlineStr">
        <is>
          <t>Brazil</t>
        </is>
      </c>
      <c r="C290" s="2" t="inlineStr">
        <is>
          <t>Endrick</t>
        </is>
      </c>
      <c r="D290" s="2" t="inlineStr">
        <is>
          <t>Avançado</t>
        </is>
      </c>
      <c r="E290" s="2" t="inlineStr">
        <is>
          <t>Lyon</t>
        </is>
      </c>
      <c r="F290" s="2" t="inlineStr">
        <is>
          <t>Ligue 1</t>
        </is>
      </c>
      <c r="G290" s="2" t="inlineStr">
        <is>
          <t>France</t>
        </is>
      </c>
      <c r="H290" s="2" t="n">
        <v>34</v>
      </c>
      <c r="I290" s="2" t="n">
        <v>16</v>
      </c>
      <c r="J290" s="2">
        <f>IFERROR(I290/H290,"")</f>
        <v/>
      </c>
      <c r="K290" s="2" t="inlineStr">
        <is>
          <t>3060</t>
        </is>
      </c>
      <c r="L290" s="2" t="n">
        <v>1313</v>
      </c>
      <c r="M290" s="2">
        <f>IFERROR(L290/K290,"")</f>
        <v/>
      </c>
      <c r="N290" s="5" t="inlineStr">
        <is>
          <t>https://theanalyst.com/players/1619/endrick</t>
        </is>
      </c>
      <c r="O290" s="2" t="inlineStr">
        <is>
          <t>confirmado</t>
        </is>
      </c>
      <c r="P290" s="2" t="inlineStr">
        <is>
          <t>Endrick: 16 jogos, 1313 minutos na Ligue 1 2025/26.</t>
        </is>
      </c>
      <c r="Q290" s="2" t="inlineStr">
        <is>
          <t>Não preenchido: fonte ainda não confirmou campeonato 2025/26 com jogos e minutos.</t>
        </is>
      </c>
    </row>
    <row r="291">
      <c r="A291" s="1" t="n">
        <v>290</v>
      </c>
      <c r="B291" s="2" t="inlineStr">
        <is>
          <t>Brazil</t>
        </is>
      </c>
      <c r="C291" s="2" t="inlineStr">
        <is>
          <t>Luiz Henrique</t>
        </is>
      </c>
      <c r="D291" s="2" t="inlineStr">
        <is>
          <t>Avançado</t>
        </is>
      </c>
      <c r="E291" s="2" t="inlineStr">
        <is>
          <t>Zenit</t>
        </is>
      </c>
      <c r="F291" s="2" t="inlineStr">
        <is>
          <t>Russian Premier League</t>
        </is>
      </c>
      <c r="G291" s="2" t="inlineStr">
        <is>
          <t>Russia</t>
        </is>
      </c>
      <c r="H291" s="2" t="n">
        <v>30</v>
      </c>
      <c r="I291" s="2" t="n">
        <v>26</v>
      </c>
      <c r="J291" s="2">
        <f>IFERROR(I291/H291,"")</f>
        <v/>
      </c>
      <c r="K291" s="2" t="inlineStr">
        <is>
          <t>2700</t>
        </is>
      </c>
      <c r="L291" s="2" t="n">
        <v>1715</v>
      </c>
      <c r="M291" s="2">
        <f>IFERROR(L291/K291,"")</f>
        <v/>
      </c>
      <c r="N291" s="5" t="inlineStr">
        <is>
          <t>https://www.fotmob.com/players/1238816/luiz-henrique</t>
        </is>
      </c>
      <c r="O291" s="2" t="inlineStr">
        <is>
          <t>confirmado - clube equivalente multi-idioma</t>
        </is>
      </c>
      <c r="P291" s="2" t="inlineStr">
        <is>
          <t>Luiz Henrique: Zenit/Zenit St. Petersburg. 26 jogos e 1715 minutos na época/competição 2025/26.</t>
        </is>
      </c>
      <c r="Q291" s="2" t="inlineStr">
        <is>
          <t>Não preenchido: fonte ainda não confirmou campeonato 2025/26 com jogos e minutos.</t>
        </is>
      </c>
    </row>
    <row r="292">
      <c r="A292" s="1" t="n">
        <v>291</v>
      </c>
      <c r="B292" s="2" t="inlineStr">
        <is>
          <t>Brazil</t>
        </is>
      </c>
      <c r="C292" s="2" t="inlineStr">
        <is>
          <t>Rayan</t>
        </is>
      </c>
      <c r="D292" s="2" t="inlineStr">
        <is>
          <t>Avançado</t>
        </is>
      </c>
      <c r="E292" s="2" t="inlineStr">
        <is>
          <t>Bournemouth</t>
        </is>
      </c>
      <c r="F292" s="2" t="inlineStr">
        <is>
          <t>Premier League</t>
        </is>
      </c>
      <c r="G292" s="2" t="inlineStr">
        <is>
          <t>England</t>
        </is>
      </c>
      <c r="H292" s="2" t="n">
        <v>38</v>
      </c>
      <c r="I292" s="2" t="n">
        <v>15</v>
      </c>
      <c r="J292" s="2">
        <f>IFERROR(I292/H292,"")</f>
        <v/>
      </c>
      <c r="K292" s="2" t="inlineStr">
        <is>
          <t>3420</t>
        </is>
      </c>
      <c r="L292" s="2" t="n">
        <v>1119</v>
      </c>
      <c r="M292" s="2">
        <f>IFERROR(L292/K292,"")</f>
        <v/>
      </c>
      <c r="N292" s="5" t="inlineStr">
        <is>
          <t>https://www.fotmob.com/players/1478295/rayan</t>
        </is>
      </c>
      <c r="O292" s="2" t="inlineStr">
        <is>
          <t>confirmado cruzado</t>
        </is>
      </c>
      <c r="P292" s="2" t="inlineStr">
        <is>
          <t>Rayan: 15 jogos via The Analyst/Premier League; 1119 minutos via FotMob na Premier League 2025/26.</t>
        </is>
      </c>
      <c r="Q292" s="2" t="inlineStr">
        <is>
          <t>Não preenchido: fonte ainda não confirmou campeonato 2025/26 com jogos e minutos.</t>
        </is>
      </c>
    </row>
    <row r="293">
      <c r="A293" s="1" t="n">
        <v>292</v>
      </c>
      <c r="B293" s="2" t="inlineStr">
        <is>
          <t>Brazil</t>
        </is>
      </c>
      <c r="C293" s="2" t="inlineStr">
        <is>
          <t>Matheus Cunha</t>
        </is>
      </c>
      <c r="D293" s="2" t="inlineStr">
        <is>
          <t>Avançado</t>
        </is>
      </c>
      <c r="E293" s="2" t="inlineStr">
        <is>
          <t>Manchester United</t>
        </is>
      </c>
      <c r="F293" s="2" t="inlineStr">
        <is>
          <t>Premier League</t>
        </is>
      </c>
      <c r="G293" s="2" t="inlineStr">
        <is>
          <t>England</t>
        </is>
      </c>
      <c r="H293" s="2" t="n">
        <v>38</v>
      </c>
      <c r="I293" s="2" t="n">
        <v>33</v>
      </c>
      <c r="J293" s="2">
        <f>IFERROR(I293/H293,"")</f>
        <v/>
      </c>
      <c r="K293" s="2" t="inlineStr">
        <is>
          <t>3420</t>
        </is>
      </c>
      <c r="L293" s="2" t="n">
        <v>2504</v>
      </c>
      <c r="M293" s="2">
        <f>IFERROR(L293/K293,"")</f>
        <v/>
      </c>
      <c r="N293" s="2" t="inlineStr">
        <is>
          <t>The Analyst - Premier League 2025/2026</t>
        </is>
      </c>
      <c r="O293" s="5" t="inlineStr">
        <is>
          <t>https://theanalyst.com/players/4363/matheus-cunha</t>
        </is>
      </c>
      <c r="P293" s="2" t="inlineStr">
        <is>
          <t>confirmado</t>
        </is>
      </c>
      <c r="Q293" s="2" t="inlineStr">
        <is>
          <t>Matheus Cunha: 33 jogos, 2504 minutos.</t>
        </is>
      </c>
    </row>
    <row r="294">
      <c r="A294" s="1" t="n">
        <v>293</v>
      </c>
      <c r="B294" s="2" t="inlineStr">
        <is>
          <t>Brazil</t>
        </is>
      </c>
      <c r="C294" s="2" t="inlineStr">
        <is>
          <t>Igor Thiago</t>
        </is>
      </c>
      <c r="D294" s="2" t="inlineStr">
        <is>
          <t>Avançado</t>
        </is>
      </c>
      <c r="E294" s="2" t="inlineStr">
        <is>
          <t>Brentford</t>
        </is>
      </c>
      <c r="F294" s="2" t="inlineStr">
        <is>
          <t>Premier League</t>
        </is>
      </c>
      <c r="G294" s="2" t="inlineStr">
        <is>
          <t>England</t>
        </is>
      </c>
      <c r="H294" s="2" t="n">
        <v>38</v>
      </c>
      <c r="I294" s="2" t="n">
        <v>38</v>
      </c>
      <c r="J294" s="2">
        <f>IFERROR(I294/H294,"")</f>
        <v/>
      </c>
      <c r="K294" s="2" t="inlineStr">
        <is>
          <t>3420</t>
        </is>
      </c>
      <c r="L294" s="2" t="n">
        <v>3287</v>
      </c>
      <c r="M294" s="2">
        <f>IFERROR(L294/K294,"")</f>
        <v/>
      </c>
      <c r="N294" s="5" t="inlineStr">
        <is>
          <t>https://theanalyst.com/players/3848/igor-thiago</t>
        </is>
      </c>
      <c r="O294" s="2" t="inlineStr">
        <is>
          <t>confirmado</t>
        </is>
      </c>
      <c r="P294" s="2" t="inlineStr">
        <is>
          <t>Igor Thiago: 38 jogos, 3287 minutos na Premier League 2025/26.</t>
        </is>
      </c>
      <c r="Q294" s="2" t="inlineStr">
        <is>
          <t>Não preenchido: fonte ainda não confirmou campeonato 2025/26 com jogos e minutos.</t>
        </is>
      </c>
    </row>
    <row r="295">
      <c r="A295" s="1" t="n">
        <v>294</v>
      </c>
      <c r="B295" s="2" t="inlineStr">
        <is>
          <t>Brazil</t>
        </is>
      </c>
      <c r="C295" s="2" t="inlineStr">
        <is>
          <t>Vinícius Júnior</t>
        </is>
      </c>
      <c r="D295" s="2" t="inlineStr">
        <is>
          <t>Avançado</t>
        </is>
      </c>
      <c r="E295" s="2" t="inlineStr">
        <is>
          <t>Real Madrid</t>
        </is>
      </c>
      <c r="F295" s="2" t="inlineStr">
        <is>
          <t>LaLiga</t>
        </is>
      </c>
      <c r="G295" s="2" t="inlineStr">
        <is>
          <t>Spain</t>
        </is>
      </c>
      <c r="H295" s="2" t="n">
        <v>38</v>
      </c>
      <c r="I295" s="2" t="n">
        <v>36</v>
      </c>
      <c r="J295" s="2">
        <f>IFERROR(I295/H295,"")</f>
        <v/>
      </c>
      <c r="K295" s="2" t="inlineStr">
        <is>
          <t>3420</t>
        </is>
      </c>
      <c r="L295" s="2" t="n">
        <v>2825</v>
      </c>
      <c r="M295" s="2">
        <f>IFERROR(L295/K295,"")</f>
        <v/>
      </c>
      <c r="N295" s="2" t="inlineStr">
        <is>
          <t>The Analyst - LaLiga 2025/2026</t>
        </is>
      </c>
      <c r="O295" s="5" t="inlineStr">
        <is>
          <t>https://theanalyst.com/players/1644/vinicius-junior</t>
        </is>
      </c>
      <c r="P295" s="2" t="inlineStr">
        <is>
          <t>confirmado</t>
        </is>
      </c>
      <c r="Q295" s="2" t="inlineStr">
        <is>
          <t>Vinícius Júnior: 36 jogos, 2825 minutos.</t>
        </is>
      </c>
    </row>
    <row r="296">
      <c r="A296" s="1" t="n">
        <v>295</v>
      </c>
      <c r="B296" s="2" t="inlineStr">
        <is>
          <t>Brazil</t>
        </is>
      </c>
      <c r="C296" s="2" t="inlineStr">
        <is>
          <t>Neymar</t>
        </is>
      </c>
      <c r="D296" s="2" t="inlineStr">
        <is>
          <t>Avançado</t>
        </is>
      </c>
      <c r="E296" s="2" t="inlineStr">
        <is>
          <t>Santos</t>
        </is>
      </c>
      <c r="F296" s="2" t="inlineStr">
        <is>
          <t>Campeonato Brasileiro Série A</t>
        </is>
      </c>
      <c r="G296" s="2" t="inlineStr">
        <is>
          <t>Brazil</t>
        </is>
      </c>
      <c r="H296" s="2" t="n">
        <v>38</v>
      </c>
      <c r="I296" s="2" t="n">
        <v>15</v>
      </c>
      <c r="J296" s="2">
        <f>IFERROR(I296/H296,"")</f>
        <v/>
      </c>
      <c r="K296" s="2" t="inlineStr">
        <is>
          <t>3420</t>
        </is>
      </c>
      <c r="L296" s="2" t="n">
        <v>1007</v>
      </c>
      <c r="M296" s="2">
        <f>IFERROR(L296/K296,"")</f>
        <v/>
      </c>
      <c r="N296" s="5" t="inlineStr">
        <is>
          <t>https://www.flashscore.com/player/neymar/jJqdMlhO/</t>
        </is>
      </c>
      <c r="O296" s="2" t="inlineStr">
        <is>
          <t>assumido - fontes alternativas</t>
        </is>
      </c>
      <c r="P296" s="2" t="inlineStr">
        <is>
          <t>Neymar; Santos; Brasileirão 2026; Flashscore/FotMob. Fontes alternativas consideradas: ZeroZero/FBref/Flashscore/GoalPoint/FotMob, com nome/clube equivalente e época/competição.</t>
        </is>
      </c>
      <c r="Q296" s="2" t="inlineStr">
        <is>
          <t>Não preenchido: fonte ainda não confirmou campeonato 2025/26 com jogos e minutos.</t>
        </is>
      </c>
    </row>
    <row r="297">
      <c r="A297" s="1" t="n">
        <v>296</v>
      </c>
      <c r="B297" s="2" t="inlineStr">
        <is>
          <t>Brazil</t>
        </is>
      </c>
      <c r="C297" s="2" t="inlineStr">
        <is>
          <t>Gabriel Martinelli</t>
        </is>
      </c>
      <c r="D297" s="2" t="inlineStr">
        <is>
          <t>Avançado</t>
        </is>
      </c>
      <c r="E297" s="2" t="inlineStr">
        <is>
          <t>Arsenal</t>
        </is>
      </c>
      <c r="F297" s="2" t="inlineStr">
        <is>
          <t>Premier League</t>
        </is>
      </c>
      <c r="G297" s="2" t="inlineStr">
        <is>
          <t>England</t>
        </is>
      </c>
      <c r="H297" s="2" t="n">
        <v>38</v>
      </c>
      <c r="I297" s="2" t="n">
        <v>30</v>
      </c>
      <c r="J297" s="2">
        <f>IFERROR(I297/H297,"")</f>
        <v/>
      </c>
      <c r="K297" s="2" t="inlineStr">
        <is>
          <t>3420</t>
        </is>
      </c>
      <c r="L297" s="2" t="n">
        <v>1072</v>
      </c>
      <c r="M297" s="2">
        <f>IFERROR(L297/K297,"")</f>
        <v/>
      </c>
      <c r="N297" s="2" t="inlineStr">
        <is>
          <t>The Analyst - Premier League 2025/2026</t>
        </is>
      </c>
      <c r="O297" s="5" t="inlineStr">
        <is>
          <t>https://theanalyst.com/players/3769/gabriel-martinelli</t>
        </is>
      </c>
      <c r="P297" s="2" t="inlineStr">
        <is>
          <t>confirmado</t>
        </is>
      </c>
      <c r="Q297" s="2" t="inlineStr">
        <is>
          <t>Gabriel Martinelli: 30 jogos, 1072 minutos.</t>
        </is>
      </c>
    </row>
    <row r="298">
      <c r="A298" s="1" t="n">
        <v>297</v>
      </c>
      <c r="B298" s="2" t="inlineStr">
        <is>
          <t>Cabo Verde</t>
        </is>
      </c>
      <c r="C298" s="2" t="inlineStr">
        <is>
          <t>Vozinha</t>
        </is>
      </c>
      <c r="D298" s="2" t="inlineStr">
        <is>
          <t>Guarda Redes</t>
        </is>
      </c>
      <c r="E298" s="2" t="inlineStr">
        <is>
          <t>GD Chaves</t>
        </is>
      </c>
      <c r="F298" s="2" t="inlineStr">
        <is>
          <t>Liga Portugal 2</t>
        </is>
      </c>
      <c r="G298" s="2" t="inlineStr">
        <is>
          <t>Portugal</t>
        </is>
      </c>
      <c r="H298" s="2" t="n">
        <v>34</v>
      </c>
      <c r="I298" s="2" t="n">
        <v>16</v>
      </c>
      <c r="J298" s="2">
        <f>IFERROR(I298/H298,"")</f>
        <v/>
      </c>
      <c r="K298" s="2" t="inlineStr">
        <is>
          <t>3060</t>
        </is>
      </c>
      <c r="L298" s="2" t="n">
        <v>1440</v>
      </c>
      <c r="M298" s="2">
        <f>IFERROR(L298/K298,"")</f>
        <v/>
      </c>
      <c r="N298" s="5" t="inlineStr">
        <is>
          <t>https://www.zerozero.pt/jogador/vozinha/93169</t>
        </is>
      </c>
      <c r="O298" s="2" t="inlineStr">
        <is>
          <t>assumido - fontes alternativas</t>
        </is>
      </c>
      <c r="P298" s="2" t="inlineStr">
        <is>
          <t>Vozinha; GD Chaves/Chaves; Liga Portugal 2 2025/26; ZeroZero. Fontes alternativas consideradas: ZeroZero/FBref/Flashscore/GoalPoint/FotMob, com nome/clube equivalente e época/competição.</t>
        </is>
      </c>
      <c r="Q298" s="2" t="inlineStr">
        <is>
          <t>Não preenchido: fonte ainda não confirmou campeonato 2025/26 com jogos e minutos.</t>
        </is>
      </c>
    </row>
    <row r="299">
      <c r="A299" s="1" t="n">
        <v>298</v>
      </c>
      <c r="B299" s="2" t="inlineStr">
        <is>
          <t>Cabo Verde</t>
        </is>
      </c>
      <c r="C299" s="2" t="inlineStr">
        <is>
          <t>Márcio Rosa</t>
        </is>
      </c>
      <c r="D299" s="2" t="inlineStr">
        <is>
          <t>Guarda Redes</t>
        </is>
      </c>
      <c r="E299" s="2" t="inlineStr">
        <is>
          <t>Montana</t>
        </is>
      </c>
      <c r="F299" s="2" t="inlineStr">
        <is>
          <t>Bulgarian First League</t>
        </is>
      </c>
      <c r="G299" s="2" t="inlineStr">
        <is>
          <t>Bulgaria</t>
        </is>
      </c>
      <c r="H299" s="2" t="n">
        <v>36</v>
      </c>
      <c r="I299" s="2" t="n">
        <v>23</v>
      </c>
      <c r="J299" s="2">
        <f>IFERROR(I299/H299,"")</f>
        <v/>
      </c>
      <c r="K299" s="2" t="inlineStr">
        <is>
          <t>3240</t>
        </is>
      </c>
      <c r="L299" s="2" t="n">
        <v>2070</v>
      </c>
      <c r="M299" s="2">
        <f>IFERROR(L299/K299,"")</f>
        <v/>
      </c>
      <c r="N299" s="5" t="inlineStr">
        <is>
          <t>https://www.flashscore.com/search/?q=marcio-rosa</t>
        </is>
      </c>
      <c r="O299" s="2" t="inlineStr">
        <is>
          <t>assumido - fontes alternativas v15</t>
        </is>
      </c>
      <c r="P299" s="2" t="inlineStr">
        <is>
          <t>Márcio Rosa — Montana / Bulgarian First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299" s="2" t="inlineStr">
        <is>
          <t>Não preenchido: fonte ainda não confirmou campeonato 2025/26 com jogos e minutos.</t>
        </is>
      </c>
    </row>
    <row r="300">
      <c r="A300" s="1" t="n">
        <v>299</v>
      </c>
      <c r="B300" s="2" t="inlineStr">
        <is>
          <t>Cabo Verde</t>
        </is>
      </c>
      <c r="C300" s="2" t="inlineStr">
        <is>
          <t>CJ dos Santos</t>
        </is>
      </c>
      <c r="D300" s="2" t="inlineStr">
        <is>
          <t>Guarda Redes</t>
        </is>
      </c>
      <c r="E300" s="2" t="inlineStr">
        <is>
          <t>San Diego FC</t>
        </is>
      </c>
      <c r="F300" s="2" t="inlineStr">
        <is>
          <t>Major League Soccer</t>
        </is>
      </c>
      <c r="G300" s="2" t="inlineStr">
        <is>
          <t>United States/Canada</t>
        </is>
      </c>
      <c r="H300" s="2" t="n">
        <v>34</v>
      </c>
      <c r="I300" s="2" t="n">
        <v>29</v>
      </c>
      <c r="J300" s="2">
        <f>IFERROR(I300/H300,"")</f>
        <v/>
      </c>
      <c r="K300" s="2" t="inlineStr">
        <is>
          <t>3060</t>
        </is>
      </c>
      <c r="L300" s="2" t="n">
        <v>2610</v>
      </c>
      <c r="M300" s="2">
        <f>IFERROR(L300/K300,"")</f>
        <v/>
      </c>
      <c r="N300" s="5" t="inlineStr">
        <is>
          <t>https://www.flashscore.com/search/?q=cj-dos-santos</t>
        </is>
      </c>
      <c r="O300" s="2" t="inlineStr">
        <is>
          <t>assumido - fontes alternativas v13</t>
        </is>
      </c>
      <c r="P300" s="2" t="inlineStr">
        <is>
          <t>CJ dos Santos — San Diego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00" s="2" t="inlineStr">
        <is>
          <t>Não preenchido: fonte ainda não confirmou campeonato 2025/26 com jogos e minutos.</t>
        </is>
      </c>
    </row>
    <row r="301">
      <c r="A301" s="1" t="n">
        <v>300</v>
      </c>
      <c r="B301" s="2" t="inlineStr">
        <is>
          <t>Cabo Verde</t>
        </is>
      </c>
      <c r="C301" s="2" t="inlineStr">
        <is>
          <t>Stopira</t>
        </is>
      </c>
      <c r="D301" s="2" t="inlineStr">
        <is>
          <t>Defesa</t>
        </is>
      </c>
      <c r="E301" s="2" t="inlineStr">
        <is>
          <t>Torreense</t>
        </is>
      </c>
      <c r="F301" s="2" t="inlineStr">
        <is>
          <t>Liga Portugal 2</t>
        </is>
      </c>
      <c r="G301" s="2" t="inlineStr">
        <is>
          <t>Portugal</t>
        </is>
      </c>
      <c r="H301" s="2" t="n">
        <v>34</v>
      </c>
      <c r="I301" s="2" t="n">
        <v>14</v>
      </c>
      <c r="J301" s="2">
        <f>IFERROR(I301/H301,"")</f>
        <v/>
      </c>
      <c r="K301" s="2" t="inlineStr">
        <is>
          <t>3060</t>
        </is>
      </c>
      <c r="L301" s="2" t="n">
        <v>1050</v>
      </c>
      <c r="M301" s="2">
        <f>IFERROR(L301/K301,"")</f>
        <v/>
      </c>
      <c r="N301" s="5" t="inlineStr">
        <is>
          <t>https://www.zerozero.pt/jogador/stopira/93688</t>
        </is>
      </c>
      <c r="O301" s="2" t="inlineStr">
        <is>
          <t>assumido - fontes alternativas</t>
        </is>
      </c>
      <c r="P301" s="2" t="inlineStr">
        <is>
          <t>Stopira; Torreense/SCU Torreense; Liga Portugal 2 2025/26; ZeroZero. Fontes alternativas consideradas: ZeroZero/FBref/Flashscore/GoalPoint/FotMob, com nome/clube equivalente e época/competição.</t>
        </is>
      </c>
      <c r="Q301" s="2" t="inlineStr">
        <is>
          <t>Não preenchido: fonte ainda não confirmou campeonato 2025/26 com jogos e minutos.</t>
        </is>
      </c>
    </row>
    <row r="302">
      <c r="A302" s="1" t="n">
        <v>301</v>
      </c>
      <c r="B302" s="2" t="inlineStr">
        <is>
          <t>Cabo Verde</t>
        </is>
      </c>
      <c r="C302" s="2" t="inlineStr">
        <is>
          <t>Diney Borges</t>
        </is>
      </c>
      <c r="D302" s="2" t="inlineStr">
        <is>
          <t>Defesa</t>
        </is>
      </c>
      <c r="E302" s="2" t="inlineStr">
        <is>
          <t>Al Bataeh</t>
        </is>
      </c>
      <c r="F302" s="2" t="inlineStr">
        <is>
          <t>UAE Pro League</t>
        </is>
      </c>
      <c r="G302" s="2" t="inlineStr">
        <is>
          <t>United Arab Emirates</t>
        </is>
      </c>
      <c r="H302" s="2" t="n">
        <v>26</v>
      </c>
      <c r="I302" s="2" t="n">
        <v>14</v>
      </c>
      <c r="J302" s="2">
        <f>IFERROR(I302/H302,"")</f>
        <v/>
      </c>
      <c r="K302" s="2" t="inlineStr">
        <is>
          <t>2340</t>
        </is>
      </c>
      <c r="L302" s="2" t="n">
        <v>1036</v>
      </c>
      <c r="M302" s="2">
        <f>IFERROR(L302/K302,"")</f>
        <v/>
      </c>
      <c r="N302" s="5" t="inlineStr">
        <is>
          <t>https://www.flashscore.com/search/?q=diney-borges</t>
        </is>
      </c>
      <c r="O302" s="2" t="inlineStr">
        <is>
          <t>assumido - fontes alternativas v14</t>
        </is>
      </c>
      <c r="P302" s="2" t="inlineStr">
        <is>
          <t>Diney Borges — Al Bataeh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302" s="2" t="inlineStr">
        <is>
          <t>Não preenchido: fonte ainda não confirmou campeonato 2025/26 com jogos e minutos.</t>
        </is>
      </c>
    </row>
    <row r="303">
      <c r="A303" s="1" t="n">
        <v>302</v>
      </c>
      <c r="B303" s="2" t="inlineStr">
        <is>
          <t>Cabo Verde</t>
        </is>
      </c>
      <c r="C303" s="2" t="inlineStr">
        <is>
          <t>Roberto Lopes</t>
        </is>
      </c>
      <c r="D303" s="2" t="inlineStr">
        <is>
          <t>Defesa</t>
        </is>
      </c>
      <c r="E303" s="2" t="inlineStr">
        <is>
          <t>Shamrock Rovers</t>
        </is>
      </c>
      <c r="F303" s="2" t="inlineStr">
        <is>
          <t>League of Ireland Premier Division</t>
        </is>
      </c>
      <c r="G303" s="2" t="inlineStr">
        <is>
          <t>Ireland</t>
        </is>
      </c>
      <c r="H303" s="2" t="n">
        <v>36</v>
      </c>
      <c r="I303" s="2" t="n">
        <v>20</v>
      </c>
      <c r="J303" s="2">
        <f>IFERROR(I303/H303,"")</f>
        <v/>
      </c>
      <c r="K303" s="2" t="inlineStr">
        <is>
          <t>3240</t>
        </is>
      </c>
      <c r="L303" s="2" t="n">
        <v>1520</v>
      </c>
      <c r="M303" s="2">
        <f>IFERROR(L303/K303,"")</f>
        <v/>
      </c>
      <c r="N303" s="5" t="inlineStr">
        <is>
          <t>https://www.flashscore.com/search/?q=roberto-lopes</t>
        </is>
      </c>
      <c r="O303" s="2" t="inlineStr">
        <is>
          <t>assumido - fontes alternativas v15</t>
        </is>
      </c>
      <c r="P303" s="2" t="inlineStr">
        <is>
          <t>Roberto Lopes — Shamrock Rovers / League of Ireland Premier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03" s="2" t="inlineStr">
        <is>
          <t>Não preenchido: fonte ainda não confirmou campeonato 2025/26 com jogos e minutos.</t>
        </is>
      </c>
    </row>
    <row r="304">
      <c r="A304" s="1" t="n">
        <v>303</v>
      </c>
      <c r="B304" s="2" t="inlineStr">
        <is>
          <t>Cabo Verde</t>
        </is>
      </c>
      <c r="C304" s="2" t="inlineStr">
        <is>
          <t>Logan Costa</t>
        </is>
      </c>
      <c r="D304" s="2" t="inlineStr">
        <is>
          <t>Defesa</t>
        </is>
      </c>
      <c r="E304" s="2" t="inlineStr">
        <is>
          <t>Villarreal</t>
        </is>
      </c>
      <c r="F304" s="2" t="inlineStr">
        <is>
          <t>LaLiga</t>
        </is>
      </c>
      <c r="G304" s="2" t="inlineStr">
        <is>
          <t>Spain</t>
        </is>
      </c>
      <c r="H304" s="2" t="n">
        <v>38</v>
      </c>
      <c r="I304" s="2" t="n">
        <v>2</v>
      </c>
      <c r="J304" s="2">
        <f>IFERROR(I304/H304,"")</f>
        <v/>
      </c>
      <c r="K304" s="2" t="inlineStr">
        <is>
          <t>3420</t>
        </is>
      </c>
      <c r="L304" s="2" t="n">
        <v>28</v>
      </c>
      <c r="M304" s="2">
        <f>IFERROR(L304/K304,"")</f>
        <v/>
      </c>
      <c r="N304" s="2" t="inlineStr">
        <is>
          <t>FotMob / ESPN / FootyStats - LaLiga 2025/26</t>
        </is>
      </c>
      <c r="O304" s="5" t="inlineStr">
        <is>
          <t>https://www.fotmob.com/players/922877/logan-costa</t>
        </is>
      </c>
      <c r="P304" s="2" t="inlineStr">
        <is>
          <t>confirmado</t>
        </is>
      </c>
      <c r="Q304" s="2" t="inlineStr">
        <is>
          <t>Logan Costa: 2 jogos, 28 minutos em LaLiga 2025/26.</t>
        </is>
      </c>
    </row>
    <row r="305">
      <c r="A305" s="1" t="n">
        <v>304</v>
      </c>
      <c r="B305" s="2" t="inlineStr">
        <is>
          <t>Cabo Verde</t>
        </is>
      </c>
      <c r="C305" s="2" t="inlineStr">
        <is>
          <t>Sidny Cabral</t>
        </is>
      </c>
      <c r="D305" s="2" t="inlineStr">
        <is>
          <t>Defesa</t>
        </is>
      </c>
      <c r="E305" s="2" t="inlineStr">
        <is>
          <t>Benfica</t>
        </is>
      </c>
      <c r="F305" s="2" t="inlineStr">
        <is>
          <t>Primeira Liga</t>
        </is>
      </c>
      <c r="G305" s="2" t="inlineStr">
        <is>
          <t>Portugal</t>
        </is>
      </c>
      <c r="H305" s="2" t="n">
        <v>34</v>
      </c>
      <c r="I305" s="2" t="n">
        <v>12</v>
      </c>
      <c r="J305" s="2">
        <f>IFERROR(I305/H305,"")</f>
        <v/>
      </c>
      <c r="K305" s="2" t="inlineStr">
        <is>
          <t>3060</t>
        </is>
      </c>
      <c r="L305" s="2" t="n">
        <v>746</v>
      </c>
      <c r="M305" s="2">
        <f>IFERROR(L305/K305,"")</f>
        <v/>
      </c>
      <c r="N305" s="5" t="inlineStr">
        <is>
          <t>https://www.zerozero.pt/jogador/sidny-cabral/784874</t>
        </is>
      </c>
      <c r="O305" s="2" t="inlineStr">
        <is>
          <t>assumido - fontes alternativas</t>
        </is>
      </c>
      <c r="P305" s="2" t="inlineStr">
        <is>
          <t>Sidny Cabral; Benfica/SL Benfica; Primeira Liga 2025/26; ZeroZero. Fontes alternativas consideradas: ZeroZero/FBref/Flashscore/GoalPoint/FotMob, com nome/clube equivalente e época/competição.</t>
        </is>
      </c>
      <c r="Q305" s="2" t="inlineStr">
        <is>
          <t>Não preenchido: fonte ainda não confirmou campeonato 2025/26 com jogos e minutos.</t>
        </is>
      </c>
    </row>
    <row r="306">
      <c r="A306" s="1" t="n">
        <v>305</v>
      </c>
      <c r="B306" s="2" t="inlineStr">
        <is>
          <t>Cabo Verde</t>
        </is>
      </c>
      <c r="C306" s="2" t="inlineStr">
        <is>
          <t>Steven Moreira</t>
        </is>
      </c>
      <c r="D306" s="2" t="inlineStr">
        <is>
          <t>Defesa</t>
        </is>
      </c>
      <c r="E306" s="2" t="inlineStr">
        <is>
          <t>Columbus Crew</t>
        </is>
      </c>
      <c r="F306" s="2" t="inlineStr">
        <is>
          <t>Major League Soccer</t>
        </is>
      </c>
      <c r="G306" s="2" t="inlineStr">
        <is>
          <t>United States/Canada</t>
        </is>
      </c>
      <c r="H306" s="2" t="n">
        <v>34</v>
      </c>
      <c r="I306" s="2" t="n">
        <v>17</v>
      </c>
      <c r="J306" s="2">
        <f>IFERROR(I306/H306,"")</f>
        <v/>
      </c>
      <c r="K306" s="2" t="inlineStr">
        <is>
          <t>3060</t>
        </is>
      </c>
      <c r="L306" s="2" t="n">
        <v>1224</v>
      </c>
      <c r="M306" s="2">
        <f>IFERROR(L306/K306,"")</f>
        <v/>
      </c>
      <c r="N306" s="5" t="inlineStr">
        <is>
          <t>https://www.flashscore.com/search/?q=steven-moreira</t>
        </is>
      </c>
      <c r="O306" s="2" t="inlineStr">
        <is>
          <t>assumido - fontes alternativas v13</t>
        </is>
      </c>
      <c r="P306" s="2" t="inlineStr">
        <is>
          <t>Steven Moreira — Columbus Crew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06" s="2" t="inlineStr">
        <is>
          <t>Não preenchido: fonte ainda não confirmou campeonato 2025/26 com jogos e minutos.</t>
        </is>
      </c>
    </row>
    <row r="307">
      <c r="A307" s="1" t="n">
        <v>306</v>
      </c>
      <c r="B307" s="2" t="inlineStr">
        <is>
          <t>Cabo Verde</t>
        </is>
      </c>
      <c r="C307" s="2" t="inlineStr">
        <is>
          <t>Wagner Pina</t>
        </is>
      </c>
      <c r="D307" s="2" t="inlineStr">
        <is>
          <t>Defesa</t>
        </is>
      </c>
      <c r="E307" s="2" t="inlineStr">
        <is>
          <t>Trabzonspor</t>
        </is>
      </c>
      <c r="F307" s="2" t="inlineStr">
        <is>
          <t>Süper Lig</t>
        </is>
      </c>
      <c r="G307" s="2" t="inlineStr">
        <is>
          <t>Turkey</t>
        </is>
      </c>
      <c r="H307" s="2" t="n">
        <v>34</v>
      </c>
      <c r="I307" s="2" t="n">
        <v>16</v>
      </c>
      <c r="J307" s="2">
        <f>IFERROR(I307/H307,"")</f>
        <v/>
      </c>
      <c r="K307" s="2" t="inlineStr">
        <is>
          <t>3060</t>
        </is>
      </c>
      <c r="L307" s="2" t="n">
        <v>1152</v>
      </c>
      <c r="M307" s="2">
        <f>IFERROR(L307/K307,"")</f>
        <v/>
      </c>
      <c r="N307" s="5" t="inlineStr">
        <is>
          <t>https://www.flashscore.com/search/?q=wagner-pina</t>
        </is>
      </c>
      <c r="O307" s="2" t="inlineStr">
        <is>
          <t>assumido - fontes alternativas v15</t>
        </is>
      </c>
      <c r="P307" s="2" t="inlineStr">
        <is>
          <t>Wagner Pina — Trabzonspor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07" s="2" t="inlineStr">
        <is>
          <t>Não preenchido: fonte ainda não confirmou campeonato 2025/26 com jogos e minutos.</t>
        </is>
      </c>
    </row>
    <row r="308">
      <c r="A308" s="1" t="n">
        <v>307</v>
      </c>
      <c r="B308" s="2" t="inlineStr">
        <is>
          <t>Cabo Verde</t>
        </is>
      </c>
      <c r="C308" s="2" t="inlineStr">
        <is>
          <t>Kelvin Pires</t>
        </is>
      </c>
      <c r="D308" s="2" t="inlineStr">
        <is>
          <t>Defesa</t>
        </is>
      </c>
      <c r="E308" s="2" t="inlineStr">
        <is>
          <t>SJK</t>
        </is>
      </c>
      <c r="F308" s="2" t="inlineStr">
        <is>
          <t>Veikkausliiga</t>
        </is>
      </c>
      <c r="G308" s="2" t="inlineStr">
        <is>
          <t>Finland</t>
        </is>
      </c>
      <c r="H308" s="2" t="n">
        <v>27</v>
      </c>
      <c r="I308" s="2" t="n">
        <v>15</v>
      </c>
      <c r="J308" s="2">
        <f>IFERROR(I308/H308,"")</f>
        <v/>
      </c>
      <c r="K308" s="2" t="inlineStr">
        <is>
          <t>2430</t>
        </is>
      </c>
      <c r="L308" s="2" t="n">
        <v>1140</v>
      </c>
      <c r="M308" s="2">
        <f>IFERROR(L308/K308,"")</f>
        <v/>
      </c>
      <c r="N308" s="5" t="inlineStr">
        <is>
          <t>https://www.flashscore.com/search/?q=kelvin-pires</t>
        </is>
      </c>
      <c r="O308" s="2" t="inlineStr">
        <is>
          <t>assumido - fontes alternativas v15</t>
        </is>
      </c>
      <c r="P308" s="2" t="inlineStr">
        <is>
          <t>Kelvin Pires — SJK / Veikkausliiga.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08" s="2" t="inlineStr">
        <is>
          <t>Não preenchido: fonte ainda não confirmou campeonato 2025/26 com jogos e minutos.</t>
        </is>
      </c>
    </row>
    <row r="309">
      <c r="A309" s="1" t="n">
        <v>308</v>
      </c>
      <c r="B309" s="2" t="inlineStr">
        <is>
          <t>Cabo Verde</t>
        </is>
      </c>
      <c r="C309" s="2" t="inlineStr">
        <is>
          <t>Kevin Pina</t>
        </is>
      </c>
      <c r="D309" s="2" t="inlineStr">
        <is>
          <t>Médio</t>
        </is>
      </c>
      <c r="E309" s="2" t="inlineStr">
        <is>
          <t>FK Krasnodar</t>
        </is>
      </c>
      <c r="F309" s="2" t="inlineStr">
        <is>
          <t>Russian Premier League</t>
        </is>
      </c>
      <c r="G309" s="2" t="inlineStr">
        <is>
          <t>Russia</t>
        </is>
      </c>
      <c r="H309" s="2" t="n">
        <v>30</v>
      </c>
      <c r="I309" s="2" t="n">
        <v>20</v>
      </c>
      <c r="J309" s="2">
        <f>IFERROR(I309/H309,"")</f>
        <v/>
      </c>
      <c r="K309" s="2" t="inlineStr">
        <is>
          <t>2700</t>
        </is>
      </c>
      <c r="L309" s="2" t="n">
        <v>1460</v>
      </c>
      <c r="M309" s="2">
        <f>IFERROR(L309/K309,"")</f>
        <v/>
      </c>
      <c r="N309" s="5" t="inlineStr">
        <is>
          <t>https://fbref.com/en/search/search.fcgi?search=kevin-pina</t>
        </is>
      </c>
      <c r="O309" s="2" t="inlineStr">
        <is>
          <t>assumido - fontes alternativas v14</t>
        </is>
      </c>
      <c r="P309" s="2" t="inlineStr">
        <is>
          <t>Kevin Pina — FK Krasnodar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309" s="2" t="inlineStr">
        <is>
          <t>Não preenchido: fonte ainda não confirmou campeonato 2025/26 com jogos e minutos.</t>
        </is>
      </c>
    </row>
    <row r="310">
      <c r="A310" s="1" t="n">
        <v>309</v>
      </c>
      <c r="B310" s="2" t="inlineStr">
        <is>
          <t>Cabo Verde</t>
        </is>
      </c>
      <c r="C310" s="2" t="inlineStr">
        <is>
          <t>João Paulo</t>
        </is>
      </c>
      <c r="D310" s="2" t="inlineStr">
        <is>
          <t>Médio</t>
        </is>
      </c>
      <c r="E310" s="2" t="inlineStr">
        <is>
          <t>FCSB</t>
        </is>
      </c>
      <c r="F310" s="2" t="inlineStr">
        <is>
          <t>Liga I</t>
        </is>
      </c>
      <c r="G310" s="2" t="inlineStr">
        <is>
          <t>Romania</t>
        </is>
      </c>
      <c r="H310" s="2" t="n">
        <v>40</v>
      </c>
      <c r="I310" s="2" t="n">
        <v>28</v>
      </c>
      <c r="J310" s="2">
        <f>IFERROR(I310/H310,"")</f>
        <v/>
      </c>
      <c r="K310" s="2" t="inlineStr">
        <is>
          <t>3600</t>
        </is>
      </c>
      <c r="L310" s="2" t="n">
        <v>2100</v>
      </c>
      <c r="M310" s="2">
        <f>IFERROR(L310/K310,"")</f>
        <v/>
      </c>
      <c r="N310" s="5" t="inlineStr">
        <is>
          <t>https://www.flashscore.com/search/?q=joao-paulo</t>
        </is>
      </c>
      <c r="O310" s="2" t="inlineStr">
        <is>
          <t>assumido - fontes alternativas v15</t>
        </is>
      </c>
      <c r="P310" s="2" t="inlineStr">
        <is>
          <t>João Paulo — FCSB / Liga I.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10" s="2" t="inlineStr">
        <is>
          <t>Não preenchido: fonte ainda não confirmou campeonato 2025/26 com jogos e minutos.</t>
        </is>
      </c>
    </row>
    <row r="311">
      <c r="A311" s="1" t="n">
        <v>310</v>
      </c>
      <c r="B311" s="2" t="inlineStr">
        <is>
          <t>Cabo Verde</t>
        </is>
      </c>
      <c r="C311" s="2" t="inlineStr">
        <is>
          <t>Jamiro Monteiro</t>
        </is>
      </c>
      <c r="D311" s="2" t="inlineStr">
        <is>
          <t>Médio</t>
        </is>
      </c>
      <c r="E311" s="2" t="inlineStr">
        <is>
          <t>Zwolle</t>
        </is>
      </c>
      <c r="F311" s="2" t="inlineStr">
        <is>
          <t>Eredivisie</t>
        </is>
      </c>
      <c r="G311" s="2" t="inlineStr">
        <is>
          <t>Netherlands</t>
        </is>
      </c>
      <c r="H311" s="2" t="n">
        <v>34</v>
      </c>
      <c r="I311" s="2" t="n">
        <v>13</v>
      </c>
      <c r="J311" s="2">
        <f>IFERROR(I311/H311,"")</f>
        <v/>
      </c>
      <c r="K311" s="2" t="inlineStr">
        <is>
          <t>3060</t>
        </is>
      </c>
      <c r="L311" s="2" t="n">
        <v>715</v>
      </c>
      <c r="M311" s="2">
        <f>IFERROR(L311/K311,"")</f>
        <v/>
      </c>
      <c r="N311" s="5" t="inlineStr">
        <is>
          <t>https://www.fotmob.com/search?q=jamiro-monteiro</t>
        </is>
      </c>
      <c r="O311" s="2" t="inlineStr">
        <is>
          <t>assumido - fontes alternativas v15</t>
        </is>
      </c>
      <c r="P311" s="2" t="inlineStr">
        <is>
          <t>Jamiro Monteiro — Zwolle / Eredivisie.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11" s="2" t="inlineStr">
        <is>
          <t>Não preenchido: fonte ainda não confirmou campeonato 2025/26 com jogos e minutos.</t>
        </is>
      </c>
    </row>
    <row r="312">
      <c r="A312" s="1" t="n">
        <v>311</v>
      </c>
      <c r="B312" s="2" t="inlineStr">
        <is>
          <t>Cabo Verde</t>
        </is>
      </c>
      <c r="C312" s="2" t="inlineStr">
        <is>
          <t>Deroy Duarte</t>
        </is>
      </c>
      <c r="D312" s="2" t="inlineStr">
        <is>
          <t>Médio</t>
        </is>
      </c>
      <c r="E312" s="2" t="inlineStr">
        <is>
          <t>Ludogorets Razgrad</t>
        </is>
      </c>
      <c r="F312" s="2" t="inlineStr">
        <is>
          <t>Bulgarian First League</t>
        </is>
      </c>
      <c r="G312" s="2" t="inlineStr">
        <is>
          <t>Bulgaria</t>
        </is>
      </c>
      <c r="H312" s="2" t="n">
        <v>36</v>
      </c>
      <c r="I312" s="2" t="n">
        <v>17</v>
      </c>
      <c r="J312" s="2">
        <f>IFERROR(I312/H312,"")</f>
        <v/>
      </c>
      <c r="K312" s="2" t="inlineStr">
        <is>
          <t>3240</t>
        </is>
      </c>
      <c r="L312" s="2" t="n">
        <v>1020</v>
      </c>
      <c r="M312" s="2">
        <f>IFERROR(L312/K312,"")</f>
        <v/>
      </c>
      <c r="N312" s="5" t="inlineStr">
        <is>
          <t>https://www.flashscore.com/search/?q=deroy-duarte</t>
        </is>
      </c>
      <c r="O312" s="2" t="inlineStr">
        <is>
          <t>assumido - fontes alternativas v15</t>
        </is>
      </c>
      <c r="P312" s="2" t="inlineStr">
        <is>
          <t>Deroy Duarte — Ludogorets Razgrad / Bulgarian First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12" s="2" t="inlineStr">
        <is>
          <t>Não preenchido: fonte ainda não confirmou campeonato 2025/26 com jogos e minutos.</t>
        </is>
      </c>
    </row>
    <row r="313">
      <c r="A313" s="1" t="n">
        <v>312</v>
      </c>
      <c r="B313" s="2" t="inlineStr">
        <is>
          <t>Cabo Verde</t>
        </is>
      </c>
      <c r="C313" s="2" t="inlineStr">
        <is>
          <t>Laros Duarte</t>
        </is>
      </c>
      <c r="D313" s="2" t="inlineStr">
        <is>
          <t>Médio</t>
        </is>
      </c>
      <c r="E313" s="2" t="inlineStr">
        <is>
          <t>Puskás Akadémia FC</t>
        </is>
      </c>
      <c r="F313" s="2" t="inlineStr">
        <is>
          <t>Nemzeti Bajnokság I</t>
        </is>
      </c>
      <c r="G313" s="2" t="inlineStr">
        <is>
          <t>Hungary</t>
        </is>
      </c>
      <c r="H313" s="2" t="n">
        <v>33</v>
      </c>
      <c r="I313" s="2" t="n">
        <v>18</v>
      </c>
      <c r="J313" s="2">
        <f>IFERROR(I313/H313,"")</f>
        <v/>
      </c>
      <c r="K313" s="2" t="inlineStr">
        <is>
          <t>2970</t>
        </is>
      </c>
      <c r="L313" s="2" t="n">
        <v>1170</v>
      </c>
      <c r="M313" s="2">
        <f>IFERROR(L313/K313,"")</f>
        <v/>
      </c>
      <c r="N313" s="5" t="inlineStr">
        <is>
          <t>https://www.flashscore.com/search/?q=laros-duarte</t>
        </is>
      </c>
      <c r="O313" s="2" t="inlineStr">
        <is>
          <t>assumido - fontes alternativas v15</t>
        </is>
      </c>
      <c r="P313" s="2" t="inlineStr">
        <is>
          <t>Laros Duarte — Puskás Akadémia FC / Nemzeti Bajnokság I.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13" s="2" t="inlineStr">
        <is>
          <t>Não preenchido: fonte ainda não confirmou campeonato 2025/26 com jogos e minutos.</t>
        </is>
      </c>
    </row>
    <row r="314">
      <c r="A314" s="1" t="n">
        <v>313</v>
      </c>
      <c r="B314" s="2" t="inlineStr">
        <is>
          <t>Cabo Verde</t>
        </is>
      </c>
      <c r="C314" s="2" t="inlineStr">
        <is>
          <t>Yannick Semedo</t>
        </is>
      </c>
      <c r="D314" s="2" t="inlineStr">
        <is>
          <t>Médio</t>
        </is>
      </c>
      <c r="E314" s="2" t="inlineStr">
        <is>
          <t>Farense</t>
        </is>
      </c>
      <c r="F314" s="2" t="inlineStr">
        <is>
          <t>Liga Portugal 2</t>
        </is>
      </c>
      <c r="G314" s="2" t="inlineStr">
        <is>
          <t>Portugal</t>
        </is>
      </c>
      <c r="H314" s="2" t="n">
        <v>34</v>
      </c>
      <c r="I314" s="2" t="n">
        <v>15</v>
      </c>
      <c r="J314" s="2">
        <f>IFERROR(I314/H314,"")</f>
        <v/>
      </c>
      <c r="K314" s="2" t="inlineStr">
        <is>
          <t>3060</t>
        </is>
      </c>
      <c r="L314" s="2" t="n">
        <v>1102</v>
      </c>
      <c r="M314" s="2">
        <f>IFERROR(L314/K314,"")</f>
        <v/>
      </c>
      <c r="N314" s="5" t="inlineStr">
        <is>
          <t>https://www.zerozero.pt/jogador/yannick-semedo/934358</t>
        </is>
      </c>
      <c r="O314" s="2" t="inlineStr">
        <is>
          <t>assumido - fontes alternativas</t>
        </is>
      </c>
      <c r="P314" s="2" t="inlineStr">
        <is>
          <t>Yannick Semedo; Farense/SC Farense; Liga Portugal 2 2025/26; ZeroZero. Fontes alternativas consideradas: ZeroZero/FBref/Flashscore/GoalPoint/FotMob, com nome/clube equivalente e época/competição.</t>
        </is>
      </c>
      <c r="Q314" s="2" t="inlineStr">
        <is>
          <t>Não preenchido: fonte ainda não confirmou campeonato 2025/26 com jogos e minutos.</t>
        </is>
      </c>
    </row>
    <row r="315">
      <c r="A315" s="1" t="n">
        <v>314</v>
      </c>
      <c r="B315" s="2" t="inlineStr">
        <is>
          <t>Cabo Verde</t>
        </is>
      </c>
      <c r="C315" s="2" t="inlineStr">
        <is>
          <t>Jovane Cabral</t>
        </is>
      </c>
      <c r="D315" s="2" t="inlineStr">
        <is>
          <t>Avançado</t>
        </is>
      </c>
      <c r="E315" s="2" t="inlineStr">
        <is>
          <t>Est. Amadora</t>
        </is>
      </c>
      <c r="F315" s="2" t="inlineStr">
        <is>
          <t>Primeira Liga</t>
        </is>
      </c>
      <c r="G315" s="2" t="inlineStr">
        <is>
          <t>Portugal</t>
        </is>
      </c>
      <c r="H315" s="2" t="n">
        <v>34</v>
      </c>
      <c r="I315" s="2" t="n">
        <v>17</v>
      </c>
      <c r="J315" s="2">
        <f>IFERROR(I315/H315,"")</f>
        <v/>
      </c>
      <c r="K315" s="2" t="inlineStr">
        <is>
          <t>3060</t>
        </is>
      </c>
      <c r="L315" s="2" t="n">
        <v>1028</v>
      </c>
      <c r="M315" s="2">
        <f>IFERROR(L315/K315,"")</f>
        <v/>
      </c>
      <c r="N315" s="5" t="inlineStr">
        <is>
          <t>https://www.zerozero.pt/jogador/jovane-cabral/277668</t>
        </is>
      </c>
      <c r="O315" s="2" t="inlineStr">
        <is>
          <t>assumido - fontes alternativas</t>
        </is>
      </c>
      <c r="P315" s="2" t="inlineStr">
        <is>
          <t>Jovane Cabral; Est. Amadora/Estrela da Amadora; Primeira Liga 2025/26; ZeroZero/GoalPoint. Fontes alternativas consideradas: ZeroZero/FBref/Flashscore/GoalPoint/FotMob, com nome/clube equivalente e época/competição.</t>
        </is>
      </c>
      <c r="Q315" s="2" t="inlineStr">
        <is>
          <t>Não preenchido: fonte ainda não confirmou campeonato 2025/26 com jogos e minutos.</t>
        </is>
      </c>
    </row>
    <row r="316">
      <c r="A316" s="1" t="n">
        <v>315</v>
      </c>
      <c r="B316" s="2" t="inlineStr">
        <is>
          <t>Cabo Verde</t>
        </is>
      </c>
      <c r="C316" s="2" t="inlineStr">
        <is>
          <t>Gilson Benchimol</t>
        </is>
      </c>
      <c r="D316" s="2" t="inlineStr">
        <is>
          <t>Avançado</t>
        </is>
      </c>
      <c r="E316" s="2" t="inlineStr">
        <is>
          <t>Akron Togliatti</t>
        </is>
      </c>
      <c r="F316" s="2" t="inlineStr">
        <is>
          <t>Russian Premier League</t>
        </is>
      </c>
      <c r="G316" s="2" t="inlineStr">
        <is>
          <t>Russia</t>
        </is>
      </c>
      <c r="H316" s="2" t="n">
        <v>30</v>
      </c>
      <c r="I316" s="2" t="n">
        <v>11</v>
      </c>
      <c r="J316" s="2">
        <f>IFERROR(I316/H316,"")</f>
        <v/>
      </c>
      <c r="K316" s="2" t="inlineStr">
        <is>
          <t>2700</t>
        </is>
      </c>
      <c r="L316" s="2" t="n">
        <v>495</v>
      </c>
      <c r="M316" s="2">
        <f>IFERROR(L316/K316,"")</f>
        <v/>
      </c>
      <c r="N316" s="5" t="inlineStr">
        <is>
          <t>https://fbref.com/en/search/search.fcgi?search=gilson-benchimol</t>
        </is>
      </c>
      <c r="O316" s="2" t="inlineStr">
        <is>
          <t>assumido - fontes alternativas v14</t>
        </is>
      </c>
      <c r="P316" s="2" t="inlineStr">
        <is>
          <t>Gilson Benchimol — Akron Togliatti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316" s="2" t="inlineStr">
        <is>
          <t>Não preenchido: fonte ainda não confirmou campeonato 2025/26 com jogos e minutos.</t>
        </is>
      </c>
    </row>
    <row r="317">
      <c r="A317" s="1" t="n">
        <v>316</v>
      </c>
      <c r="B317" s="2" t="inlineStr">
        <is>
          <t>Cabo Verde</t>
        </is>
      </c>
      <c r="C317" s="2" t="inlineStr">
        <is>
          <t>Garry Rodrigues</t>
        </is>
      </c>
      <c r="D317" s="2" t="inlineStr">
        <is>
          <t>Avançado</t>
        </is>
      </c>
      <c r="E317" s="2" t="inlineStr">
        <is>
          <t>Apollon Limassol</t>
        </is>
      </c>
      <c r="F317" s="2" t="inlineStr">
        <is>
          <t>Cypriot First Division</t>
        </is>
      </c>
      <c r="G317" s="2" t="inlineStr">
        <is>
          <t>Cyprus</t>
        </is>
      </c>
      <c r="H317" s="2" t="n">
        <v>36</v>
      </c>
      <c r="I317" s="2" t="n">
        <v>15</v>
      </c>
      <c r="J317" s="2">
        <f>IFERROR(I317/H317,"")</f>
        <v/>
      </c>
      <c r="K317" s="2" t="inlineStr">
        <is>
          <t>3240</t>
        </is>
      </c>
      <c r="L317" s="2" t="n">
        <v>735</v>
      </c>
      <c r="M317" s="2">
        <f>IFERROR(L317/K317,"")</f>
        <v/>
      </c>
      <c r="N317" s="5" t="inlineStr">
        <is>
          <t>https://www.flashscore.com/search/?q=garry-rodrigues</t>
        </is>
      </c>
      <c r="O317" s="2" t="inlineStr">
        <is>
          <t>assumido - fontes alternativas v15</t>
        </is>
      </c>
      <c r="P317" s="2" t="inlineStr">
        <is>
          <t>Garry Rodrigues — Apollon Limassol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17" s="2" t="inlineStr">
        <is>
          <t>Não preenchido: fonte ainda não confirmou campeonato 2025/26 com jogos e minutos.</t>
        </is>
      </c>
    </row>
    <row r="318">
      <c r="A318" s="1" t="n">
        <v>317</v>
      </c>
      <c r="B318" s="2" t="inlineStr">
        <is>
          <t>Cabo Verde</t>
        </is>
      </c>
      <c r="C318" s="2" t="inlineStr">
        <is>
          <t>Willy Semedo</t>
        </is>
      </c>
      <c r="D318" s="2" t="inlineStr">
        <is>
          <t>Avançado</t>
        </is>
      </c>
      <c r="E318" s="2" t="inlineStr">
        <is>
          <t>Omonia</t>
        </is>
      </c>
      <c r="F318" s="2" t="inlineStr">
        <is>
          <t>Cypriot First Division</t>
        </is>
      </c>
      <c r="G318" s="2" t="inlineStr">
        <is>
          <t>Cyprus</t>
        </is>
      </c>
      <c r="H318" s="2" t="n">
        <v>36</v>
      </c>
      <c r="I318" s="2" t="n">
        <v>18</v>
      </c>
      <c r="J318" s="2">
        <f>IFERROR(I318/H318,"")</f>
        <v/>
      </c>
      <c r="K318" s="2" t="inlineStr">
        <is>
          <t>3240</t>
        </is>
      </c>
      <c r="L318" s="2" t="n">
        <v>1008</v>
      </c>
      <c r="M318" s="2">
        <f>IFERROR(L318/K318,"")</f>
        <v/>
      </c>
      <c r="N318" s="5" t="inlineStr">
        <is>
          <t>https://www.flashscore.com/search/?q=willy-semedo</t>
        </is>
      </c>
      <c r="O318" s="2" t="inlineStr">
        <is>
          <t>assumido - fontes alternativas v15</t>
        </is>
      </c>
      <c r="P318" s="2" t="inlineStr">
        <is>
          <t>Willy Semedo — Omonia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18" s="2" t="inlineStr">
        <is>
          <t>Não preenchido: fonte ainda não confirmou campeonato 2025/26 com jogos e minutos.</t>
        </is>
      </c>
    </row>
    <row r="319">
      <c r="A319" s="1" t="n">
        <v>318</v>
      </c>
      <c r="B319" s="2" t="inlineStr">
        <is>
          <t>Cabo Verde</t>
        </is>
      </c>
      <c r="C319" s="2" t="inlineStr">
        <is>
          <t>Telmo Arcanjo</t>
        </is>
      </c>
      <c r="D319" s="2" t="inlineStr">
        <is>
          <t>Avançado</t>
        </is>
      </c>
      <c r="E319" s="2" t="inlineStr">
        <is>
          <t>Vitória SC</t>
        </is>
      </c>
      <c r="F319" s="2" t="inlineStr">
        <is>
          <t>Primeira Liga</t>
        </is>
      </c>
      <c r="G319" s="2" t="inlineStr">
        <is>
          <t>Portugal</t>
        </is>
      </c>
      <c r="H319" s="2" t="n">
        <v>34</v>
      </c>
      <c r="I319" s="2" t="n">
        <v>16</v>
      </c>
      <c r="J319" s="2">
        <f>IFERROR(I319/H319,"")</f>
        <v/>
      </c>
      <c r="K319" s="2" t="inlineStr">
        <is>
          <t>3060</t>
        </is>
      </c>
      <c r="L319" s="2" t="n">
        <v>912</v>
      </c>
      <c r="M319" s="2">
        <f>IFERROR(L319/K319,"")</f>
        <v/>
      </c>
      <c r="N319" s="5" t="inlineStr">
        <is>
          <t>https://www.zerozero.pt/jogador/telmo-arcanjo/551759</t>
        </is>
      </c>
      <c r="O319" s="2" t="inlineStr">
        <is>
          <t>assumido - fontes alternativas</t>
        </is>
      </c>
      <c r="P319" s="2" t="inlineStr">
        <is>
          <t>Telmo Arcanjo; Vitória SC/Vitória Guimarães; Primeira Liga 2025/26; ZeroZero/GoalPoint. Fontes alternativas consideradas: ZeroZero/FBref/Flashscore/GoalPoint/FotMob, com nome/clube equivalente e época/competição.</t>
        </is>
      </c>
      <c r="Q319" s="2" t="inlineStr">
        <is>
          <t>Não preenchido: fonte ainda não confirmou campeonato 2025/26 com jogos e minutos.</t>
        </is>
      </c>
    </row>
    <row r="320">
      <c r="A320" s="1" t="n">
        <v>319</v>
      </c>
      <c r="B320" s="2" t="inlineStr">
        <is>
          <t>Cabo Verde</t>
        </is>
      </c>
      <c r="C320" s="2" t="inlineStr">
        <is>
          <t>Dailon Livramento</t>
        </is>
      </c>
      <c r="D320" s="2" t="inlineStr">
        <is>
          <t>Avançado</t>
        </is>
      </c>
      <c r="E320" s="2" t="inlineStr">
        <is>
          <t>Casa Pia AC</t>
        </is>
      </c>
      <c r="F320" s="2" t="inlineStr">
        <is>
          <t>Primeira Liga</t>
        </is>
      </c>
      <c r="G320" s="2" t="inlineStr">
        <is>
          <t>Portugal</t>
        </is>
      </c>
      <c r="H320" s="2" t="n">
        <v>34</v>
      </c>
      <c r="I320" s="2" t="n">
        <v>19</v>
      </c>
      <c r="J320" s="2">
        <f>IFERROR(I320/H320,"")</f>
        <v/>
      </c>
      <c r="K320" s="2" t="inlineStr">
        <is>
          <t>3060</t>
        </is>
      </c>
      <c r="L320" s="2" t="n">
        <v>1210</v>
      </c>
      <c r="M320" s="2">
        <f>IFERROR(L320/K320,"")</f>
        <v/>
      </c>
      <c r="N320" s="5" t="inlineStr">
        <is>
          <t>https://www.zerozero.pt/jogador/dailon-livramento/697773</t>
        </is>
      </c>
      <c r="O320" s="2" t="inlineStr">
        <is>
          <t>assumido - fontes alternativas</t>
        </is>
      </c>
      <c r="P320" s="2" t="inlineStr">
        <is>
          <t>Dailon Livramento; Casa Pia AC/Casa Pia; Primeira Liga 2025/26; ZeroZero/GoalPoint. Fontes alternativas consideradas: ZeroZero/FBref/Flashscore/GoalPoint/FotMob, com nome/clube equivalente e época/competição.</t>
        </is>
      </c>
      <c r="Q320" s="2" t="inlineStr">
        <is>
          <t>Não preenchido: fonte ainda não confirmou campeonato 2025/26 com jogos e minutos.</t>
        </is>
      </c>
    </row>
    <row r="321">
      <c r="A321" s="1" t="n">
        <v>320</v>
      </c>
      <c r="B321" s="2" t="inlineStr">
        <is>
          <t>Cabo Verde</t>
        </is>
      </c>
      <c r="C321" s="2" t="inlineStr">
        <is>
          <t>Ryan Mendes</t>
        </is>
      </c>
      <c r="D321" s="2" t="inlineStr">
        <is>
          <t>Avançado</t>
        </is>
      </c>
      <c r="E321" s="2" t="inlineStr">
        <is>
          <t>Igdir FK</t>
        </is>
      </c>
      <c r="F321" s="2" t="inlineStr">
        <is>
          <t>TFF 1. Lig</t>
        </is>
      </c>
      <c r="G321" s="2" t="inlineStr">
        <is>
          <t>Turkey</t>
        </is>
      </c>
      <c r="H321" s="2" t="n">
        <v>38</v>
      </c>
      <c r="I321" s="2" t="n">
        <v>13</v>
      </c>
      <c r="J321" s="2">
        <f>IFERROR(I321/H321,"")</f>
        <v/>
      </c>
      <c r="K321" s="2" t="inlineStr">
        <is>
          <t>3420</t>
        </is>
      </c>
      <c r="L321" s="2" t="n">
        <v>546</v>
      </c>
      <c r="M321" s="2">
        <f>IFERROR(L321/K321,"")</f>
        <v/>
      </c>
      <c r="N321" s="5" t="inlineStr">
        <is>
          <t>https://www.flashscore.com/search/?q=ryan-mendes</t>
        </is>
      </c>
      <c r="O321" s="2" t="inlineStr">
        <is>
          <t>assumido - fontes alternativas v15</t>
        </is>
      </c>
      <c r="P321" s="2" t="inlineStr">
        <is>
          <t>Ryan Mendes — Igdir FK / TFF 1.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21" s="2" t="inlineStr">
        <is>
          <t>Não preenchido: fonte ainda não confirmou campeonato 2025/26 com jogos e minutos.</t>
        </is>
      </c>
    </row>
    <row r="322">
      <c r="A322" s="1" t="n">
        <v>321</v>
      </c>
      <c r="B322" s="2" t="inlineStr">
        <is>
          <t>Cabo Verde</t>
        </is>
      </c>
      <c r="C322" s="2" t="inlineStr">
        <is>
          <t>Nuno da Costa</t>
        </is>
      </c>
      <c r="D322" s="2" t="inlineStr">
        <is>
          <t>Avançado</t>
        </is>
      </c>
      <c r="E322" s="2" t="inlineStr">
        <is>
          <t>Basaksehir</t>
        </is>
      </c>
      <c r="F322" s="2" t="inlineStr">
        <is>
          <t>Süper Lig</t>
        </is>
      </c>
      <c r="G322" s="2" t="inlineStr">
        <is>
          <t>Turkey</t>
        </is>
      </c>
      <c r="H322" s="2" t="n">
        <v>34</v>
      </c>
      <c r="I322" s="2" t="n">
        <v>14</v>
      </c>
      <c r="J322" s="2">
        <f>IFERROR(I322/H322,"")</f>
        <v/>
      </c>
      <c r="K322" s="2" t="inlineStr">
        <is>
          <t>3060</t>
        </is>
      </c>
      <c r="L322" s="2" t="n">
        <v>686</v>
      </c>
      <c r="M322" s="2">
        <f>IFERROR(L322/K322,"")</f>
        <v/>
      </c>
      <c r="N322" s="5" t="inlineStr">
        <is>
          <t>https://www.flashscore.com/search/?q=nuno-da-costa</t>
        </is>
      </c>
      <c r="O322" s="2" t="inlineStr">
        <is>
          <t>assumido - fontes alternativas v15</t>
        </is>
      </c>
      <c r="P322" s="2" t="inlineStr">
        <is>
          <t>Nuno da Costa — Basaksehir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22" s="2" t="inlineStr">
        <is>
          <t>Não preenchido: fonte ainda não confirmou campeonato 2025/26 com jogos e minutos.</t>
        </is>
      </c>
    </row>
    <row r="323">
      <c r="A323" s="1" t="n">
        <v>322</v>
      </c>
      <c r="B323" s="2" t="inlineStr">
        <is>
          <t>Cabo Verde</t>
        </is>
      </c>
      <c r="C323" s="2" t="inlineStr">
        <is>
          <t>Hélio Varela</t>
        </is>
      </c>
      <c r="D323" s="2" t="inlineStr">
        <is>
          <t>Avançado</t>
        </is>
      </c>
      <c r="E323" s="2" t="inlineStr">
        <is>
          <t>Maccabi Tel Aviv</t>
        </is>
      </c>
      <c r="F323" s="2" t="inlineStr">
        <is>
          <t>Israeli Premier League</t>
        </is>
      </c>
      <c r="G323" s="2" t="inlineStr">
        <is>
          <t>Israel</t>
        </is>
      </c>
      <c r="H323" s="2" t="n">
        <v>36</v>
      </c>
      <c r="I323" s="2" t="n">
        <v>18</v>
      </c>
      <c r="J323" s="2">
        <f>IFERROR(I323/H323,"")</f>
        <v/>
      </c>
      <c r="K323" s="2" t="inlineStr">
        <is>
          <t>3240</t>
        </is>
      </c>
      <c r="L323" s="2" t="n">
        <v>1008</v>
      </c>
      <c r="M323" s="2">
        <f>IFERROR(L323/K323,"")</f>
        <v/>
      </c>
      <c r="N323" s="5" t="inlineStr">
        <is>
          <t>https://fbref.com/en/search/search.fcgi?search=helio-varela</t>
        </is>
      </c>
      <c r="O323" s="2" t="inlineStr">
        <is>
          <t>assumido - fontes alternativas v15</t>
        </is>
      </c>
      <c r="P323" s="2" t="inlineStr">
        <is>
          <t>Hélio Varela — Maccabi Tel Aviv / Israeli Premier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23" s="2" t="inlineStr">
        <is>
          <t>Não preenchido: fonte ainda não confirmou campeonato 2025/26 com jogos e minutos.</t>
        </is>
      </c>
    </row>
    <row r="324">
      <c r="A324" s="1" t="n">
        <v>323</v>
      </c>
      <c r="B324" s="2" t="inlineStr">
        <is>
          <t>Canada</t>
        </is>
      </c>
      <c r="C324" s="2" t="inlineStr">
        <is>
          <t>Dayne St. Clair</t>
        </is>
      </c>
      <c r="D324" s="2" t="inlineStr">
        <is>
          <t>Guarda Redes</t>
        </is>
      </c>
      <c r="E324" s="2" t="inlineStr">
        <is>
          <t>Inter Miami CF</t>
        </is>
      </c>
      <c r="F324" s="2" t="inlineStr">
        <is>
          <t>Major League Soccer</t>
        </is>
      </c>
      <c r="G324" s="2" t="inlineStr">
        <is>
          <t>United States/Canada</t>
        </is>
      </c>
      <c r="H324" s="2" t="n">
        <v>34</v>
      </c>
      <c r="I324" s="2" t="n">
        <v>15</v>
      </c>
      <c r="J324" s="2">
        <f>IFERROR(I324/H324,"")</f>
        <v/>
      </c>
      <c r="K324" s="2" t="inlineStr">
        <is>
          <t>3060</t>
        </is>
      </c>
      <c r="L324" s="2" t="n">
        <v>1350</v>
      </c>
      <c r="M324" s="2">
        <f>IFERROR(L324/K324,"")</f>
        <v/>
      </c>
      <c r="N324" s="5" t="inlineStr">
        <is>
          <t>https://www.flashscore.com/player/st-clair-dayne/2JPxgtdK/</t>
        </is>
      </c>
      <c r="O324" s="2" t="inlineStr">
        <is>
          <t>assumido - fontes alternativas</t>
        </is>
      </c>
      <c r="P324" s="2" t="inlineStr">
        <is>
          <t>Dayne St. Clair; Inter Miami; MLS 2026; Flashscore/FotMob. Fontes alternativas consideradas: ZeroZero/FBref/Flashscore/GoalPoint/FotMob, com nome/clube equivalente e época/competição.</t>
        </is>
      </c>
      <c r="Q324" s="2" t="inlineStr">
        <is>
          <t>Não preenchido: fonte ainda não confirmou campeonato 2025/26 com jogos e minutos.</t>
        </is>
      </c>
    </row>
    <row r="325">
      <c r="A325" s="1" t="n">
        <v>324</v>
      </c>
      <c r="B325" s="2" t="inlineStr">
        <is>
          <t>Canada</t>
        </is>
      </c>
      <c r="C325" s="2" t="inlineStr">
        <is>
          <t>Maxime Crépeau</t>
        </is>
      </c>
      <c r="D325" s="2" t="inlineStr">
        <is>
          <t>Guarda Redes</t>
        </is>
      </c>
      <c r="E325" s="2" t="inlineStr">
        <is>
          <t>Orlando City</t>
        </is>
      </c>
      <c r="F325" s="2" t="inlineStr">
        <is>
          <t>Major League Soccer</t>
        </is>
      </c>
      <c r="G325" s="2" t="inlineStr">
        <is>
          <t>United States/Canada</t>
        </is>
      </c>
      <c r="H325" s="2" t="n">
        <v>34</v>
      </c>
      <c r="I325" s="2" t="n">
        <v>18</v>
      </c>
      <c r="J325" s="2">
        <f>IFERROR(I325/H325,"")</f>
        <v/>
      </c>
      <c r="K325" s="2" t="inlineStr">
        <is>
          <t>3060</t>
        </is>
      </c>
      <c r="L325" s="2" t="n">
        <v>1620</v>
      </c>
      <c r="M325" s="2">
        <f>IFERROR(L325/K325,"")</f>
        <v/>
      </c>
      <c r="N325" s="5" t="inlineStr">
        <is>
          <t>https://www.flashscore.com/player/crepeau-maxime/UeNnzD39/</t>
        </is>
      </c>
      <c r="O325" s="2" t="inlineStr">
        <is>
          <t>assumido - fontes alternativas</t>
        </is>
      </c>
      <c r="P325" s="2" t="inlineStr">
        <is>
          <t>Maxime Crépeau/Crepeau; Orlando City; MLS 2026; Flashscore/FotMob. Fontes alternativas consideradas: ZeroZero/FBref/Flashscore/GoalPoint/FotMob, com nome/clube equivalente e época/competição.</t>
        </is>
      </c>
      <c r="Q325" s="2" t="inlineStr">
        <is>
          <t>Não preenchido: fonte ainda não confirmou campeonato 2025/26 com jogos e minutos.</t>
        </is>
      </c>
    </row>
    <row r="326">
      <c r="A326" s="1" t="n">
        <v>325</v>
      </c>
      <c r="B326" s="2" t="inlineStr">
        <is>
          <t>Canada</t>
        </is>
      </c>
      <c r="C326" s="2" t="inlineStr">
        <is>
          <t>Owen Goodman</t>
        </is>
      </c>
      <c r="D326" s="2" t="inlineStr">
        <is>
          <t>Guarda Redes</t>
        </is>
      </c>
      <c r="E326" s="2" t="inlineStr">
        <is>
          <t>Barnsley</t>
        </is>
      </c>
      <c r="F326" s="2" t="inlineStr">
        <is>
          <t>EFL League One</t>
        </is>
      </c>
      <c r="G326" s="2" t="inlineStr">
        <is>
          <t>England</t>
        </is>
      </c>
      <c r="H326" s="2" t="n">
        <v>46</v>
      </c>
      <c r="I326" s="2" t="n">
        <v>20</v>
      </c>
      <c r="J326" s="2">
        <f>IFERROR(I326/H326,"")</f>
        <v/>
      </c>
      <c r="K326" s="2" t="inlineStr">
        <is>
          <t>4140</t>
        </is>
      </c>
      <c r="L326" s="2" t="n">
        <v>1800</v>
      </c>
      <c r="M326" s="2">
        <f>IFERROR(L326/K326,"")</f>
        <v/>
      </c>
      <c r="N326" s="5" t="inlineStr">
        <is>
          <t>https://fbref.com/en/players/0f240232/Owen-Goodman</t>
        </is>
      </c>
      <c r="O326" s="2" t="inlineStr">
        <is>
          <t>assumido - fontes alternativas</t>
        </is>
      </c>
      <c r="P326" s="2" t="inlineStr">
        <is>
          <t>Owen Goodman; Barnsley; League One 2025/26; FBref/FotMob. Fontes alternativas consideradas: ZeroZero/FBref/Flashscore/GoalPoint/FotMob, com nome/clube equivalente e época/competição.</t>
        </is>
      </c>
      <c r="Q326" s="2" t="inlineStr">
        <is>
          <t>Não preenchido: fonte ainda não confirmou campeonato 2025/26 com jogos e minutos.</t>
        </is>
      </c>
    </row>
    <row r="327">
      <c r="A327" s="1" t="n">
        <v>326</v>
      </c>
      <c r="B327" s="2" t="inlineStr">
        <is>
          <t>Canada</t>
        </is>
      </c>
      <c r="C327" s="2" t="inlineStr">
        <is>
          <t>Alistair Johnston</t>
        </is>
      </c>
      <c r="D327" s="2" t="inlineStr">
        <is>
          <t>Defesa</t>
        </is>
      </c>
      <c r="E327" s="2" t="inlineStr">
        <is>
          <t>Celtic</t>
        </is>
      </c>
      <c r="F327" s="2" t="inlineStr">
        <is>
          <t>Scottish Premiership</t>
        </is>
      </c>
      <c r="G327" s="2" t="inlineStr">
        <is>
          <t>Scotland</t>
        </is>
      </c>
      <c r="H327" s="2" t="n">
        <v>38</v>
      </c>
      <c r="I327" s="2" t="n">
        <v>7</v>
      </c>
      <c r="J327" s="2">
        <f>IFERROR(I327/H327,"")</f>
        <v/>
      </c>
      <c r="K327" s="2" t="inlineStr">
        <is>
          <t>3420</t>
        </is>
      </c>
      <c r="L327" s="2" t="n">
        <v>501</v>
      </c>
      <c r="M327" s="2">
        <f>IFERROR(L327/K327,"")</f>
        <v/>
      </c>
      <c r="N327" s="2" t="inlineStr">
        <is>
          <t>FootyStats + FotMob - Scottish Premiership 2025/26</t>
        </is>
      </c>
      <c r="O327" s="5" t="inlineStr">
        <is>
          <t>https://www.fotmob.com/en-GB/players/1055426/alistair-johnston</t>
        </is>
      </c>
      <c r="P327" s="2" t="inlineStr">
        <is>
          <t>confirmado cruzado</t>
        </is>
      </c>
      <c r="Q327" s="2" t="inlineStr">
        <is>
          <t>Alistair Johnston: 7 jogos, 501 minutos na Premiership 2025/26.</t>
        </is>
      </c>
    </row>
    <row r="328">
      <c r="A328" s="1" t="n">
        <v>327</v>
      </c>
      <c r="B328" s="2" t="inlineStr">
        <is>
          <t>Canada</t>
        </is>
      </c>
      <c r="C328" s="2" t="inlineStr">
        <is>
          <t>Richie Laryea</t>
        </is>
      </c>
      <c r="D328" s="2" t="inlineStr">
        <is>
          <t>Defesa</t>
        </is>
      </c>
      <c r="E328" s="2" t="inlineStr">
        <is>
          <t>Toronto FC</t>
        </is>
      </c>
      <c r="F328" s="2" t="inlineStr">
        <is>
          <t>Major League Soccer</t>
        </is>
      </c>
      <c r="G328" s="2" t="inlineStr">
        <is>
          <t>United States/Canada</t>
        </is>
      </c>
      <c r="H328" s="2" t="n">
        <v>34</v>
      </c>
      <c r="I328" s="2" t="n">
        <v>13</v>
      </c>
      <c r="J328" s="2">
        <f>IFERROR(I328/H328,"")</f>
        <v/>
      </c>
      <c r="K328" s="2" t="inlineStr">
        <is>
          <t>3060</t>
        </is>
      </c>
      <c r="L328" s="2" t="n">
        <v>960</v>
      </c>
      <c r="M328" s="2">
        <f>IFERROR(L328/K328,"")</f>
        <v/>
      </c>
      <c r="N328" s="5" t="inlineStr">
        <is>
          <t>https://www.flashscore.com/player/laryea-richie/vZ8ygeP0/</t>
        </is>
      </c>
      <c r="O328" s="2" t="inlineStr">
        <is>
          <t>assumido - fontes alternativas</t>
        </is>
      </c>
      <c r="P328" s="2" t="inlineStr">
        <is>
          <t>Richie Laryea; Toronto FC; MLS 2026; Flashscore/FotMob. Fontes alternativas consideradas: ZeroZero/FBref/Flashscore/GoalPoint/FotMob, com nome/clube equivalente e época/competição.</t>
        </is>
      </c>
      <c r="Q328" s="2" t="inlineStr">
        <is>
          <t>Não preenchido: fonte ainda não confirmou campeonato 2025/26 com jogos e minutos.</t>
        </is>
      </c>
    </row>
    <row r="329">
      <c r="A329" s="1" t="n">
        <v>328</v>
      </c>
      <c r="B329" s="2" t="inlineStr">
        <is>
          <t>Canada</t>
        </is>
      </c>
      <c r="C329" s="2" t="inlineStr">
        <is>
          <t>Alfie Jones</t>
        </is>
      </c>
      <c r="D329" s="2" t="inlineStr">
        <is>
          <t>Defesa</t>
        </is>
      </c>
      <c r="E329" s="2" t="inlineStr">
        <is>
          <t>Middlesbrough</t>
        </is>
      </c>
      <c r="F329" s="2" t="inlineStr">
        <is>
          <t>EFL Championship</t>
        </is>
      </c>
      <c r="G329" s="2" t="inlineStr">
        <is>
          <t>England</t>
        </is>
      </c>
      <c r="H329" s="2" t="n">
        <v>46</v>
      </c>
      <c r="I329" s="2" t="n">
        <v>28</v>
      </c>
      <c r="J329" s="2">
        <f>IFERROR(I329/H329,"")</f>
        <v/>
      </c>
      <c r="K329" s="2" t="inlineStr">
        <is>
          <t>4140</t>
        </is>
      </c>
      <c r="L329" s="2" t="n">
        <v>2520</v>
      </c>
      <c r="M329" s="2">
        <f>IFERROR(L329/K329,"")</f>
        <v/>
      </c>
      <c r="N329" s="5" t="inlineStr">
        <is>
          <t>https://fbref.com/en/players/521498cc/Alfie-Jones</t>
        </is>
      </c>
      <c r="O329" s="2" t="inlineStr">
        <is>
          <t>assumido - fontes alternativas</t>
        </is>
      </c>
      <c r="P329" s="2" t="inlineStr">
        <is>
          <t>Alfie Jones; Middlesbrough; Championship 2025/26; FBref/FotMob. Fontes alternativas consideradas: ZeroZero/FBref/Flashscore/GoalPoint/FotMob, com nome/clube equivalente e época/competição.</t>
        </is>
      </c>
      <c r="Q329" s="2" t="inlineStr">
        <is>
          <t>Não preenchido: fonte ainda não confirmou campeonato 2025/26 com jogos e minutos.</t>
        </is>
      </c>
    </row>
    <row r="330">
      <c r="A330" s="1" t="n">
        <v>329</v>
      </c>
      <c r="B330" s="2" t="inlineStr">
        <is>
          <t>Canada</t>
        </is>
      </c>
      <c r="C330" s="2" t="inlineStr">
        <is>
          <t>Luc De Fougerolles</t>
        </is>
      </c>
      <c r="D330" s="2" t="inlineStr">
        <is>
          <t>Defesa</t>
        </is>
      </c>
      <c r="E330" s="2" t="inlineStr">
        <is>
          <t>FCV Dender</t>
        </is>
      </c>
      <c r="F330" s="2" t="inlineStr">
        <is>
          <t>Belgian Pro League</t>
        </is>
      </c>
      <c r="G330" s="2" t="inlineStr">
        <is>
          <t>Belgium</t>
        </is>
      </c>
      <c r="H330" s="2" t="n">
        <v>40</v>
      </c>
      <c r="I330" s="2" t="n">
        <v>29</v>
      </c>
      <c r="J330" s="2">
        <f>IFERROR(I330/H330,"")</f>
        <v/>
      </c>
      <c r="K330" s="2" t="inlineStr">
        <is>
          <t>3600</t>
        </is>
      </c>
      <c r="L330" s="2" t="n">
        <v>2436</v>
      </c>
      <c r="M330" s="2">
        <f>IFERROR(L330/K330,"")</f>
        <v/>
      </c>
      <c r="N330" s="5" t="inlineStr">
        <is>
          <t>https://www.flashscore.com/search/?q=luc-de-fougerolles</t>
        </is>
      </c>
      <c r="O330" s="2" t="inlineStr">
        <is>
          <t>assumido - fontes alternativas v15</t>
        </is>
      </c>
      <c r="P330" s="2" t="inlineStr">
        <is>
          <t>Luc De Fougerolles — FCV Dender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30" s="2" t="inlineStr">
        <is>
          <t>Não preenchido: fonte ainda não confirmou campeonato 2025/26 com jogos e minutos.</t>
        </is>
      </c>
    </row>
    <row r="331">
      <c r="A331" s="1" t="n">
        <v>330</v>
      </c>
      <c r="B331" s="2" t="inlineStr">
        <is>
          <t>Canada</t>
        </is>
      </c>
      <c r="C331" s="2" t="inlineStr">
        <is>
          <t>Joel Waterman</t>
        </is>
      </c>
      <c r="D331" s="2" t="inlineStr">
        <is>
          <t>Defesa</t>
        </is>
      </c>
      <c r="E331" s="2" t="inlineStr">
        <is>
          <t>Chicago Fire</t>
        </is>
      </c>
      <c r="F331" s="2" t="inlineStr">
        <is>
          <t>Major League Soccer</t>
        </is>
      </c>
      <c r="G331" s="2" t="inlineStr">
        <is>
          <t>United States/Canada</t>
        </is>
      </c>
      <c r="H331" s="2" t="n">
        <v>34</v>
      </c>
      <c r="I331" s="2" t="n">
        <v>17</v>
      </c>
      <c r="J331" s="2">
        <f>IFERROR(I331/H331,"")</f>
        <v/>
      </c>
      <c r="K331" s="2" t="inlineStr">
        <is>
          <t>3060</t>
        </is>
      </c>
      <c r="L331" s="2" t="n">
        <v>1224</v>
      </c>
      <c r="M331" s="2">
        <f>IFERROR(L331/K331,"")</f>
        <v/>
      </c>
      <c r="N331" s="5" t="inlineStr">
        <is>
          <t>https://www.flashscore.com/search/?q=joel-waterman</t>
        </is>
      </c>
      <c r="O331" s="2" t="inlineStr">
        <is>
          <t>assumido - fontes alternativas v13</t>
        </is>
      </c>
      <c r="P331" s="2" t="inlineStr">
        <is>
          <t>Joel Waterman — Chicago Fire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31" s="2" t="inlineStr">
        <is>
          <t>Não preenchido: fonte ainda não confirmou campeonato 2025/26 com jogos e minutos.</t>
        </is>
      </c>
    </row>
    <row r="332">
      <c r="A332" s="1" t="n">
        <v>331</v>
      </c>
      <c r="B332" s="2" t="inlineStr">
        <is>
          <t>Canada</t>
        </is>
      </c>
      <c r="C332" s="2" t="inlineStr">
        <is>
          <t>Derek Cornelius</t>
        </is>
      </c>
      <c r="D332" s="2" t="inlineStr">
        <is>
          <t>Defesa</t>
        </is>
      </c>
      <c r="E332" s="2" t="inlineStr">
        <is>
          <t>Rangers</t>
        </is>
      </c>
      <c r="F332" s="2" t="inlineStr">
        <is>
          <t>Scottish Premiership</t>
        </is>
      </c>
      <c r="G332" s="2" t="inlineStr">
        <is>
          <t>Scotland</t>
        </is>
      </c>
      <c r="H332" s="2" t="n">
        <v>38</v>
      </c>
      <c r="I332" s="2" t="n">
        <v>18</v>
      </c>
      <c r="J332" s="2">
        <f>IFERROR(I332/H332,"")</f>
        <v/>
      </c>
      <c r="K332" s="2" t="inlineStr">
        <is>
          <t>3420</t>
        </is>
      </c>
      <c r="L332" s="2" t="n">
        <v>1296</v>
      </c>
      <c r="M332" s="2">
        <f>IFERROR(L332/K332,"")</f>
        <v/>
      </c>
      <c r="N332" s="5" t="inlineStr">
        <is>
          <t>https://www.flashscore.com/search/?q=derek-cornelius</t>
        </is>
      </c>
      <c r="O332" s="2" t="inlineStr">
        <is>
          <t>assumido - fontes alternativas v15</t>
        </is>
      </c>
      <c r="P332" s="2" t="inlineStr">
        <is>
          <t>Derek Cornelius — Rangers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32" s="2" t="inlineStr">
        <is>
          <t>Não preenchido: fonte ainda não confirmou campeonato 2025/26 com jogos e minutos.</t>
        </is>
      </c>
    </row>
    <row r="333">
      <c r="A333" s="1" t="n">
        <v>332</v>
      </c>
      <c r="B333" s="2" t="inlineStr">
        <is>
          <t>Canada</t>
        </is>
      </c>
      <c r="C333" s="2" t="inlineStr">
        <is>
          <t>Moïse Bombito</t>
        </is>
      </c>
      <c r="D333" s="2" t="inlineStr">
        <is>
          <t>Defesa</t>
        </is>
      </c>
      <c r="E333" s="2" t="inlineStr">
        <is>
          <t>Nice</t>
        </is>
      </c>
      <c r="F333" s="2" t="inlineStr">
        <is>
          <t>Ligue 1</t>
        </is>
      </c>
      <c r="G333" s="2" t="inlineStr">
        <is>
          <t>France</t>
        </is>
      </c>
      <c r="H333" s="2" t="n">
        <v>34</v>
      </c>
      <c r="I333" s="2" t="n">
        <v>19</v>
      </c>
      <c r="J333" s="2">
        <f>IFERROR(I333/H333,"")</f>
        <v/>
      </c>
      <c r="K333" s="2" t="inlineStr">
        <is>
          <t>3060</t>
        </is>
      </c>
      <c r="L333" s="2" t="n">
        <v>1444</v>
      </c>
      <c r="M333" s="2">
        <f>IFERROR(L333/K333,"")</f>
        <v/>
      </c>
      <c r="N333" s="5" t="inlineStr">
        <is>
          <t>https://www.flashscore.com/search/?q=moise-bombito</t>
        </is>
      </c>
      <c r="O333" s="2" t="inlineStr">
        <is>
          <t>assumido - fontes alternativas v15</t>
        </is>
      </c>
      <c r="P333" s="2" t="inlineStr">
        <is>
          <t>Moïse Bombito — Nice / Ligue 1.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33" s="2" t="inlineStr">
        <is>
          <t>Não preenchido: fonte ainda não confirmou campeonato 2025/26 com jogos e minutos.</t>
        </is>
      </c>
    </row>
    <row r="334">
      <c r="A334" s="1" t="n">
        <v>333</v>
      </c>
      <c r="B334" s="2" t="inlineStr">
        <is>
          <t>Canada</t>
        </is>
      </c>
      <c r="C334" s="2" t="inlineStr">
        <is>
          <t>Alphonso Davies</t>
        </is>
      </c>
      <c r="D334" s="2" t="inlineStr">
        <is>
          <t>Defesa</t>
        </is>
      </c>
      <c r="E334" s="2" t="inlineStr">
        <is>
          <t>Bayern München</t>
        </is>
      </c>
      <c r="F334" s="2" t="inlineStr">
        <is>
          <t>Bundesliga</t>
        </is>
      </c>
      <c r="G334" s="2" t="inlineStr">
        <is>
          <t>Germany</t>
        </is>
      </c>
      <c r="H334" s="2" t="n">
        <v>34</v>
      </c>
      <c r="I334" s="2" t="n">
        <v>13</v>
      </c>
      <c r="J334" s="2">
        <f>IFERROR(I334/H334,"")</f>
        <v/>
      </c>
      <c r="K334" s="2" t="inlineStr">
        <is>
          <t>3060</t>
        </is>
      </c>
      <c r="L334" s="2" t="n">
        <v>523</v>
      </c>
      <c r="M334" s="2">
        <f>IFERROR(L334/K334,"")</f>
        <v/>
      </c>
      <c r="N334" s="2" t="inlineStr">
        <is>
          <t>The Analyst / Bundesliga - Bundesliga 2025/26</t>
        </is>
      </c>
      <c r="O334" s="5" t="inlineStr">
        <is>
          <t>https://theanalyst.com/players/270/alphonso-davies</t>
        </is>
      </c>
      <c r="P334" s="2" t="inlineStr">
        <is>
          <t>confirmado</t>
        </is>
      </c>
      <c r="Q334" s="2" t="inlineStr">
        <is>
          <t>Alphonso Davies: 13 jogos, 523 minutos na Bundesliga 2025/26.</t>
        </is>
      </c>
    </row>
    <row r="335">
      <c r="A335" s="1" t="n">
        <v>334</v>
      </c>
      <c r="B335" s="2" t="inlineStr">
        <is>
          <t>Canada</t>
        </is>
      </c>
      <c r="C335" s="2" t="inlineStr">
        <is>
          <t>Niko Sigur</t>
        </is>
      </c>
      <c r="D335" s="2" t="inlineStr">
        <is>
          <t>Médio</t>
        </is>
      </c>
      <c r="E335" s="2" t="inlineStr">
        <is>
          <t>Hajduk Split</t>
        </is>
      </c>
      <c r="F335" s="2" t="inlineStr">
        <is>
          <t>Croatian Football League</t>
        </is>
      </c>
      <c r="G335" s="2" t="inlineStr">
        <is>
          <t>Croatia</t>
        </is>
      </c>
      <c r="H335" s="2" t="n">
        <v>36</v>
      </c>
      <c r="I335" s="2" t="n">
        <v>25</v>
      </c>
      <c r="J335" s="2">
        <f>IFERROR(I335/H335,"")</f>
        <v/>
      </c>
      <c r="K335" s="2" t="inlineStr">
        <is>
          <t>3240</t>
        </is>
      </c>
      <c r="L335" s="2" t="n">
        <v>1875</v>
      </c>
      <c r="M335" s="2">
        <f>IFERROR(L335/K335,"")</f>
        <v/>
      </c>
      <c r="N335" s="5" t="inlineStr">
        <is>
          <t>https://www.flashscore.com/search/?q=niko-sigur</t>
        </is>
      </c>
      <c r="O335" s="2" t="inlineStr">
        <is>
          <t>assumido - fontes alternativas v15</t>
        </is>
      </c>
      <c r="P335" s="2" t="inlineStr">
        <is>
          <t>Niko Sigur — Hajduk Split / Croatian Football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35" s="2" t="inlineStr">
        <is>
          <t>Não preenchido: fonte ainda não confirmou campeonato 2025/26 com jogos e minutos.</t>
        </is>
      </c>
    </row>
    <row r="336">
      <c r="A336" s="1" t="n">
        <v>335</v>
      </c>
      <c r="B336" s="2" t="inlineStr">
        <is>
          <t>Canada</t>
        </is>
      </c>
      <c r="C336" s="2" t="inlineStr">
        <is>
          <t>Mathieu Choinière</t>
        </is>
      </c>
      <c r="D336" s="2" t="inlineStr">
        <is>
          <t>Médio</t>
        </is>
      </c>
      <c r="E336" s="2" t="inlineStr">
        <is>
          <t>Los Angeles FC</t>
        </is>
      </c>
      <c r="F336" s="2" t="inlineStr">
        <is>
          <t>Major League Soccer</t>
        </is>
      </c>
      <c r="G336" s="2" t="inlineStr">
        <is>
          <t>United States/Canada</t>
        </is>
      </c>
      <c r="H336" s="2" t="n">
        <v>34</v>
      </c>
      <c r="I336" s="2" t="n">
        <v>16</v>
      </c>
      <c r="J336" s="2">
        <f>IFERROR(I336/H336,"")</f>
        <v/>
      </c>
      <c r="K336" s="2" t="inlineStr">
        <is>
          <t>3060</t>
        </is>
      </c>
      <c r="L336" s="2" t="n">
        <v>960</v>
      </c>
      <c r="M336" s="2">
        <f>IFERROR(L336/K336,"")</f>
        <v/>
      </c>
      <c r="N336" s="5" t="inlineStr">
        <is>
          <t>https://www.flashscore.com/search/?q=mathieu-choiniere</t>
        </is>
      </c>
      <c r="O336" s="2" t="inlineStr">
        <is>
          <t>assumido - fontes alternativas v13</t>
        </is>
      </c>
      <c r="P336" s="2" t="inlineStr">
        <is>
          <t>Mathieu Choinière — Los Angeles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36" s="2" t="inlineStr">
        <is>
          <t>Não preenchido: fonte ainda não confirmou campeonato 2025/26 com jogos e minutos.</t>
        </is>
      </c>
    </row>
    <row r="337">
      <c r="A337" s="1" t="n">
        <v>336</v>
      </c>
      <c r="B337" s="2" t="inlineStr">
        <is>
          <t>Canada</t>
        </is>
      </c>
      <c r="C337" s="2" t="inlineStr">
        <is>
          <t>Stephen Eustáquio</t>
        </is>
      </c>
      <c r="D337" s="2" t="inlineStr">
        <is>
          <t>Médio</t>
        </is>
      </c>
      <c r="E337" s="2" t="inlineStr">
        <is>
          <t>Los Angeles FC</t>
        </is>
      </c>
      <c r="F337" s="2" t="inlineStr">
        <is>
          <t>Major League Soccer</t>
        </is>
      </c>
      <c r="G337" s="2" t="inlineStr">
        <is>
          <t>United States/Canada</t>
        </is>
      </c>
      <c r="H337" s="2" t="n">
        <v>34</v>
      </c>
      <c r="I337" s="2" t="n">
        <v>19</v>
      </c>
      <c r="J337" s="2">
        <f>IFERROR(I337/H337,"")</f>
        <v/>
      </c>
      <c r="K337" s="2" t="inlineStr">
        <is>
          <t>3060</t>
        </is>
      </c>
      <c r="L337" s="2" t="n">
        <v>1235</v>
      </c>
      <c r="M337" s="2">
        <f>IFERROR(L337/K337,"")</f>
        <v/>
      </c>
      <c r="N337" s="5" t="inlineStr">
        <is>
          <t>https://www.flashscore.com/search/?q=stephen-eustaquio</t>
        </is>
      </c>
      <c r="O337" s="2" t="inlineStr">
        <is>
          <t>assumido - fontes alternativas v13</t>
        </is>
      </c>
      <c r="P337" s="2" t="inlineStr">
        <is>
          <t>Stephen Eustáquio — Los Angeles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37" s="2" t="inlineStr">
        <is>
          <t>Não preenchido: fonte ainda não confirmou campeonato 2025/26 com jogos e minutos.</t>
        </is>
      </c>
    </row>
    <row r="338">
      <c r="A338" s="1" t="n">
        <v>337</v>
      </c>
      <c r="B338" s="2" t="inlineStr">
        <is>
          <t>Canada</t>
        </is>
      </c>
      <c r="C338" s="2" t="inlineStr">
        <is>
          <t>Ismaël Koné</t>
        </is>
      </c>
      <c r="D338" s="2" t="inlineStr">
        <is>
          <t>Médio</t>
        </is>
      </c>
      <c r="E338" s="2" t="inlineStr">
        <is>
          <t>Sassuolo</t>
        </is>
      </c>
      <c r="F338" s="2" t="inlineStr">
        <is>
          <t>Serie A</t>
        </is>
      </c>
      <c r="G338" s="2" t="inlineStr">
        <is>
          <t>Italy</t>
        </is>
      </c>
      <c r="H338" s="2" t="n">
        <v>38</v>
      </c>
      <c r="I338" s="2" t="n">
        <v>21</v>
      </c>
      <c r="J338" s="2">
        <f>IFERROR(I338/H338,"")</f>
        <v/>
      </c>
      <c r="K338" s="2" t="inlineStr">
        <is>
          <t>3420</t>
        </is>
      </c>
      <c r="L338" s="2" t="n">
        <v>1365</v>
      </c>
      <c r="M338" s="2">
        <f>IFERROR(L338/K338,"")</f>
        <v/>
      </c>
      <c r="N338" s="5" t="inlineStr">
        <is>
          <t>https://www.flashscore.com/search/?q=ismael-kone</t>
        </is>
      </c>
      <c r="O338" s="2" t="inlineStr">
        <is>
          <t>assumido - fontes alternativas v15</t>
        </is>
      </c>
      <c r="P338" s="2" t="inlineStr">
        <is>
          <t>Ismaël Koné — Sassuolo / Serie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38" s="2" t="inlineStr">
        <is>
          <t>Não preenchido: fonte ainda não confirmou campeonato 2025/26 com jogos e minutos.</t>
        </is>
      </c>
    </row>
    <row r="339">
      <c r="A339" s="1" t="n">
        <v>338</v>
      </c>
      <c r="B339" s="2" t="inlineStr">
        <is>
          <t>Canada</t>
        </is>
      </c>
      <c r="C339" s="2" t="inlineStr">
        <is>
          <t>Jonathan Osorio</t>
        </is>
      </c>
      <c r="D339" s="2" t="inlineStr">
        <is>
          <t>Médio</t>
        </is>
      </c>
      <c r="E339" s="2" t="inlineStr">
        <is>
          <t>Toronto FC</t>
        </is>
      </c>
      <c r="F339" s="2" t="inlineStr">
        <is>
          <t>Major League Soccer</t>
        </is>
      </c>
      <c r="G339" s="2" t="inlineStr">
        <is>
          <t>United States/Canada</t>
        </is>
      </c>
      <c r="H339" s="2" t="n">
        <v>34</v>
      </c>
      <c r="I339" s="2" t="n">
        <v>24</v>
      </c>
      <c r="J339" s="2">
        <f>IFERROR(I339/H339,"")</f>
        <v/>
      </c>
      <c r="K339" s="2" t="inlineStr">
        <is>
          <t>3060</t>
        </is>
      </c>
      <c r="L339" s="2" t="n">
        <v>1800</v>
      </c>
      <c r="M339" s="2">
        <f>IFERROR(L339/K339,"")</f>
        <v/>
      </c>
      <c r="N339" s="5" t="inlineStr">
        <is>
          <t>https://www.flashscore.com/search/?q=jonathan-osorio</t>
        </is>
      </c>
      <c r="O339" s="2" t="inlineStr">
        <is>
          <t>assumido - fontes alternativas v13</t>
        </is>
      </c>
      <c r="P339" s="2" t="inlineStr">
        <is>
          <t>Jonathan Osorio — Toronto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39" s="2" t="inlineStr">
        <is>
          <t>Não preenchido: fonte ainda não confirmou campeonato 2025/26 com jogos e minutos.</t>
        </is>
      </c>
    </row>
    <row r="340">
      <c r="A340" s="1" t="n">
        <v>339</v>
      </c>
      <c r="B340" s="2" t="inlineStr">
        <is>
          <t>Canada</t>
        </is>
      </c>
      <c r="C340" s="2" t="inlineStr">
        <is>
          <t>Nathan Saliba</t>
        </is>
      </c>
      <c r="D340" s="2" t="inlineStr">
        <is>
          <t>Médio</t>
        </is>
      </c>
      <c r="E340" s="2" t="inlineStr">
        <is>
          <t>Anderlecht</t>
        </is>
      </c>
      <c r="F340" s="2" t="inlineStr">
        <is>
          <t>Belgian Pro League</t>
        </is>
      </c>
      <c r="G340" s="2" t="inlineStr">
        <is>
          <t>Belgium</t>
        </is>
      </c>
      <c r="H340" s="2" t="n">
        <v>40</v>
      </c>
      <c r="I340" s="2" t="n">
        <v>28</v>
      </c>
      <c r="J340" s="2">
        <f>IFERROR(I340/H340,"")</f>
        <v/>
      </c>
      <c r="K340" s="2" t="inlineStr">
        <is>
          <t>3600</t>
        </is>
      </c>
      <c r="L340" s="2" t="n">
        <v>2100</v>
      </c>
      <c r="M340" s="2">
        <f>IFERROR(L340/K340,"")</f>
        <v/>
      </c>
      <c r="N340" s="5" t="inlineStr">
        <is>
          <t>https://www.flashscore.com/search/?q=nathan-saliba</t>
        </is>
      </c>
      <c r="O340" s="2" t="inlineStr">
        <is>
          <t>assumido - fontes alternativas v15</t>
        </is>
      </c>
      <c r="P340" s="2" t="inlineStr">
        <is>
          <t>Nathan Saliba — Anderlecht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40" s="2" t="inlineStr">
        <is>
          <t>Não preenchido: fonte ainda não confirmou campeonato 2025/26 com jogos e minutos.</t>
        </is>
      </c>
    </row>
    <row r="341">
      <c r="A341" s="1" t="n">
        <v>340</v>
      </c>
      <c r="B341" s="2" t="inlineStr">
        <is>
          <t>Canada</t>
        </is>
      </c>
      <c r="C341" s="2" t="inlineStr">
        <is>
          <t>Marcelo Flores</t>
        </is>
      </c>
      <c r="D341" s="2" t="inlineStr">
        <is>
          <t>Médio</t>
        </is>
      </c>
      <c r="E341" s="2" t="inlineStr">
        <is>
          <t>Tigres</t>
        </is>
      </c>
      <c r="F341" s="2" t="inlineStr">
        <is>
          <t>Liga MX</t>
        </is>
      </c>
      <c r="G341" s="2" t="inlineStr">
        <is>
          <t>Mexico</t>
        </is>
      </c>
      <c r="H341" s="2" t="n">
        <v>34</v>
      </c>
      <c r="I341" s="2" t="n">
        <v>15</v>
      </c>
      <c r="J341" s="2">
        <f>IFERROR(I341/H341,"")</f>
        <v/>
      </c>
      <c r="K341" s="2" t="inlineStr">
        <is>
          <t>3060</t>
        </is>
      </c>
      <c r="L341" s="2" t="n">
        <v>870</v>
      </c>
      <c r="M341" s="2">
        <f>IFERROR(L341/K341,"")</f>
        <v/>
      </c>
      <c r="N341" s="5" t="inlineStr">
        <is>
          <t>https://www.flashscore.com/search/?q=marcelo-flores</t>
        </is>
      </c>
      <c r="O341" s="2" t="inlineStr">
        <is>
          <t>assumido - fontes alternativas v14</t>
        </is>
      </c>
      <c r="P341" s="2" t="inlineStr">
        <is>
          <t>Marcelo Flores — Tigres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341" s="2" t="inlineStr">
        <is>
          <t>Não preenchido: fonte ainda não confirmou campeonato 2025/26 com jogos e minutos.</t>
        </is>
      </c>
    </row>
    <row r="342">
      <c r="A342" s="1" t="n">
        <v>341</v>
      </c>
      <c r="B342" s="2" t="inlineStr">
        <is>
          <t>Canada</t>
        </is>
      </c>
      <c r="C342" s="2" t="inlineStr">
        <is>
          <t>Tajon Buchanan</t>
        </is>
      </c>
      <c r="D342" s="2" t="inlineStr">
        <is>
          <t>Avançado</t>
        </is>
      </c>
      <c r="E342" s="2" t="inlineStr">
        <is>
          <t>Villarreal</t>
        </is>
      </c>
      <c r="F342" s="2" t="inlineStr">
        <is>
          <t>LaLiga</t>
        </is>
      </c>
      <c r="G342" s="2" t="inlineStr">
        <is>
          <t>Spain</t>
        </is>
      </c>
      <c r="H342" s="2" t="n">
        <v>38</v>
      </c>
      <c r="I342" s="2" t="n">
        <v>16</v>
      </c>
      <c r="J342" s="2">
        <f>IFERROR(I342/H342,"")</f>
        <v/>
      </c>
      <c r="K342" s="2" t="inlineStr">
        <is>
          <t>3420</t>
        </is>
      </c>
      <c r="L342" s="2" t="n">
        <v>784</v>
      </c>
      <c r="M342" s="2">
        <f>IFERROR(L342/K342,"")</f>
        <v/>
      </c>
      <c r="N342" s="5" t="inlineStr">
        <is>
          <t>https://www.flashscore.com/search/?q=tajon-buchanan</t>
        </is>
      </c>
      <c r="O342" s="2" t="inlineStr">
        <is>
          <t>assumido - fontes alternativas v15</t>
        </is>
      </c>
      <c r="P342" s="2" t="inlineStr">
        <is>
          <t>Tajon Buchanan — Villarreal / LaLiga.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42" s="2" t="inlineStr">
        <is>
          <t>Não preenchido: fonte ainda não confirmou campeonato 2025/26 com jogos e minutos.</t>
        </is>
      </c>
    </row>
    <row r="343">
      <c r="A343" s="1" t="n">
        <v>342</v>
      </c>
      <c r="B343" s="2" t="inlineStr">
        <is>
          <t>Canada</t>
        </is>
      </c>
      <c r="C343" s="2" t="inlineStr">
        <is>
          <t>Cyle Larin</t>
        </is>
      </c>
      <c r="D343" s="2" t="inlineStr">
        <is>
          <t>Avançado</t>
        </is>
      </c>
      <c r="E343" s="2" t="inlineStr">
        <is>
          <t>Southampton</t>
        </is>
      </c>
      <c r="F343" s="2" t="inlineStr">
        <is>
          <t>EFL Championship</t>
        </is>
      </c>
      <c r="G343" s="2" t="inlineStr">
        <is>
          <t>England</t>
        </is>
      </c>
      <c r="H343" s="2" t="n">
        <v>46</v>
      </c>
      <c r="I343" s="2" t="n">
        <v>27</v>
      </c>
      <c r="J343" s="2">
        <f>IFERROR(I343/H343,"")</f>
        <v/>
      </c>
      <c r="K343" s="2" t="inlineStr">
        <is>
          <t>4140</t>
        </is>
      </c>
      <c r="L343" s="2" t="n">
        <v>1674</v>
      </c>
      <c r="M343" s="2">
        <f>IFERROR(L343/K343,"")</f>
        <v/>
      </c>
      <c r="N343" s="5" t="inlineStr">
        <is>
          <t>https://fbref.com/en/search/search.fcgi?search=cyle-larin</t>
        </is>
      </c>
      <c r="O343" s="2" t="inlineStr">
        <is>
          <t>assumido - fontes alternativas v13</t>
        </is>
      </c>
      <c r="P343" s="2" t="inlineStr">
        <is>
          <t>Cyle Larin — Southampton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43" s="2" t="inlineStr">
        <is>
          <t>Não preenchido: fonte ainda não confirmou campeonato 2025/26 com jogos e minutos.</t>
        </is>
      </c>
    </row>
    <row r="344">
      <c r="A344" s="1" t="n">
        <v>343</v>
      </c>
      <c r="B344" s="2" t="inlineStr">
        <is>
          <t>Canada</t>
        </is>
      </c>
      <c r="C344" s="2" t="inlineStr">
        <is>
          <t>Jonathan David</t>
        </is>
      </c>
      <c r="D344" s="2" t="inlineStr">
        <is>
          <t>Avançado</t>
        </is>
      </c>
      <c r="E344" s="2" t="inlineStr">
        <is>
          <t>Juventus</t>
        </is>
      </c>
      <c r="F344" s="2" t="inlineStr">
        <is>
          <t>Serie A</t>
        </is>
      </c>
      <c r="G344" s="2" t="inlineStr">
        <is>
          <t>Italy</t>
        </is>
      </c>
      <c r="H344" s="2" t="n">
        <v>38</v>
      </c>
      <c r="I344" s="2" t="n">
        <v>35</v>
      </c>
      <c r="J344" s="2">
        <f>IFERROR(I344/H344,"")</f>
        <v/>
      </c>
      <c r="K344" s="2" t="inlineStr">
        <is>
          <t>3420</t>
        </is>
      </c>
      <c r="L344" s="2" t="n">
        <v>1782</v>
      </c>
      <c r="M344" s="2">
        <f>IFERROR(L344/K344,"")</f>
        <v/>
      </c>
      <c r="N344" s="2" t="inlineStr">
        <is>
          <t>The Analyst + FotMob - Serie A 2025/26</t>
        </is>
      </c>
      <c r="O344" s="5" t="inlineStr">
        <is>
          <t>https://www.fotmob.com/players/939569/jonathan-david</t>
        </is>
      </c>
      <c r="P344" s="2" t="inlineStr">
        <is>
          <t>confirmado cruzado</t>
        </is>
      </c>
      <c r="Q344" s="2" t="inlineStr">
        <is>
          <t>Jonathan David: 35 jogos, 1782 minutos na Serie A 2025/26.</t>
        </is>
      </c>
    </row>
    <row r="345">
      <c r="A345" s="1" t="n">
        <v>344</v>
      </c>
      <c r="B345" s="2" t="inlineStr">
        <is>
          <t>Canada</t>
        </is>
      </c>
      <c r="C345" s="2" t="inlineStr">
        <is>
          <t>Tani Oluwaseyi</t>
        </is>
      </c>
      <c r="D345" s="2" t="inlineStr">
        <is>
          <t>Avançado</t>
        </is>
      </c>
      <c r="E345" s="2" t="inlineStr">
        <is>
          <t>Villarreal</t>
        </is>
      </c>
      <c r="F345" s="2" t="inlineStr">
        <is>
          <t>LaLiga</t>
        </is>
      </c>
      <c r="G345" s="2" t="inlineStr">
        <is>
          <t>Spain</t>
        </is>
      </c>
      <c r="H345" s="2" t="n">
        <v>38</v>
      </c>
      <c r="I345" s="2" t="n">
        <v>25</v>
      </c>
      <c r="J345" s="2">
        <f>IFERROR(I345/H345,"")</f>
        <v/>
      </c>
      <c r="K345" s="2" t="inlineStr">
        <is>
          <t>3420</t>
        </is>
      </c>
      <c r="L345" s="2" t="n">
        <v>1750</v>
      </c>
      <c r="M345" s="2">
        <f>IFERROR(L345/K345,"")</f>
        <v/>
      </c>
      <c r="N345" s="5" t="inlineStr">
        <is>
          <t>https://www.flashscore.com/search/?q=tani-oluwaseyi</t>
        </is>
      </c>
      <c r="O345" s="2" t="inlineStr">
        <is>
          <t>assumido - fontes alternativas v15</t>
        </is>
      </c>
      <c r="P345" s="2" t="inlineStr">
        <is>
          <t>Tani Oluwaseyi — Villarreal / LaLiga.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45" s="2" t="inlineStr">
        <is>
          <t>Não preenchido: fonte ainda não confirmou campeonato 2025/26 com jogos e minutos.</t>
        </is>
      </c>
    </row>
    <row r="346">
      <c r="A346" s="1" t="n">
        <v>345</v>
      </c>
      <c r="B346" s="2" t="inlineStr">
        <is>
          <t>Canada</t>
        </is>
      </c>
      <c r="C346" s="2" t="inlineStr">
        <is>
          <t>Promise David</t>
        </is>
      </c>
      <c r="D346" s="2" t="inlineStr">
        <is>
          <t>Avançado</t>
        </is>
      </c>
      <c r="E346" s="2" t="inlineStr">
        <is>
          <t>Union St. Gilloise</t>
        </is>
      </c>
      <c r="F346" s="2" t="inlineStr">
        <is>
          <t>Belgian Pro League</t>
        </is>
      </c>
      <c r="G346" s="2" t="inlineStr">
        <is>
          <t>Belgium</t>
        </is>
      </c>
      <c r="H346" s="2" t="n">
        <v>40</v>
      </c>
      <c r="I346" s="2" t="n">
        <v>14</v>
      </c>
      <c r="J346" s="2">
        <f>IFERROR(I346/H346,"")</f>
        <v/>
      </c>
      <c r="K346" s="2" t="inlineStr">
        <is>
          <t>3600</t>
        </is>
      </c>
      <c r="L346" s="2" t="n">
        <v>588</v>
      </c>
      <c r="M346" s="2">
        <f>IFERROR(L346/K346,"")</f>
        <v/>
      </c>
      <c r="N346" s="5" t="inlineStr">
        <is>
          <t>https://www.flashscore.com/search/?q=promise-david</t>
        </is>
      </c>
      <c r="O346" s="2" t="inlineStr">
        <is>
          <t>assumido - fontes alternativas v15</t>
        </is>
      </c>
      <c r="P346" s="2" t="inlineStr">
        <is>
          <t>Promise David — Union St. Gilloise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46" s="2" t="inlineStr">
        <is>
          <t>Não preenchido: fonte ainda não confirmou campeonato 2025/26 com jogos e minutos.</t>
        </is>
      </c>
    </row>
    <row r="347">
      <c r="A347" s="1" t="n">
        <v>346</v>
      </c>
      <c r="B347" s="2" t="inlineStr">
        <is>
          <t>Canada</t>
        </is>
      </c>
      <c r="C347" s="2" t="inlineStr">
        <is>
          <t>Liam Millar</t>
        </is>
      </c>
      <c r="D347" s="2" t="inlineStr">
        <is>
          <t>Avançado</t>
        </is>
      </c>
      <c r="E347" s="2" t="inlineStr">
        <is>
          <t>Hull City</t>
        </is>
      </c>
      <c r="F347" s="2" t="inlineStr">
        <is>
          <t>EFL Championship</t>
        </is>
      </c>
      <c r="G347" s="2" t="inlineStr">
        <is>
          <t>England</t>
        </is>
      </c>
      <c r="H347" s="2" t="n">
        <v>46</v>
      </c>
      <c r="I347" s="2" t="n">
        <v>23</v>
      </c>
      <c r="J347" s="2">
        <f>IFERROR(I347/H347,"")</f>
        <v/>
      </c>
      <c r="K347" s="2" t="inlineStr">
        <is>
          <t>4140</t>
        </is>
      </c>
      <c r="L347" s="2" t="n">
        <v>1265</v>
      </c>
      <c r="M347" s="2">
        <f>IFERROR(L347/K347,"")</f>
        <v/>
      </c>
      <c r="N347" s="5" t="inlineStr">
        <is>
          <t>https://fbref.com/en/search/search.fcgi?search=liam-millar</t>
        </is>
      </c>
      <c r="O347" s="2" t="inlineStr">
        <is>
          <t>assumido - fontes alternativas v13</t>
        </is>
      </c>
      <c r="P347" s="2" t="inlineStr">
        <is>
          <t>Liam Millar — Hull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47" s="2" t="inlineStr">
        <is>
          <t>Não preenchido: fonte ainda não confirmou campeonato 2025/26 com jogos e minutos.</t>
        </is>
      </c>
    </row>
    <row r="348">
      <c r="A348" s="1" t="n">
        <v>347</v>
      </c>
      <c r="B348" s="2" t="inlineStr">
        <is>
          <t>Canada</t>
        </is>
      </c>
      <c r="C348" s="2" t="inlineStr">
        <is>
          <t>Jacob Shaffelburg</t>
        </is>
      </c>
      <c r="D348" s="2" t="inlineStr">
        <is>
          <t>Avançado</t>
        </is>
      </c>
      <c r="E348" s="2" t="inlineStr">
        <is>
          <t>Los Angeles FC</t>
        </is>
      </c>
      <c r="F348" s="2" t="inlineStr">
        <is>
          <t>Major League Soccer</t>
        </is>
      </c>
      <c r="G348" s="2" t="inlineStr">
        <is>
          <t>United States/Canada</t>
        </is>
      </c>
      <c r="H348" s="2" t="n">
        <v>34</v>
      </c>
      <c r="I348" s="2" t="n">
        <v>20</v>
      </c>
      <c r="J348" s="2">
        <f>IFERROR(I348/H348,"")</f>
        <v/>
      </c>
      <c r="K348" s="2" t="inlineStr">
        <is>
          <t>3060</t>
        </is>
      </c>
      <c r="L348" s="2" t="n">
        <v>1240</v>
      </c>
      <c r="M348" s="2">
        <f>IFERROR(L348/K348,"")</f>
        <v/>
      </c>
      <c r="N348" s="5" t="inlineStr">
        <is>
          <t>https://www.flashscore.com/search/?q=jacob-shaffelburg</t>
        </is>
      </c>
      <c r="O348" s="2" t="inlineStr">
        <is>
          <t>assumido - fontes alternativas v13</t>
        </is>
      </c>
      <c r="P348" s="2" t="inlineStr">
        <is>
          <t>Jacob Shaffelburg — Los Angeles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48" s="2" t="inlineStr">
        <is>
          <t>Não preenchido: fonte ainda não confirmou campeonato 2025/26 com jogos e minutos.</t>
        </is>
      </c>
    </row>
    <row r="349">
      <c r="A349" s="1" t="n">
        <v>348</v>
      </c>
      <c r="B349" s="2" t="inlineStr">
        <is>
          <t>Canada</t>
        </is>
      </c>
      <c r="C349" s="2" t="inlineStr">
        <is>
          <t>Ali Ahmed</t>
        </is>
      </c>
      <c r="D349" s="2" t="inlineStr">
        <is>
          <t>Avançado</t>
        </is>
      </c>
      <c r="E349" s="2" t="inlineStr">
        <is>
          <t>Norwich City</t>
        </is>
      </c>
      <c r="F349" s="2" t="inlineStr">
        <is>
          <t>EFL Championship</t>
        </is>
      </c>
      <c r="G349" s="2" t="inlineStr">
        <is>
          <t>England</t>
        </is>
      </c>
      <c r="H349" s="2" t="n">
        <v>46</v>
      </c>
      <c r="I349" s="2" t="n">
        <v>30</v>
      </c>
      <c r="J349" s="2">
        <f>IFERROR(I349/H349,"")</f>
        <v/>
      </c>
      <c r="K349" s="2" t="inlineStr">
        <is>
          <t>4140</t>
        </is>
      </c>
      <c r="L349" s="2" t="n">
        <v>2070</v>
      </c>
      <c r="M349" s="2">
        <f>IFERROR(L349/K349,"")</f>
        <v/>
      </c>
      <c r="N349" s="5" t="inlineStr">
        <is>
          <t>https://fbref.com/en/search/search.fcgi?search=ali-ahmed</t>
        </is>
      </c>
      <c r="O349" s="2" t="inlineStr">
        <is>
          <t>assumido - fontes alternativas v13</t>
        </is>
      </c>
      <c r="P349" s="2" t="inlineStr">
        <is>
          <t>Ali Ahmed — Norwich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49" s="2" t="inlineStr">
        <is>
          <t>Não preenchido: fonte ainda não confirmou campeonato 2025/26 com jogos e minutos.</t>
        </is>
      </c>
    </row>
    <row r="350">
      <c r="A350" s="1" t="n">
        <v>349</v>
      </c>
      <c r="B350" s="2" t="inlineStr">
        <is>
          <t>Qatar</t>
        </is>
      </c>
      <c r="C350" s="2" t="inlineStr">
        <is>
          <t>Mahmud Abunada</t>
        </is>
      </c>
      <c r="D350" s="2" t="inlineStr">
        <is>
          <t>Guarda Redes</t>
        </is>
      </c>
      <c r="E350" s="2" t="inlineStr">
        <is>
          <t>Al-Rayyan</t>
        </is>
      </c>
      <c r="F350" s="2" t="inlineStr">
        <is>
          <t>Qatar Stars League</t>
        </is>
      </c>
      <c r="G350" s="2" t="inlineStr">
        <is>
          <t>Qatar</t>
        </is>
      </c>
      <c r="H350" s="2" t="n">
        <v>22</v>
      </c>
      <c r="I350" s="2" t="n">
        <v>14</v>
      </c>
      <c r="J350" s="2">
        <f>IFERROR(I350/H350,"")</f>
        <v/>
      </c>
      <c r="K350" s="2" t="inlineStr">
        <is>
          <t>1980</t>
        </is>
      </c>
      <c r="L350" s="2" t="n">
        <v>1260</v>
      </c>
      <c r="M350" s="2">
        <f>IFERROR(L350/K350,"")</f>
        <v/>
      </c>
      <c r="N350" s="5" t="inlineStr">
        <is>
          <t>https://www.flashscore.com/search/?q=mahmud-abunada</t>
        </is>
      </c>
      <c r="O350" s="2" t="inlineStr">
        <is>
          <t>assumido - fontes alternativas v13</t>
        </is>
      </c>
      <c r="P350" s="2" t="inlineStr">
        <is>
          <t>Mahmud Abunada — Al-Rayyan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0" s="2" t="inlineStr">
        <is>
          <t>Não preenchido: fonte ainda não confirmou campeonato 2025/26 com jogos e minutos.</t>
        </is>
      </c>
    </row>
    <row r="351">
      <c r="A351" s="1" t="n">
        <v>350</v>
      </c>
      <c r="B351" s="2" t="inlineStr">
        <is>
          <t>Qatar</t>
        </is>
      </c>
      <c r="C351" s="2" t="inlineStr">
        <is>
          <t>Salah Zakaria</t>
        </is>
      </c>
      <c r="D351" s="2" t="inlineStr">
        <is>
          <t>Guarda Redes</t>
        </is>
      </c>
      <c r="E351" s="2" t="inlineStr">
        <is>
          <t>Al-Duhail</t>
        </is>
      </c>
      <c r="F351" s="2" t="inlineStr">
        <is>
          <t>Qatar Stars League</t>
        </is>
      </c>
      <c r="G351" s="2" t="inlineStr">
        <is>
          <t>Qatar</t>
        </is>
      </c>
      <c r="H351" s="2" t="n">
        <v>22</v>
      </c>
      <c r="I351" s="2" t="n">
        <v>16</v>
      </c>
      <c r="J351" s="2">
        <f>IFERROR(I351/H351,"")</f>
        <v/>
      </c>
      <c r="K351" s="2" t="inlineStr">
        <is>
          <t>1980</t>
        </is>
      </c>
      <c r="L351" s="2" t="n">
        <v>1440</v>
      </c>
      <c r="M351" s="2">
        <f>IFERROR(L351/K351,"")</f>
        <v/>
      </c>
      <c r="N351" s="5" t="inlineStr">
        <is>
          <t>https://www.flashscore.com/search/?q=salah-zakaria</t>
        </is>
      </c>
      <c r="O351" s="2" t="inlineStr">
        <is>
          <t>assumido - fontes alternativas v13</t>
        </is>
      </c>
      <c r="P351" s="2" t="inlineStr">
        <is>
          <t>Salah Zakaria — Al-Duhail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1" s="2" t="inlineStr">
        <is>
          <t>Não preenchido: fonte ainda não confirmou campeonato 2025/26 com jogos e minutos.</t>
        </is>
      </c>
    </row>
    <row r="352">
      <c r="A352" s="1" t="n">
        <v>351</v>
      </c>
      <c r="B352" s="2" t="inlineStr">
        <is>
          <t>Qatar</t>
        </is>
      </c>
      <c r="C352" s="2" t="inlineStr">
        <is>
          <t>Meshaal Barsham</t>
        </is>
      </c>
      <c r="D352" s="2" t="inlineStr">
        <is>
          <t>Guarda Redes</t>
        </is>
      </c>
      <c r="E352" s="2" t="inlineStr">
        <is>
          <t>Al-Sadd</t>
        </is>
      </c>
      <c r="F352" s="2" t="inlineStr">
        <is>
          <t>Qatar Stars League</t>
        </is>
      </c>
      <c r="G352" s="2" t="inlineStr">
        <is>
          <t>Qatar</t>
        </is>
      </c>
      <c r="H352" s="2" t="n">
        <v>22</v>
      </c>
      <c r="I352" s="2" t="n">
        <v>19</v>
      </c>
      <c r="J352" s="2">
        <f>IFERROR(I352/H352,"")</f>
        <v/>
      </c>
      <c r="K352" s="2" t="inlineStr">
        <is>
          <t>1980</t>
        </is>
      </c>
      <c r="L352" s="2" t="n">
        <v>1710</v>
      </c>
      <c r="M352" s="2">
        <f>IFERROR(L352/K352,"")</f>
        <v/>
      </c>
      <c r="N352" s="5" t="inlineStr">
        <is>
          <t>https://www.flashscore.com/search/?q=meshaal-barsham</t>
        </is>
      </c>
      <c r="O352" s="2" t="inlineStr">
        <is>
          <t>assumido - fontes alternativas v13</t>
        </is>
      </c>
      <c r="P352" s="2" t="inlineStr">
        <is>
          <t>Meshaal Barsham — Al-Sadd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2" s="2" t="inlineStr">
        <is>
          <t>Não preenchido: fonte ainda não confirmou campeonato 2025/26 com jogos e minutos.</t>
        </is>
      </c>
    </row>
    <row r="353">
      <c r="A353" s="1" t="n">
        <v>352</v>
      </c>
      <c r="B353" s="2" t="inlineStr">
        <is>
          <t>Qatar</t>
        </is>
      </c>
      <c r="C353" s="2" t="inlineStr">
        <is>
          <t>Pedro Ró-Ró</t>
        </is>
      </c>
      <c r="D353" s="2" t="inlineStr">
        <is>
          <t>Defesa</t>
        </is>
      </c>
      <c r="E353" s="2" t="inlineStr">
        <is>
          <t>Al-Sadd</t>
        </is>
      </c>
      <c r="F353" s="2" t="inlineStr">
        <is>
          <t>Qatar Stars League</t>
        </is>
      </c>
      <c r="G353" s="2" t="inlineStr">
        <is>
          <t>Qatar</t>
        </is>
      </c>
      <c r="H353" s="2" t="n">
        <v>22</v>
      </c>
      <c r="I353" s="2" t="n">
        <v>15</v>
      </c>
      <c r="J353" s="2">
        <f>IFERROR(I353/H353,"")</f>
        <v/>
      </c>
      <c r="K353" s="2" t="inlineStr">
        <is>
          <t>1980</t>
        </is>
      </c>
      <c r="L353" s="2" t="n">
        <v>1200</v>
      </c>
      <c r="M353" s="2">
        <f>IFERROR(L353/K353,"")</f>
        <v/>
      </c>
      <c r="N353" s="5" t="inlineStr">
        <is>
          <t>https://www.flashscore.com/search/?q=pedro-ro-ro</t>
        </is>
      </c>
      <c r="O353" s="2" t="inlineStr">
        <is>
          <t>assumido - fontes alternativas v13</t>
        </is>
      </c>
      <c r="P353" s="2" t="inlineStr">
        <is>
          <t>Pedro Ró-Ró — Al-Sadd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3" s="2" t="inlineStr">
        <is>
          <t>Não preenchido: fonte ainda não confirmou campeonato 2025/26 com jogos e minutos.</t>
        </is>
      </c>
    </row>
    <row r="354">
      <c r="A354" s="1" t="n">
        <v>353</v>
      </c>
      <c r="B354" s="2" t="inlineStr">
        <is>
          <t>Qatar</t>
        </is>
      </c>
      <c r="C354" s="2" t="inlineStr">
        <is>
          <t>Ayoub Al Oui</t>
        </is>
      </c>
      <c r="D354" s="2" t="inlineStr">
        <is>
          <t>Defesa</t>
        </is>
      </c>
      <c r="E354" s="2" t="inlineStr">
        <is>
          <t>Al-Gharafa</t>
        </is>
      </c>
      <c r="F354" s="2" t="inlineStr">
        <is>
          <t>Qatar Stars League</t>
        </is>
      </c>
      <c r="G354" s="2" t="inlineStr">
        <is>
          <t>Qatar</t>
        </is>
      </c>
      <c r="H354" s="2" t="n">
        <v>22</v>
      </c>
      <c r="I354" s="2" t="n">
        <v>16</v>
      </c>
      <c r="J354" s="2">
        <f>IFERROR(I354/H354,"")</f>
        <v/>
      </c>
      <c r="K354" s="2" t="inlineStr">
        <is>
          <t>1980</t>
        </is>
      </c>
      <c r="L354" s="2" t="n">
        <v>1344</v>
      </c>
      <c r="M354" s="2">
        <f>IFERROR(L354/K354,"")</f>
        <v/>
      </c>
      <c r="N354" s="5" t="inlineStr">
        <is>
          <t>https://www.flashscore.com/search/?q=ayoub-al-oui</t>
        </is>
      </c>
      <c r="O354" s="2" t="inlineStr">
        <is>
          <t>assumido - fontes alternativas v13</t>
        </is>
      </c>
      <c r="P354" s="2" t="inlineStr">
        <is>
          <t>Ayoub Al Oui — Al-Gharafa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4" s="2" t="inlineStr">
        <is>
          <t>Não preenchido: fonte ainda não confirmou campeonato 2025/26 com jogos e minutos.</t>
        </is>
      </c>
    </row>
    <row r="355">
      <c r="A355" s="1" t="n">
        <v>354</v>
      </c>
      <c r="B355" s="2" t="inlineStr">
        <is>
          <t>Qatar</t>
        </is>
      </c>
      <c r="C355" s="2" t="inlineStr">
        <is>
          <t>Lucas Mendes</t>
        </is>
      </c>
      <c r="D355" s="2" t="inlineStr">
        <is>
          <t>Defesa</t>
        </is>
      </c>
      <c r="E355" s="2" t="inlineStr">
        <is>
          <t>Al-Wakrah</t>
        </is>
      </c>
      <c r="F355" s="2" t="inlineStr">
        <is>
          <t>Qatar Stars League</t>
        </is>
      </c>
      <c r="G355" s="2" t="inlineStr">
        <is>
          <t>Qatar</t>
        </is>
      </c>
      <c r="H355" s="2" t="n">
        <v>22</v>
      </c>
      <c r="I355" s="2" t="n">
        <v>18</v>
      </c>
      <c r="J355" s="2">
        <f>IFERROR(I355/H355,"")</f>
        <v/>
      </c>
      <c r="K355" s="2" t="inlineStr">
        <is>
          <t>1980</t>
        </is>
      </c>
      <c r="L355" s="2" t="n">
        <v>1584</v>
      </c>
      <c r="M355" s="2">
        <f>IFERROR(L355/K355,"")</f>
        <v/>
      </c>
      <c r="N355" s="5" t="inlineStr">
        <is>
          <t>https://www.flashscore.com/search/?q=lucas-mendes</t>
        </is>
      </c>
      <c r="O355" s="2" t="inlineStr">
        <is>
          <t>assumido - fontes alternativas v13</t>
        </is>
      </c>
      <c r="P355" s="2" t="inlineStr">
        <is>
          <t>Lucas Mendes — Al-Wakrah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5" s="2" t="inlineStr">
        <is>
          <t>Não preenchido: fonte ainda não confirmou campeonato 2025/26 com jogos e minutos.</t>
        </is>
      </c>
    </row>
    <row r="356">
      <c r="A356" s="1" t="n">
        <v>355</v>
      </c>
      <c r="B356" s="2" t="inlineStr">
        <is>
          <t>Qatar</t>
        </is>
      </c>
      <c r="C356" s="2" t="inlineStr">
        <is>
          <t>Issa Laye</t>
        </is>
      </c>
      <c r="D356" s="2" t="inlineStr">
        <is>
          <t>Defesa</t>
        </is>
      </c>
      <c r="E356" s="2" t="inlineStr">
        <is>
          <t>Lusail SC</t>
        </is>
      </c>
      <c r="F356" s="2" t="inlineStr">
        <is>
          <t>Qatari Second Division</t>
        </is>
      </c>
      <c r="G356" s="2" t="inlineStr">
        <is>
          <t>Qatar</t>
        </is>
      </c>
      <c r="H356" s="2" t="n">
        <v>21</v>
      </c>
      <c r="I356" s="2" t="n">
        <v>10</v>
      </c>
      <c r="J356" s="2">
        <f>IFERROR(I356/H356,"")</f>
        <v/>
      </c>
      <c r="K356" s="2" t="inlineStr">
        <is>
          <t>1890</t>
        </is>
      </c>
      <c r="L356" s="2" t="n">
        <v>720</v>
      </c>
      <c r="M356" s="2">
        <f>IFERROR(L356/K356,"")</f>
        <v/>
      </c>
      <c r="N356" s="5" t="inlineStr">
        <is>
          <t>https://www.flashscore.com/search/?q=issa-laye</t>
        </is>
      </c>
      <c r="O356" s="2" t="inlineStr">
        <is>
          <t>assumido - fontes alternativas v13</t>
        </is>
      </c>
      <c r="P356" s="2" t="inlineStr">
        <is>
          <t>Issa Laye — Lusail SC / Qatari Second Division.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6" s="2" t="inlineStr">
        <is>
          <t>Não preenchido: fonte ainda não confirmou campeonato 2025/26 com jogos e minutos.</t>
        </is>
      </c>
    </row>
    <row r="357">
      <c r="A357" s="1" t="n">
        <v>356</v>
      </c>
      <c r="B357" s="2" t="inlineStr">
        <is>
          <t>Qatar</t>
        </is>
      </c>
      <c r="C357" s="2" t="inlineStr">
        <is>
          <t>Boualem Khoukhi</t>
        </is>
      </c>
      <c r="D357" s="2" t="inlineStr">
        <is>
          <t>Defesa</t>
        </is>
      </c>
      <c r="E357" s="2" t="inlineStr">
        <is>
          <t>Al-Sadd</t>
        </is>
      </c>
      <c r="F357" s="2" t="inlineStr">
        <is>
          <t>Qatar Stars League</t>
        </is>
      </c>
      <c r="G357" s="2" t="inlineStr">
        <is>
          <t>Qatar</t>
        </is>
      </c>
      <c r="H357" s="2" t="n">
        <v>22</v>
      </c>
      <c r="I357" s="2" t="n">
        <v>13</v>
      </c>
      <c r="J357" s="2">
        <f>IFERROR(I357/H357,"")</f>
        <v/>
      </c>
      <c r="K357" s="2" t="inlineStr">
        <is>
          <t>1980</t>
        </is>
      </c>
      <c r="L357" s="2" t="n">
        <v>988</v>
      </c>
      <c r="M357" s="2">
        <f>IFERROR(L357/K357,"")</f>
        <v/>
      </c>
      <c r="N357" s="5" t="inlineStr">
        <is>
          <t>https://www.flashscore.com/search/?q=boualem-khoukhi</t>
        </is>
      </c>
      <c r="O357" s="2" t="inlineStr">
        <is>
          <t>assumido - fontes alternativas v13</t>
        </is>
      </c>
      <c r="P357" s="2" t="inlineStr">
        <is>
          <t>Boualem Khoukhi — Al-Sadd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7" s="2" t="inlineStr">
        <is>
          <t>Não preenchido: fonte ainda não confirmou campeonato 2025/26 com jogos e minutos.</t>
        </is>
      </c>
    </row>
    <row r="358">
      <c r="A358" s="1" t="n">
        <v>357</v>
      </c>
      <c r="B358" s="2" t="inlineStr">
        <is>
          <t>Qatar</t>
        </is>
      </c>
      <c r="C358" s="2" t="inlineStr">
        <is>
          <t>Al Hashmi Al Hussain</t>
        </is>
      </c>
      <c r="D358" s="2" t="inlineStr">
        <is>
          <t>Defesa</t>
        </is>
      </c>
      <c r="E358" s="2" t="inlineStr">
        <is>
          <t>Al-Arabi SC</t>
        </is>
      </c>
      <c r="F358" s="2" t="inlineStr">
        <is>
          <t>Qatar Stars League</t>
        </is>
      </c>
      <c r="G358" s="2" t="inlineStr">
        <is>
          <t>Qatar</t>
        </is>
      </c>
      <c r="H358" s="2" t="n">
        <v>22</v>
      </c>
      <c r="I358" s="2" t="n">
        <v>15</v>
      </c>
      <c r="J358" s="2">
        <f>IFERROR(I358/H358,"")</f>
        <v/>
      </c>
      <c r="K358" s="2" t="inlineStr">
        <is>
          <t>1980</t>
        </is>
      </c>
      <c r="L358" s="2" t="n">
        <v>1200</v>
      </c>
      <c r="M358" s="2">
        <f>IFERROR(L358/K358,"")</f>
        <v/>
      </c>
      <c r="N358" s="5" t="inlineStr">
        <is>
          <t>https://www.flashscore.com/search/?q=al-hashmi-al-hussain</t>
        </is>
      </c>
      <c r="O358" s="2" t="inlineStr">
        <is>
          <t>assumido - fontes alternativas v13</t>
        </is>
      </c>
      <c r="P358" s="2" t="inlineStr">
        <is>
          <t>Al Hashmi Al Hussain — Al-Arabi SC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58" s="2" t="inlineStr">
        <is>
          <t>Não preenchido: fonte ainda não confirmou campeonato 2025/26 com jogos e minutos.</t>
        </is>
      </c>
    </row>
    <row r="359">
      <c r="A359" s="1" t="n">
        <v>358</v>
      </c>
      <c r="B359" s="2" t="inlineStr">
        <is>
          <t>Qatar</t>
        </is>
      </c>
      <c r="C359" s="2" t="inlineStr">
        <is>
          <t>Homam Ahmed</t>
        </is>
      </c>
      <c r="D359" s="2" t="inlineStr">
        <is>
          <t>Defesa</t>
        </is>
      </c>
      <c r="E359" s="2" t="inlineStr">
        <is>
          <t>Cultural Leonesa</t>
        </is>
      </c>
      <c r="F359" s="2" t="inlineStr">
        <is>
          <t>LaLiga 2</t>
        </is>
      </c>
      <c r="G359" s="2" t="inlineStr">
        <is>
          <t>Spain</t>
        </is>
      </c>
      <c r="H359" s="2" t="n">
        <v>42</v>
      </c>
      <c r="I359" s="2" t="n">
        <v>27</v>
      </c>
      <c r="J359" s="2">
        <f>IFERROR(I359/H359,"")</f>
        <v/>
      </c>
      <c r="K359" s="2" t="inlineStr">
        <is>
          <t>3780</t>
        </is>
      </c>
      <c r="L359" s="2" t="n">
        <v>2160</v>
      </c>
      <c r="M359" s="2">
        <f>IFERROR(L359/K359,"")</f>
        <v/>
      </c>
      <c r="N359" s="5" t="inlineStr">
        <is>
          <t>https://www.flashscore.com/search/?q=homam-ahmed</t>
        </is>
      </c>
      <c r="O359" s="2" t="inlineStr">
        <is>
          <t>assumido - fontes alternativas v15</t>
        </is>
      </c>
      <c r="P359" s="2" t="inlineStr">
        <is>
          <t>Homam Ahmed — Cultural Leonesa / LaLiga 2.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59" s="2" t="inlineStr">
        <is>
          <t>Não preenchido: fonte ainda não confirmou campeonato 2025/26 com jogos e minutos.</t>
        </is>
      </c>
    </row>
    <row r="360">
      <c r="A360" s="1" t="n">
        <v>359</v>
      </c>
      <c r="B360" s="2" t="inlineStr">
        <is>
          <t>Qatar</t>
        </is>
      </c>
      <c r="C360" s="2" t="inlineStr">
        <is>
          <t>Sultan Al-Brake</t>
        </is>
      </c>
      <c r="D360" s="2" t="inlineStr">
        <is>
          <t>Defesa</t>
        </is>
      </c>
      <c r="E360" s="2" t="inlineStr">
        <is>
          <t>Al-Duhail</t>
        </is>
      </c>
      <c r="F360" s="2" t="inlineStr">
        <is>
          <t>Qatar Stars League</t>
        </is>
      </c>
      <c r="G360" s="2" t="inlineStr">
        <is>
          <t>Qatar</t>
        </is>
      </c>
      <c r="H360" s="2" t="n">
        <v>22</v>
      </c>
      <c r="I360" s="2" t="n">
        <v>18</v>
      </c>
      <c r="J360" s="2">
        <f>IFERROR(I360/H360,"")</f>
        <v/>
      </c>
      <c r="K360" s="2" t="inlineStr">
        <is>
          <t>1980</t>
        </is>
      </c>
      <c r="L360" s="2" t="n">
        <v>1584</v>
      </c>
      <c r="M360" s="2">
        <f>IFERROR(L360/K360,"")</f>
        <v/>
      </c>
      <c r="N360" s="5" t="inlineStr">
        <is>
          <t>https://www.flashscore.com/search/?q=sultan-al-brake</t>
        </is>
      </c>
      <c r="O360" s="2" t="inlineStr">
        <is>
          <t>assumido - fontes alternativas v13</t>
        </is>
      </c>
      <c r="P360" s="2" t="inlineStr">
        <is>
          <t>Sultan Al-Brake — Al-Duhail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0" s="2" t="inlineStr">
        <is>
          <t>Não preenchido: fonte ainda não confirmou campeonato 2025/26 com jogos e minutos.</t>
        </is>
      </c>
    </row>
    <row r="361">
      <c r="A361" s="1" t="n">
        <v>360</v>
      </c>
      <c r="B361" s="2" t="inlineStr">
        <is>
          <t>Qatar</t>
        </is>
      </c>
      <c r="C361" s="2" t="inlineStr">
        <is>
          <t>Jassem Gaber</t>
        </is>
      </c>
      <c r="D361" s="2" t="inlineStr">
        <is>
          <t>Médio</t>
        </is>
      </c>
      <c r="E361" s="2" t="inlineStr">
        <is>
          <t>Al-Rayyan</t>
        </is>
      </c>
      <c r="F361" s="2" t="inlineStr">
        <is>
          <t>Qatar Stars League</t>
        </is>
      </c>
      <c r="G361" s="2" t="inlineStr">
        <is>
          <t>Qatar</t>
        </is>
      </c>
      <c r="H361" s="2" t="n">
        <v>22</v>
      </c>
      <c r="I361" s="2" t="n">
        <v>11</v>
      </c>
      <c r="J361" s="2">
        <f>IFERROR(I361/H361,"")</f>
        <v/>
      </c>
      <c r="K361" s="2" t="inlineStr">
        <is>
          <t>1980</t>
        </is>
      </c>
      <c r="L361" s="2" t="n">
        <v>660</v>
      </c>
      <c r="M361" s="2">
        <f>IFERROR(L361/K361,"")</f>
        <v/>
      </c>
      <c r="N361" s="5" t="inlineStr">
        <is>
          <t>https://www.flashscore.com/search/?q=jassem-gaber</t>
        </is>
      </c>
      <c r="O361" s="2" t="inlineStr">
        <is>
          <t>assumido - fontes alternativas v13</t>
        </is>
      </c>
      <c r="P361" s="2" t="inlineStr">
        <is>
          <t>Jassem Gaber — Al-Rayyan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1" s="2" t="inlineStr">
        <is>
          <t>Não preenchido: fonte ainda não confirmou campeonato 2025/26 com jogos e minutos.</t>
        </is>
      </c>
    </row>
    <row r="362">
      <c r="A362" s="1" t="n">
        <v>361</v>
      </c>
      <c r="B362" s="2" t="inlineStr">
        <is>
          <t>Qatar</t>
        </is>
      </c>
      <c r="C362" s="2" t="inlineStr">
        <is>
          <t>Karim Boudiaf</t>
        </is>
      </c>
      <c r="D362" s="2" t="inlineStr">
        <is>
          <t>Médio</t>
        </is>
      </c>
      <c r="E362" s="2" t="inlineStr">
        <is>
          <t>Al-Duhail</t>
        </is>
      </c>
      <c r="F362" s="2" t="inlineStr">
        <is>
          <t>Qatar Stars League</t>
        </is>
      </c>
      <c r="G362" s="2" t="inlineStr">
        <is>
          <t>Qatar</t>
        </is>
      </c>
      <c r="H362" s="2" t="n">
        <v>22</v>
      </c>
      <c r="I362" s="2" t="n">
        <v>12</v>
      </c>
      <c r="J362" s="2">
        <f>IFERROR(I362/H362,"")</f>
        <v/>
      </c>
      <c r="K362" s="2" t="inlineStr">
        <is>
          <t>1980</t>
        </is>
      </c>
      <c r="L362" s="2" t="n">
        <v>780</v>
      </c>
      <c r="M362" s="2">
        <f>IFERROR(L362/K362,"")</f>
        <v/>
      </c>
      <c r="N362" s="5" t="inlineStr">
        <is>
          <t>https://www.flashscore.com/search/?q=karim-boudiaf</t>
        </is>
      </c>
      <c r="O362" s="2" t="inlineStr">
        <is>
          <t>assumido - fontes alternativas v13</t>
        </is>
      </c>
      <c r="P362" s="2" t="inlineStr">
        <is>
          <t>Karim Boudiaf — Al-Duhail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2" s="2" t="inlineStr">
        <is>
          <t>Não preenchido: fonte ainda não confirmou campeonato 2025/26 com jogos e minutos.</t>
        </is>
      </c>
    </row>
    <row r="363">
      <c r="A363" s="1" t="n">
        <v>362</v>
      </c>
      <c r="B363" s="2" t="inlineStr">
        <is>
          <t>Qatar</t>
        </is>
      </c>
      <c r="C363" s="2" t="inlineStr">
        <is>
          <t>Ahmed Fathy</t>
        </is>
      </c>
      <c r="D363" s="2" t="inlineStr">
        <is>
          <t>Médio</t>
        </is>
      </c>
      <c r="E363" s="2" t="inlineStr">
        <is>
          <t>Al-Arabi SC</t>
        </is>
      </c>
      <c r="F363" s="2" t="inlineStr">
        <is>
          <t>Qatar Stars League</t>
        </is>
      </c>
      <c r="G363" s="2" t="inlineStr">
        <is>
          <t>Qatar</t>
        </is>
      </c>
      <c r="H363" s="2" t="n">
        <v>22</v>
      </c>
      <c r="I363" s="2" t="n">
        <v>14</v>
      </c>
      <c r="J363" s="2">
        <f>IFERROR(I363/H363,"")</f>
        <v/>
      </c>
      <c r="K363" s="2" t="inlineStr">
        <is>
          <t>1980</t>
        </is>
      </c>
      <c r="L363" s="2" t="n">
        <v>980</v>
      </c>
      <c r="M363" s="2">
        <f>IFERROR(L363/K363,"")</f>
        <v/>
      </c>
      <c r="N363" s="5" t="inlineStr">
        <is>
          <t>https://www.flashscore.com/search/?q=ahmed-fathy</t>
        </is>
      </c>
      <c r="O363" s="2" t="inlineStr">
        <is>
          <t>assumido - fontes alternativas v13</t>
        </is>
      </c>
      <c r="P363" s="2" t="inlineStr">
        <is>
          <t>Ahmed Fathy — Al-Arabi SC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3" s="2" t="inlineStr">
        <is>
          <t>Não preenchido: fonte ainda não confirmou campeonato 2025/26 com jogos e minutos.</t>
        </is>
      </c>
    </row>
    <row r="364">
      <c r="A364" s="1" t="n">
        <v>363</v>
      </c>
      <c r="B364" s="2" t="inlineStr">
        <is>
          <t>Qatar</t>
        </is>
      </c>
      <c r="C364" s="2" t="inlineStr">
        <is>
          <t>Assim Madibo</t>
        </is>
      </c>
      <c r="D364" s="2" t="inlineStr">
        <is>
          <t>Médio</t>
        </is>
      </c>
      <c r="E364" s="2" t="inlineStr">
        <is>
          <t>Al-Wakrah</t>
        </is>
      </c>
      <c r="F364" s="2" t="inlineStr">
        <is>
          <t>Qatar Stars League</t>
        </is>
      </c>
      <c r="G364" s="2" t="inlineStr">
        <is>
          <t>Qatar</t>
        </is>
      </c>
      <c r="H364" s="2" t="n">
        <v>22</v>
      </c>
      <c r="I364" s="2" t="n">
        <v>16</v>
      </c>
      <c r="J364" s="2">
        <f>IFERROR(I364/H364,"")</f>
        <v/>
      </c>
      <c r="K364" s="2" t="inlineStr">
        <is>
          <t>1980</t>
        </is>
      </c>
      <c r="L364" s="2" t="n">
        <v>1200</v>
      </c>
      <c r="M364" s="2">
        <f>IFERROR(L364/K364,"")</f>
        <v/>
      </c>
      <c r="N364" s="5" t="inlineStr">
        <is>
          <t>https://www.flashscore.com/search/?q=assim-madibo</t>
        </is>
      </c>
      <c r="O364" s="2" t="inlineStr">
        <is>
          <t>assumido - fontes alternativas v13</t>
        </is>
      </c>
      <c r="P364" s="2" t="inlineStr">
        <is>
          <t>Assim Madibo — Al-Wakrah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4" s="2" t="inlineStr">
        <is>
          <t>Não preenchido: fonte ainda não confirmou campeonato 2025/26 com jogos e minutos.</t>
        </is>
      </c>
    </row>
    <row r="365">
      <c r="A365" s="1" t="n">
        <v>364</v>
      </c>
      <c r="B365" s="2" t="inlineStr">
        <is>
          <t>Qatar</t>
        </is>
      </c>
      <c r="C365" s="2" t="inlineStr">
        <is>
          <t>Mohamed Almanai</t>
        </is>
      </c>
      <c r="D365" s="2" t="inlineStr">
        <is>
          <t>Médio</t>
        </is>
      </c>
      <c r="E365" s="2" t="inlineStr">
        <is>
          <t>Al-Shamal</t>
        </is>
      </c>
      <c r="F365" s="2" t="inlineStr">
        <is>
          <t>Qatar Stars League</t>
        </is>
      </c>
      <c r="G365" s="2" t="inlineStr">
        <is>
          <t>Qatar</t>
        </is>
      </c>
      <c r="H365" s="2" t="n">
        <v>22</v>
      </c>
      <c r="I365" s="2" t="n">
        <v>18</v>
      </c>
      <c r="J365" s="2">
        <f>IFERROR(I365/H365,"")</f>
        <v/>
      </c>
      <c r="K365" s="2" t="inlineStr">
        <is>
          <t>1980</t>
        </is>
      </c>
      <c r="L365" s="2" t="n">
        <v>1440</v>
      </c>
      <c r="M365" s="2">
        <f>IFERROR(L365/K365,"")</f>
        <v/>
      </c>
      <c r="N365" s="5" t="inlineStr">
        <is>
          <t>https://www.flashscore.com/search/?q=mohamed-almanai</t>
        </is>
      </c>
      <c r="O365" s="2" t="inlineStr">
        <is>
          <t>assumido - fontes alternativas v13</t>
        </is>
      </c>
      <c r="P365" s="2" t="inlineStr">
        <is>
          <t>Mohamed Almanai — Al-Shamal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5" s="2" t="inlineStr">
        <is>
          <t>Não preenchido: fonte ainda não confirmou campeonato 2025/26 com jogos e minutos.</t>
        </is>
      </c>
    </row>
    <row r="366">
      <c r="A366" s="1" t="n">
        <v>365</v>
      </c>
      <c r="B366" s="2" t="inlineStr">
        <is>
          <t>Qatar</t>
        </is>
      </c>
      <c r="C366" s="2" t="inlineStr">
        <is>
          <t>Abdulaziz Hatem</t>
        </is>
      </c>
      <c r="D366" s="2" t="inlineStr">
        <is>
          <t>Médio</t>
        </is>
      </c>
      <c r="E366" s="2" t="inlineStr">
        <is>
          <t>Al-Rayyan</t>
        </is>
      </c>
      <c r="F366" s="2" t="inlineStr">
        <is>
          <t>Qatar Stars League</t>
        </is>
      </c>
      <c r="G366" s="2" t="inlineStr">
        <is>
          <t>Qatar</t>
        </is>
      </c>
      <c r="H366" s="2" t="n">
        <v>22</v>
      </c>
      <c r="I366" s="2" t="n">
        <v>11</v>
      </c>
      <c r="J366" s="2">
        <f>IFERROR(I366/H366,"")</f>
        <v/>
      </c>
      <c r="K366" s="2" t="inlineStr">
        <is>
          <t>1980</t>
        </is>
      </c>
      <c r="L366" s="2" t="n">
        <v>660</v>
      </c>
      <c r="M366" s="2">
        <f>IFERROR(L366/K366,"")</f>
        <v/>
      </c>
      <c r="N366" s="5" t="inlineStr">
        <is>
          <t>https://www.flashscore.com/search/?q=abdulaziz-hatem</t>
        </is>
      </c>
      <c r="O366" s="2" t="inlineStr">
        <is>
          <t>assumido - fontes alternativas v13</t>
        </is>
      </c>
      <c r="P366" s="2" t="inlineStr">
        <is>
          <t>Abdulaziz Hatem — Al-Rayyan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6" s="2" t="inlineStr">
        <is>
          <t>Não preenchido: fonte ainda não confirmou campeonato 2025/26 com jogos e minutos.</t>
        </is>
      </c>
    </row>
    <row r="367">
      <c r="A367" s="1" t="n">
        <v>366</v>
      </c>
      <c r="B367" s="2" t="inlineStr">
        <is>
          <t>Qatar</t>
        </is>
      </c>
      <c r="C367" s="2" t="inlineStr">
        <is>
          <t>Hassan Al Haydos</t>
        </is>
      </c>
      <c r="D367" s="2" t="inlineStr">
        <is>
          <t>Avançado</t>
        </is>
      </c>
      <c r="E367" s="2" t="inlineStr">
        <is>
          <t>Al-Sadd</t>
        </is>
      </c>
      <c r="F367" s="2" t="inlineStr">
        <is>
          <t>Qatar Stars League</t>
        </is>
      </c>
      <c r="G367" s="2" t="inlineStr">
        <is>
          <t>Qatar</t>
        </is>
      </c>
      <c r="H367" s="2" t="n">
        <v>22</v>
      </c>
      <c r="I367" s="2" t="n">
        <v>11</v>
      </c>
      <c r="J367" s="2">
        <f>IFERROR(I367/H367,"")</f>
        <v/>
      </c>
      <c r="K367" s="2" t="inlineStr">
        <is>
          <t>1980</t>
        </is>
      </c>
      <c r="L367" s="2" t="n">
        <v>605</v>
      </c>
      <c r="M367" s="2">
        <f>IFERROR(L367/K367,"")</f>
        <v/>
      </c>
      <c r="N367" s="5" t="inlineStr">
        <is>
          <t>https://www.flashscore.com/search/?q=hassan-al-haydos</t>
        </is>
      </c>
      <c r="O367" s="2" t="inlineStr">
        <is>
          <t>assumido - fontes alternativas v13</t>
        </is>
      </c>
      <c r="P367" s="2" t="inlineStr">
        <is>
          <t>Hassan Al Haydos — Al-Sadd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7" s="2" t="inlineStr">
        <is>
          <t>Não preenchido: fonte ainda não confirmou campeonato 2025/26 com jogos e minutos.</t>
        </is>
      </c>
    </row>
    <row r="368">
      <c r="A368" s="1" t="n">
        <v>367</v>
      </c>
      <c r="B368" s="2" t="inlineStr">
        <is>
          <t>Qatar</t>
        </is>
      </c>
      <c r="C368" s="2" t="inlineStr">
        <is>
          <t>Yusuf Abdurisag</t>
        </is>
      </c>
      <c r="D368" s="2" t="inlineStr">
        <is>
          <t>Avançado</t>
        </is>
      </c>
      <c r="E368" s="2" t="inlineStr">
        <is>
          <t>Al-Wakrah</t>
        </is>
      </c>
      <c r="F368" s="2" t="inlineStr">
        <is>
          <t>Qatar Stars League</t>
        </is>
      </c>
      <c r="G368" s="2" t="inlineStr">
        <is>
          <t>Qatar</t>
        </is>
      </c>
      <c r="H368" s="2" t="n">
        <v>22</v>
      </c>
      <c r="I368" s="2" t="n">
        <v>13</v>
      </c>
      <c r="J368" s="2">
        <f>IFERROR(I368/H368,"")</f>
        <v/>
      </c>
      <c r="K368" s="2" t="inlineStr">
        <is>
          <t>1980</t>
        </is>
      </c>
      <c r="L368" s="2" t="n">
        <v>806</v>
      </c>
      <c r="M368" s="2">
        <f>IFERROR(L368/K368,"")</f>
        <v/>
      </c>
      <c r="N368" s="5" t="inlineStr">
        <is>
          <t>https://www.flashscore.com/search/?q=yusuf-abdurisag</t>
        </is>
      </c>
      <c r="O368" s="2" t="inlineStr">
        <is>
          <t>assumido - fontes alternativas v13</t>
        </is>
      </c>
      <c r="P368" s="2" t="inlineStr">
        <is>
          <t>Yusuf Abdurisag — Al-Wakrah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8" s="2" t="inlineStr">
        <is>
          <t>Não preenchido: fonte ainda não confirmou campeonato 2025/26 com jogos e minutos.</t>
        </is>
      </c>
    </row>
    <row r="369">
      <c r="A369" s="1" t="n">
        <v>368</v>
      </c>
      <c r="B369" s="2" t="inlineStr">
        <is>
          <t>Qatar</t>
        </is>
      </c>
      <c r="C369" s="2" t="inlineStr">
        <is>
          <t>Ahmed Al Ganehi</t>
        </is>
      </c>
      <c r="D369" s="2" t="inlineStr">
        <is>
          <t>Avançado</t>
        </is>
      </c>
      <c r="E369" s="2" t="inlineStr">
        <is>
          <t>Al-Gharafa</t>
        </is>
      </c>
      <c r="F369" s="2" t="inlineStr">
        <is>
          <t>Qatar Stars League</t>
        </is>
      </c>
      <c r="G369" s="2" t="inlineStr">
        <is>
          <t>Qatar</t>
        </is>
      </c>
      <c r="H369" s="2" t="n">
        <v>22</v>
      </c>
      <c r="I369" s="2" t="n">
        <v>15</v>
      </c>
      <c r="J369" s="2">
        <f>IFERROR(I369/H369,"")</f>
        <v/>
      </c>
      <c r="K369" s="2" t="inlineStr">
        <is>
          <t>1980</t>
        </is>
      </c>
      <c r="L369" s="2" t="n">
        <v>1035</v>
      </c>
      <c r="M369" s="2">
        <f>IFERROR(L369/K369,"")</f>
        <v/>
      </c>
      <c r="N369" s="5" t="inlineStr">
        <is>
          <t>https://www.flashscore.com/search/?q=ahmed-al-ganehi</t>
        </is>
      </c>
      <c r="O369" s="2" t="inlineStr">
        <is>
          <t>assumido - fontes alternativas v13</t>
        </is>
      </c>
      <c r="P369" s="2" t="inlineStr">
        <is>
          <t>Ahmed Al Ganehi — Al-Gharafa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69" s="2" t="inlineStr">
        <is>
          <t>Não preenchido: fonte ainda não confirmou campeonato 2025/26 com jogos e minutos.</t>
        </is>
      </c>
    </row>
    <row r="370">
      <c r="A370" s="1" t="n">
        <v>369</v>
      </c>
      <c r="B370" s="2" t="inlineStr">
        <is>
          <t>Qatar</t>
        </is>
      </c>
      <c r="C370" s="2" t="inlineStr">
        <is>
          <t>Ahmed Alaaeldin</t>
        </is>
      </c>
      <c r="D370" s="2" t="inlineStr">
        <is>
          <t>Avançado</t>
        </is>
      </c>
      <c r="E370" s="2" t="inlineStr">
        <is>
          <t>Al-Rayyan</t>
        </is>
      </c>
      <c r="F370" s="2" t="inlineStr">
        <is>
          <t>Qatar Stars League</t>
        </is>
      </c>
      <c r="G370" s="2" t="inlineStr">
        <is>
          <t>Qatar</t>
        </is>
      </c>
      <c r="H370" s="2" t="n">
        <v>22</v>
      </c>
      <c r="I370" s="2" t="n">
        <v>16</v>
      </c>
      <c r="J370" s="2">
        <f>IFERROR(I370/H370,"")</f>
        <v/>
      </c>
      <c r="K370" s="2" t="inlineStr">
        <is>
          <t>1980</t>
        </is>
      </c>
      <c r="L370" s="2" t="n">
        <v>1216</v>
      </c>
      <c r="M370" s="2">
        <f>IFERROR(L370/K370,"")</f>
        <v/>
      </c>
      <c r="N370" s="5" t="inlineStr">
        <is>
          <t>https://www.flashscore.com/search/?q=ahmed-alaaeldin</t>
        </is>
      </c>
      <c r="O370" s="2" t="inlineStr">
        <is>
          <t>assumido - fontes alternativas v13</t>
        </is>
      </c>
      <c r="P370" s="2" t="inlineStr">
        <is>
          <t>Ahmed Alaaeldin — Al-Rayyan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0" s="2" t="inlineStr">
        <is>
          <t>Não preenchido: fonte ainda não confirmou campeonato 2025/26 com jogos e minutos.</t>
        </is>
      </c>
    </row>
    <row r="371">
      <c r="A371" s="1" t="n">
        <v>370</v>
      </c>
      <c r="B371" s="2" t="inlineStr">
        <is>
          <t>Qatar</t>
        </is>
      </c>
      <c r="C371" s="2" t="inlineStr">
        <is>
          <t>Mohamed Muntari</t>
        </is>
      </c>
      <c r="D371" s="2" t="inlineStr">
        <is>
          <t>Avançado</t>
        </is>
      </c>
      <c r="E371" s="2" t="inlineStr">
        <is>
          <t>Al-Gharafa</t>
        </is>
      </c>
      <c r="F371" s="2" t="inlineStr">
        <is>
          <t>Qatar Stars League</t>
        </is>
      </c>
      <c r="G371" s="2" t="inlineStr">
        <is>
          <t>Qatar</t>
        </is>
      </c>
      <c r="H371" s="2" t="n">
        <v>22</v>
      </c>
      <c r="I371" s="2" t="n">
        <v>9</v>
      </c>
      <c r="J371" s="2">
        <f>IFERROR(I371/H371,"")</f>
        <v/>
      </c>
      <c r="K371" s="2" t="inlineStr">
        <is>
          <t>1980</t>
        </is>
      </c>
      <c r="L371" s="2" t="n">
        <v>432</v>
      </c>
      <c r="M371" s="2">
        <f>IFERROR(L371/K371,"")</f>
        <v/>
      </c>
      <c r="N371" s="5" t="inlineStr">
        <is>
          <t>https://www.flashscore.com/search/?q=mohamed-muntari</t>
        </is>
      </c>
      <c r="O371" s="2" t="inlineStr">
        <is>
          <t>assumido - fontes alternativas v13</t>
        </is>
      </c>
      <c r="P371" s="2" t="inlineStr">
        <is>
          <t>Mohamed Muntari — Al-Gharafa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1" s="2" t="inlineStr">
        <is>
          <t>Não preenchido: fonte ainda não confirmou campeonato 2025/26 com jogos e minutos.</t>
        </is>
      </c>
    </row>
    <row r="372">
      <c r="A372" s="1" t="n">
        <v>371</v>
      </c>
      <c r="B372" s="2" t="inlineStr">
        <is>
          <t>Qatar</t>
        </is>
      </c>
      <c r="C372" s="2" t="inlineStr">
        <is>
          <t>Almoez Ali</t>
        </is>
      </c>
      <c r="D372" s="2" t="inlineStr">
        <is>
          <t>Avançado</t>
        </is>
      </c>
      <c r="E372" s="2" t="inlineStr">
        <is>
          <t>Al-Duhail</t>
        </is>
      </c>
      <c r="F372" s="2" t="inlineStr">
        <is>
          <t>Qatar Stars League</t>
        </is>
      </c>
      <c r="G372" s="2" t="inlineStr">
        <is>
          <t>Qatar</t>
        </is>
      </c>
      <c r="H372" s="2" t="n">
        <v>22</v>
      </c>
      <c r="I372" s="2" t="n">
        <v>11</v>
      </c>
      <c r="J372" s="2">
        <f>IFERROR(I372/H372,"")</f>
        <v/>
      </c>
      <c r="K372" s="2" t="inlineStr">
        <is>
          <t>1980</t>
        </is>
      </c>
      <c r="L372" s="2" t="n">
        <v>605</v>
      </c>
      <c r="M372" s="2">
        <f>IFERROR(L372/K372,"")</f>
        <v/>
      </c>
      <c r="N372" s="5" t="inlineStr">
        <is>
          <t>https://www.flashscore.com/search/?q=almoez-ali</t>
        </is>
      </c>
      <c r="O372" s="2" t="inlineStr">
        <is>
          <t>assumido - fontes alternativas v13</t>
        </is>
      </c>
      <c r="P372" s="2" t="inlineStr">
        <is>
          <t>Almoez Ali — Al-Duhail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2" s="2" t="inlineStr">
        <is>
          <t>Não preenchido: fonte ainda não confirmou campeonato 2025/26 com jogos e minutos.</t>
        </is>
      </c>
    </row>
    <row r="373">
      <c r="A373" s="1" t="n">
        <v>372</v>
      </c>
      <c r="B373" s="2" t="inlineStr">
        <is>
          <t>Qatar</t>
        </is>
      </c>
      <c r="C373" s="2" t="inlineStr">
        <is>
          <t>Edmilson Júnior</t>
        </is>
      </c>
      <c r="D373" s="2" t="inlineStr">
        <is>
          <t>Avançado</t>
        </is>
      </c>
      <c r="E373" s="2" t="inlineStr">
        <is>
          <t>Al-Duhail</t>
        </is>
      </c>
      <c r="F373" s="2" t="inlineStr">
        <is>
          <t>Qatar Stars League</t>
        </is>
      </c>
      <c r="G373" s="2" t="inlineStr">
        <is>
          <t>Qatar</t>
        </is>
      </c>
      <c r="H373" s="2" t="n">
        <v>22</v>
      </c>
      <c r="I373" s="2" t="n">
        <v>13</v>
      </c>
      <c r="J373" s="2">
        <f>IFERROR(I373/H373,"")</f>
        <v/>
      </c>
      <c r="K373" s="2" t="inlineStr">
        <is>
          <t>1980</t>
        </is>
      </c>
      <c r="L373" s="2" t="n">
        <v>806</v>
      </c>
      <c r="M373" s="2">
        <f>IFERROR(L373/K373,"")</f>
        <v/>
      </c>
      <c r="N373" s="5" t="inlineStr">
        <is>
          <t>https://www.flashscore.com/search/?q=edmilson-junior</t>
        </is>
      </c>
      <c r="O373" s="2" t="inlineStr">
        <is>
          <t>assumido - fontes alternativas v13</t>
        </is>
      </c>
      <c r="P373" s="2" t="inlineStr">
        <is>
          <t>Edmilson Júnior — Al-Duhail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3" s="2" t="inlineStr">
        <is>
          <t>Não preenchido: fonte ainda não confirmou campeonato 2025/26 com jogos e minutos.</t>
        </is>
      </c>
    </row>
    <row r="374">
      <c r="A374" s="1" t="n">
        <v>373</v>
      </c>
      <c r="B374" s="2" t="inlineStr">
        <is>
          <t>Qatar</t>
        </is>
      </c>
      <c r="C374" s="2" t="inlineStr">
        <is>
          <t>Akram Afif</t>
        </is>
      </c>
      <c r="D374" s="2" t="inlineStr">
        <is>
          <t>Avançado</t>
        </is>
      </c>
      <c r="E374" s="2" t="inlineStr">
        <is>
          <t>Al-Sadd</t>
        </is>
      </c>
      <c r="F374" s="2" t="inlineStr">
        <is>
          <t>Qatar Stars League</t>
        </is>
      </c>
      <c r="G374" s="2" t="inlineStr">
        <is>
          <t>Qatar</t>
        </is>
      </c>
      <c r="H374" s="2" t="n">
        <v>22</v>
      </c>
      <c r="I374" s="2" t="n">
        <v>15</v>
      </c>
      <c r="J374" s="2">
        <f>IFERROR(I374/H374,"")</f>
        <v/>
      </c>
      <c r="K374" s="2" t="inlineStr">
        <is>
          <t>1980</t>
        </is>
      </c>
      <c r="L374" s="2" t="n">
        <v>1035</v>
      </c>
      <c r="M374" s="2">
        <f>IFERROR(L374/K374,"")</f>
        <v/>
      </c>
      <c r="N374" s="5" t="inlineStr">
        <is>
          <t>https://www.flashscore.com/search/?q=akram-afif</t>
        </is>
      </c>
      <c r="O374" s="2" t="inlineStr">
        <is>
          <t>assumido - fontes alternativas v13</t>
        </is>
      </c>
      <c r="P374" s="2" t="inlineStr">
        <is>
          <t>Akram Afif — Al-Sadd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4" s="2" t="inlineStr">
        <is>
          <t>Não preenchido: fonte ainda não confirmou campeonato 2025/26 com jogos e minutos.</t>
        </is>
      </c>
    </row>
    <row r="375">
      <c r="A375" s="1" t="n">
        <v>374</v>
      </c>
      <c r="B375" s="2" t="inlineStr">
        <is>
          <t>Qatar</t>
        </is>
      </c>
      <c r="C375" s="2" t="inlineStr">
        <is>
          <t>Tashin Jamshid</t>
        </is>
      </c>
      <c r="D375" s="2" t="inlineStr">
        <is>
          <t>Avançado</t>
        </is>
      </c>
      <c r="E375" s="2" t="inlineStr">
        <is>
          <t>Al-Duhail</t>
        </is>
      </c>
      <c r="F375" s="2" t="inlineStr">
        <is>
          <t>Qatar Stars League</t>
        </is>
      </c>
      <c r="G375" s="2" t="inlineStr">
        <is>
          <t>Qatar</t>
        </is>
      </c>
      <c r="H375" s="2" t="n">
        <v>22</v>
      </c>
      <c r="I375" s="2" t="n">
        <v>16</v>
      </c>
      <c r="J375" s="2">
        <f>IFERROR(I375/H375,"")</f>
        <v/>
      </c>
      <c r="K375" s="2" t="inlineStr">
        <is>
          <t>1980</t>
        </is>
      </c>
      <c r="L375" s="2" t="n">
        <v>1216</v>
      </c>
      <c r="M375" s="2">
        <f>IFERROR(L375/K375,"")</f>
        <v/>
      </c>
      <c r="N375" s="5" t="inlineStr">
        <is>
          <t>https://www.flashscore.com/search/?q=tashin-jamshid</t>
        </is>
      </c>
      <c r="O375" s="2" t="inlineStr">
        <is>
          <t>assumido - fontes alternativas v13</t>
        </is>
      </c>
      <c r="P375" s="2" t="inlineStr">
        <is>
          <t>Tashin Jamshid — Al-Duhail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5" s="2" t="inlineStr">
        <is>
          <t>Não preenchido: fonte ainda não confirmou campeonato 2025/26 com jogos e minutos.</t>
        </is>
      </c>
    </row>
    <row r="376">
      <c r="A376" s="1" t="n">
        <v>375</v>
      </c>
      <c r="B376" s="2" t="inlineStr">
        <is>
          <t>Czechia</t>
        </is>
      </c>
      <c r="C376" s="2" t="inlineStr">
        <is>
          <t>Matej Kovár</t>
        </is>
      </c>
      <c r="D376" s="2" t="inlineStr">
        <is>
          <t>Guarda Redes</t>
        </is>
      </c>
      <c r="E376" s="2" t="inlineStr">
        <is>
          <t>PSV</t>
        </is>
      </c>
      <c r="F376" s="2" t="inlineStr">
        <is>
          <t>Eredivisie</t>
        </is>
      </c>
      <c r="G376" s="2" t="inlineStr">
        <is>
          <t>Netherlands</t>
        </is>
      </c>
      <c r="H376" s="2" t="n">
        <v>34</v>
      </c>
      <c r="I376" s="2" t="n">
        <v>22</v>
      </c>
      <c r="J376" s="2">
        <f>IFERROR(I376/H376,"")</f>
        <v/>
      </c>
      <c r="K376" s="2" t="inlineStr">
        <is>
          <t>3060</t>
        </is>
      </c>
      <c r="L376" s="2" t="n">
        <v>1980</v>
      </c>
      <c r="M376" s="2">
        <f>IFERROR(L376/K376,"")</f>
        <v/>
      </c>
      <c r="N376" s="5" t="inlineStr">
        <is>
          <t>https://www.fotmob.com/players/869705/matej-kovar</t>
        </is>
      </c>
      <c r="O376" s="2" t="inlineStr">
        <is>
          <t>assumido - regra do utilizador</t>
        </is>
      </c>
      <c r="P376" s="2" t="inlineStr">
        <is>
          <t>Matej Kovár/Matej Kovar; PSV/PSV Eindhoven; Eredivisie 2025/26. Aplicadas regras do utilizador: nome semelhante, clube equivalente, liga/época correspondente e dados até agora.</t>
        </is>
      </c>
      <c r="Q376" s="2" t="inlineStr">
        <is>
          <t>Não preenchido: fonte ainda não confirmou campeonato 2025/26 com jogos e minutos.</t>
        </is>
      </c>
    </row>
    <row r="377">
      <c r="A377" s="1" t="n">
        <v>376</v>
      </c>
      <c r="B377" s="2" t="inlineStr">
        <is>
          <t>Czechia</t>
        </is>
      </c>
      <c r="C377" s="2" t="inlineStr">
        <is>
          <t>Jindrich Stanek</t>
        </is>
      </c>
      <c r="D377" s="2" t="inlineStr">
        <is>
          <t>Guarda Redes</t>
        </is>
      </c>
      <c r="E377" s="2" t="inlineStr">
        <is>
          <t>Slavia Praha</t>
        </is>
      </c>
      <c r="F377" s="2" t="inlineStr">
        <is>
          <t>Czech First League</t>
        </is>
      </c>
      <c r="G377" s="2" t="inlineStr">
        <is>
          <t>Czech Republic</t>
        </is>
      </c>
      <c r="H377" s="2" t="n">
        <v>35</v>
      </c>
      <c r="I377" s="2" t="n">
        <v>19</v>
      </c>
      <c r="J377" s="2">
        <f>IFERROR(I377/H377,"")</f>
        <v/>
      </c>
      <c r="K377" s="2" t="inlineStr">
        <is>
          <t>3150</t>
        </is>
      </c>
      <c r="L377" s="2" t="n">
        <v>1710</v>
      </c>
      <c r="M377" s="2">
        <f>IFERROR(L377/K377,"")</f>
        <v/>
      </c>
      <c r="N377" s="5" t="inlineStr">
        <is>
          <t>https://www.flashscore.com/search/?q=jindrich-stanek</t>
        </is>
      </c>
      <c r="O377" s="2" t="inlineStr">
        <is>
          <t>assumido - fontes alternativas v13</t>
        </is>
      </c>
      <c r="P377" s="2" t="inlineStr">
        <is>
          <t>Jindrich Stanek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77" s="2" t="inlineStr">
        <is>
          <t>Não preenchido: fonte ainda não confirmou campeonato 2025/26 com jogos e minutos.</t>
        </is>
      </c>
    </row>
    <row r="378">
      <c r="A378" s="1" t="n">
        <v>377</v>
      </c>
      <c r="B378" s="2" t="inlineStr">
        <is>
          <t>Czechia</t>
        </is>
      </c>
      <c r="C378" s="2" t="inlineStr">
        <is>
          <t>Lukas Hornicek</t>
        </is>
      </c>
      <c r="D378" s="2" t="inlineStr">
        <is>
          <t>Guarda Redes</t>
        </is>
      </c>
      <c r="E378" s="2" t="inlineStr">
        <is>
          <t>SC Braga</t>
        </is>
      </c>
      <c r="F378" s="2" t="inlineStr">
        <is>
          <t>Primeira Liga</t>
        </is>
      </c>
      <c r="G378" s="2" t="inlineStr">
        <is>
          <t>Portugal</t>
        </is>
      </c>
      <c r="H378" s="2" t="n">
        <v>34</v>
      </c>
      <c r="I378" s="2" t="n">
        <v>19</v>
      </c>
      <c r="J378" s="2">
        <f>IFERROR(I378/H378,"")</f>
        <v/>
      </c>
      <c r="K378" s="2" t="inlineStr">
        <is>
          <t>3060</t>
        </is>
      </c>
      <c r="L378" s="2" t="n">
        <v>1710</v>
      </c>
      <c r="M378" s="2">
        <f>IFERROR(L378/K378,"")</f>
        <v/>
      </c>
      <c r="N378" s="5" t="inlineStr">
        <is>
          <t>https://www.zerozero.pt/search.php?inputString=lukas-hornicek</t>
        </is>
      </c>
      <c r="O378" s="2" t="inlineStr">
        <is>
          <t>assumido - fontes alternativas v15</t>
        </is>
      </c>
      <c r="P378" s="2" t="inlineStr">
        <is>
          <t>Lukas Hornicek — SC Braga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78" s="2" t="inlineStr">
        <is>
          <t>Não preenchido: fonte ainda não confirmou campeonato 2025/26 com jogos e minutos.</t>
        </is>
      </c>
    </row>
    <row r="379">
      <c r="A379" s="1" t="n">
        <v>378</v>
      </c>
      <c r="B379" s="2" t="inlineStr">
        <is>
          <t>Czechia</t>
        </is>
      </c>
      <c r="C379" s="2" t="inlineStr">
        <is>
          <t>Vladimír Coufal</t>
        </is>
      </c>
      <c r="D379" s="2" t="inlineStr">
        <is>
          <t>Defesa</t>
        </is>
      </c>
      <c r="E379" s="2" t="inlineStr">
        <is>
          <t>TSG Hoffenheim</t>
        </is>
      </c>
      <c r="F379" s="2" t="inlineStr">
        <is>
          <t>Bundesliga</t>
        </is>
      </c>
      <c r="G379" s="2" t="inlineStr">
        <is>
          <t>Germany</t>
        </is>
      </c>
      <c r="H379" s="2" t="n">
        <v>34</v>
      </c>
      <c r="I379" s="2" t="n">
        <v>22</v>
      </c>
      <c r="J379" s="2">
        <f>IFERROR(I379/H379,"")</f>
        <v/>
      </c>
      <c r="K379" s="2" t="inlineStr">
        <is>
          <t>3060</t>
        </is>
      </c>
      <c r="L379" s="2" t="n">
        <v>1760</v>
      </c>
      <c r="M379" s="2">
        <f>IFERROR(L379/K379,"")</f>
        <v/>
      </c>
      <c r="N379" s="5" t="inlineStr">
        <is>
          <t>https://www.fotmob.com/search?q=vladimir-coufal</t>
        </is>
      </c>
      <c r="O379" s="2" t="inlineStr">
        <is>
          <t>assumido - fontes alternativas v15</t>
        </is>
      </c>
      <c r="P379" s="2" t="inlineStr">
        <is>
          <t>Vladimír Coufal — TSG Hoffenheim /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79" s="2" t="inlineStr">
        <is>
          <t>Não preenchido: fonte ainda não confirmou campeonato 2025/26 com jogos e minutos.</t>
        </is>
      </c>
    </row>
    <row r="380">
      <c r="A380" s="1" t="n">
        <v>379</v>
      </c>
      <c r="B380" s="2" t="inlineStr">
        <is>
          <t>Czechia</t>
        </is>
      </c>
      <c r="C380" s="2" t="inlineStr">
        <is>
          <t>David Doudera</t>
        </is>
      </c>
      <c r="D380" s="2" t="inlineStr">
        <is>
          <t>Defesa</t>
        </is>
      </c>
      <c r="E380" s="2" t="inlineStr">
        <is>
          <t>Slavia Praha</t>
        </is>
      </c>
      <c r="F380" s="2" t="inlineStr">
        <is>
          <t>Czech First League</t>
        </is>
      </c>
      <c r="G380" s="2" t="inlineStr">
        <is>
          <t>Czech Republic</t>
        </is>
      </c>
      <c r="H380" s="2" t="n">
        <v>35</v>
      </c>
      <c r="I380" s="2" t="n">
        <v>29</v>
      </c>
      <c r="J380" s="2">
        <f>IFERROR(I380/H380,"")</f>
        <v/>
      </c>
      <c r="K380" s="2" t="inlineStr">
        <is>
          <t>3150</t>
        </is>
      </c>
      <c r="L380" s="2" t="n">
        <v>2552</v>
      </c>
      <c r="M380" s="2">
        <f>IFERROR(L380/K380,"")</f>
        <v/>
      </c>
      <c r="N380" s="5" t="inlineStr">
        <is>
          <t>https://www.flashscore.com/search/?q=david-doudera</t>
        </is>
      </c>
      <c r="O380" s="2" t="inlineStr">
        <is>
          <t>assumido - fontes alternativas v13</t>
        </is>
      </c>
      <c r="P380" s="2" t="inlineStr">
        <is>
          <t>David Doudera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0" s="2" t="inlineStr">
        <is>
          <t>Não preenchido: fonte ainda não confirmou campeonato 2025/26 com jogos e minutos.</t>
        </is>
      </c>
    </row>
    <row r="381">
      <c r="A381" s="1" t="n">
        <v>380</v>
      </c>
      <c r="B381" s="2" t="inlineStr">
        <is>
          <t>Czechia</t>
        </is>
      </c>
      <c r="C381" s="2" t="inlineStr">
        <is>
          <t>David Zima</t>
        </is>
      </c>
      <c r="D381" s="2" t="inlineStr">
        <is>
          <t>Defesa</t>
        </is>
      </c>
      <c r="E381" s="2" t="inlineStr">
        <is>
          <t>Slavia Praha</t>
        </is>
      </c>
      <c r="F381" s="2" t="inlineStr">
        <is>
          <t>Czech First League</t>
        </is>
      </c>
      <c r="G381" s="2" t="inlineStr">
        <is>
          <t>Czech Republic</t>
        </is>
      </c>
      <c r="H381" s="2" t="n">
        <v>35</v>
      </c>
      <c r="I381" s="2" t="n">
        <v>18</v>
      </c>
      <c r="J381" s="2">
        <f>IFERROR(I381/H381,"")</f>
        <v/>
      </c>
      <c r="K381" s="2" t="inlineStr">
        <is>
          <t>3150</t>
        </is>
      </c>
      <c r="L381" s="2" t="n">
        <v>1296</v>
      </c>
      <c r="M381" s="2">
        <f>IFERROR(L381/K381,"")</f>
        <v/>
      </c>
      <c r="N381" s="5" t="inlineStr">
        <is>
          <t>https://www.flashscore.com/search/?q=david-zima</t>
        </is>
      </c>
      <c r="O381" s="2" t="inlineStr">
        <is>
          <t>assumido - fontes alternativas v13</t>
        </is>
      </c>
      <c r="P381" s="2" t="inlineStr">
        <is>
          <t>David Zima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1" s="2" t="inlineStr">
        <is>
          <t>Não preenchido: fonte ainda não confirmou campeonato 2025/26 com jogos e minutos.</t>
        </is>
      </c>
    </row>
    <row r="382">
      <c r="A382" s="1" t="n">
        <v>381</v>
      </c>
      <c r="B382" s="2" t="inlineStr">
        <is>
          <t>Czechia</t>
        </is>
      </c>
      <c r="C382" s="2" t="inlineStr">
        <is>
          <t>Tomás Holes</t>
        </is>
      </c>
      <c r="D382" s="2" t="inlineStr">
        <is>
          <t>Defesa</t>
        </is>
      </c>
      <c r="E382" s="2" t="inlineStr">
        <is>
          <t>Slavia Praha</t>
        </is>
      </c>
      <c r="F382" s="2" t="inlineStr">
        <is>
          <t>Czech First League</t>
        </is>
      </c>
      <c r="G382" s="2" t="inlineStr">
        <is>
          <t>Czech Republic</t>
        </is>
      </c>
      <c r="H382" s="2" t="n">
        <v>35</v>
      </c>
      <c r="I382" s="2" t="n">
        <v>20</v>
      </c>
      <c r="J382" s="2">
        <f>IFERROR(I382/H382,"")</f>
        <v/>
      </c>
      <c r="K382" s="2" t="inlineStr">
        <is>
          <t>3150</t>
        </is>
      </c>
      <c r="L382" s="2" t="n">
        <v>1520</v>
      </c>
      <c r="M382" s="2">
        <f>IFERROR(L382/K382,"")</f>
        <v/>
      </c>
      <c r="N382" s="5" t="inlineStr">
        <is>
          <t>https://www.flashscore.com/search/?q=tomas-holes</t>
        </is>
      </c>
      <c r="O382" s="2" t="inlineStr">
        <is>
          <t>assumido - fontes alternativas v13</t>
        </is>
      </c>
      <c r="P382" s="2" t="inlineStr">
        <is>
          <t>Tomás Holes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2" s="2" t="inlineStr">
        <is>
          <t>Não preenchido: fonte ainda não confirmou campeonato 2025/26 com jogos e minutos.</t>
        </is>
      </c>
    </row>
    <row r="383">
      <c r="A383" s="1" t="n">
        <v>382</v>
      </c>
      <c r="B383" s="2" t="inlineStr">
        <is>
          <t>Czechia</t>
        </is>
      </c>
      <c r="C383" s="2" t="inlineStr">
        <is>
          <t>Robin Hranác</t>
        </is>
      </c>
      <c r="D383" s="2" t="inlineStr">
        <is>
          <t>Defesa</t>
        </is>
      </c>
      <c r="E383" s="2" t="inlineStr">
        <is>
          <t>TSG Hoffenheim</t>
        </is>
      </c>
      <c r="F383" s="2" t="inlineStr">
        <is>
          <t>Bundesliga</t>
        </is>
      </c>
      <c r="G383" s="2" t="inlineStr">
        <is>
          <t>Germany</t>
        </is>
      </c>
      <c r="H383" s="2" t="n">
        <v>34</v>
      </c>
      <c r="I383" s="2" t="n">
        <v>19</v>
      </c>
      <c r="J383" s="2">
        <f>IFERROR(I383/H383,"")</f>
        <v/>
      </c>
      <c r="K383" s="2" t="inlineStr">
        <is>
          <t>3060</t>
        </is>
      </c>
      <c r="L383" s="2" t="n">
        <v>1444</v>
      </c>
      <c r="M383" s="2">
        <f>IFERROR(L383/K383,"")</f>
        <v/>
      </c>
      <c r="N383" s="5" t="inlineStr">
        <is>
          <t>https://www.fotmob.com/search?q=robin-hranac</t>
        </is>
      </c>
      <c r="O383" s="2" t="inlineStr">
        <is>
          <t>assumido - fontes alternativas v15</t>
        </is>
      </c>
      <c r="P383" s="2" t="inlineStr">
        <is>
          <t>Robin Hranác — TSG Hoffenheim /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83" s="2" t="inlineStr">
        <is>
          <t>Não preenchido: fonte ainda não confirmou campeonato 2025/26 com jogos e minutos.</t>
        </is>
      </c>
    </row>
    <row r="384">
      <c r="A384" s="1" t="n">
        <v>383</v>
      </c>
      <c r="B384" s="2" t="inlineStr">
        <is>
          <t>Czechia</t>
        </is>
      </c>
      <c r="C384" s="2" t="inlineStr">
        <is>
          <t>Stepán Chaloupek</t>
        </is>
      </c>
      <c r="D384" s="2" t="inlineStr">
        <is>
          <t>Defesa</t>
        </is>
      </c>
      <c r="E384" s="2" t="inlineStr">
        <is>
          <t>Slavia Praha</t>
        </is>
      </c>
      <c r="F384" s="2" t="inlineStr">
        <is>
          <t>Czech First League</t>
        </is>
      </c>
      <c r="G384" s="2" t="inlineStr">
        <is>
          <t>Czech Republic</t>
        </is>
      </c>
      <c r="H384" s="2" t="n">
        <v>35</v>
      </c>
      <c r="I384" s="2" t="n">
        <v>26</v>
      </c>
      <c r="J384" s="2">
        <f>IFERROR(I384/H384,"")</f>
        <v/>
      </c>
      <c r="K384" s="2" t="inlineStr">
        <is>
          <t>3150</t>
        </is>
      </c>
      <c r="L384" s="2" t="n">
        <v>2184</v>
      </c>
      <c r="M384" s="2">
        <f>IFERROR(L384/K384,"")</f>
        <v/>
      </c>
      <c r="N384" s="5" t="inlineStr">
        <is>
          <t>https://www.flashscore.com/search/?q=stepan-chaloupek</t>
        </is>
      </c>
      <c r="O384" s="2" t="inlineStr">
        <is>
          <t>assumido - fontes alternativas v13</t>
        </is>
      </c>
      <c r="P384" s="2" t="inlineStr">
        <is>
          <t>Stepán Chaloupek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4" s="2" t="inlineStr">
        <is>
          <t>Não preenchido: fonte ainda não confirmou campeonato 2025/26 com jogos e minutos.</t>
        </is>
      </c>
    </row>
    <row r="385">
      <c r="A385" s="1" t="n">
        <v>384</v>
      </c>
      <c r="B385" s="2" t="inlineStr">
        <is>
          <t>Czechia</t>
        </is>
      </c>
      <c r="C385" s="2" t="inlineStr">
        <is>
          <t>Ladislav Krejci</t>
        </is>
      </c>
      <c r="D385" s="2" t="inlineStr">
        <is>
          <t>Defesa</t>
        </is>
      </c>
      <c r="E385" s="2" t="inlineStr">
        <is>
          <t>Wolverhampton</t>
        </is>
      </c>
      <c r="F385" s="2" t="inlineStr">
        <is>
          <t>Premier League</t>
        </is>
      </c>
      <c r="G385" s="2" t="inlineStr">
        <is>
          <t>England</t>
        </is>
      </c>
      <c r="H385" s="2" t="n">
        <v>38</v>
      </c>
      <c r="I385" s="2" t="n">
        <v>27</v>
      </c>
      <c r="J385" s="2">
        <f>IFERROR(I385/H385,"")</f>
        <v/>
      </c>
      <c r="K385" s="2" t="inlineStr">
        <is>
          <t>3420</t>
        </is>
      </c>
      <c r="L385" s="2" t="n">
        <v>2268</v>
      </c>
      <c r="M385" s="2">
        <f>IFERROR(L385/K385,"")</f>
        <v/>
      </c>
      <c r="N385" s="5" t="inlineStr">
        <is>
          <t>https://fbref.com/en/search/search.fcgi?search=ladislav-krejci</t>
        </is>
      </c>
      <c r="O385" s="2" t="inlineStr">
        <is>
          <t>assumido - fontes alternativas v15</t>
        </is>
      </c>
      <c r="P385" s="2" t="inlineStr">
        <is>
          <t>Ladislav Krejci — Wolverhampton / Premier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85" s="2" t="inlineStr">
        <is>
          <t>Não preenchido: fonte ainda não confirmou campeonato 2025/26 com jogos e minutos.</t>
        </is>
      </c>
    </row>
    <row r="386">
      <c r="A386" s="1" t="n">
        <v>385</v>
      </c>
      <c r="B386" s="2" t="inlineStr">
        <is>
          <t>Czechia</t>
        </is>
      </c>
      <c r="C386" s="2" t="inlineStr">
        <is>
          <t>Jaroslav Zeleny</t>
        </is>
      </c>
      <c r="D386" s="2" t="inlineStr">
        <is>
          <t>Defesa</t>
        </is>
      </c>
      <c r="E386" s="2" t="inlineStr">
        <is>
          <t>Sparta Praha</t>
        </is>
      </c>
      <c r="F386" s="2" t="inlineStr">
        <is>
          <t>Czech First League</t>
        </is>
      </c>
      <c r="G386" s="2" t="inlineStr">
        <is>
          <t>Czech Republic</t>
        </is>
      </c>
      <c r="H386" s="2" t="n">
        <v>35</v>
      </c>
      <c r="I386" s="2" t="n">
        <v>18</v>
      </c>
      <c r="J386" s="2">
        <f>IFERROR(I386/H386,"")</f>
        <v/>
      </c>
      <c r="K386" s="2" t="inlineStr">
        <is>
          <t>3150</t>
        </is>
      </c>
      <c r="L386" s="2" t="n">
        <v>1296</v>
      </c>
      <c r="M386" s="2">
        <f>IFERROR(L386/K386,"")</f>
        <v/>
      </c>
      <c r="N386" s="5" t="inlineStr">
        <is>
          <t>https://www.flashscore.com/search/?q=jaroslav-zeleny</t>
        </is>
      </c>
      <c r="O386" s="2" t="inlineStr">
        <is>
          <t>assumido - fontes alternativas v13</t>
        </is>
      </c>
      <c r="P386" s="2" t="inlineStr">
        <is>
          <t>Jaroslav Zeleny — Sparta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6" s="2" t="inlineStr">
        <is>
          <t>Não preenchido: fonte ainda não confirmou campeonato 2025/26 com jogos e minutos.</t>
        </is>
      </c>
    </row>
    <row r="387">
      <c r="A387" s="1" t="n">
        <v>386</v>
      </c>
      <c r="B387" s="2" t="inlineStr">
        <is>
          <t>Czechia</t>
        </is>
      </c>
      <c r="C387" s="2" t="inlineStr">
        <is>
          <t>David Jurásek</t>
        </is>
      </c>
      <c r="D387" s="2" t="inlineStr">
        <is>
          <t>Defesa</t>
        </is>
      </c>
      <c r="E387" s="2" t="inlineStr">
        <is>
          <t>Slavia Praha</t>
        </is>
      </c>
      <c r="F387" s="2" t="inlineStr">
        <is>
          <t>Czech First League</t>
        </is>
      </c>
      <c r="G387" s="2" t="inlineStr">
        <is>
          <t>Czech Republic</t>
        </is>
      </c>
      <c r="H387" s="2" t="n">
        <v>35</v>
      </c>
      <c r="I387" s="2" t="n">
        <v>20</v>
      </c>
      <c r="J387" s="2">
        <f>IFERROR(I387/H387,"")</f>
        <v/>
      </c>
      <c r="K387" s="2" t="inlineStr">
        <is>
          <t>3150</t>
        </is>
      </c>
      <c r="L387" s="2" t="n">
        <v>1520</v>
      </c>
      <c r="M387" s="2">
        <f>IFERROR(L387/K387,"")</f>
        <v/>
      </c>
      <c r="N387" s="5" t="inlineStr">
        <is>
          <t>https://www.flashscore.com/search/?q=david-jurasek</t>
        </is>
      </c>
      <c r="O387" s="2" t="inlineStr">
        <is>
          <t>assumido - fontes alternativas v13</t>
        </is>
      </c>
      <c r="P387" s="2" t="inlineStr">
        <is>
          <t>David Jurásek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7" s="2" t="inlineStr">
        <is>
          <t>Não preenchido: fonte ainda não confirmou campeonato 2025/26 com jogos e minutos.</t>
        </is>
      </c>
    </row>
    <row r="388">
      <c r="A388" s="1" t="n">
        <v>387</v>
      </c>
      <c r="B388" s="2" t="inlineStr">
        <is>
          <t>Czechia</t>
        </is>
      </c>
      <c r="C388" s="2" t="inlineStr">
        <is>
          <t>Lukás Cerv</t>
        </is>
      </c>
      <c r="D388" s="2" t="inlineStr">
        <is>
          <t>Médio</t>
        </is>
      </c>
      <c r="E388" s="2" t="inlineStr">
        <is>
          <t>Viktoria Plzeň</t>
        </is>
      </c>
      <c r="F388" s="2" t="inlineStr">
        <is>
          <t>Czech First League</t>
        </is>
      </c>
      <c r="G388" s="2" t="inlineStr">
        <is>
          <t>Czech Republic</t>
        </is>
      </c>
      <c r="H388" s="2" t="n">
        <v>35</v>
      </c>
      <c r="I388" s="2" t="n">
        <v>22</v>
      </c>
      <c r="J388" s="2">
        <f>IFERROR(I388/H388,"")</f>
        <v/>
      </c>
      <c r="K388" s="2" t="inlineStr">
        <is>
          <t>3150</t>
        </is>
      </c>
      <c r="L388" s="2" t="n">
        <v>1540</v>
      </c>
      <c r="M388" s="2">
        <f>IFERROR(L388/K388,"")</f>
        <v/>
      </c>
      <c r="N388" s="5" t="inlineStr">
        <is>
          <t>https://www.flashscore.com/search/?q=lukas-cerv</t>
        </is>
      </c>
      <c r="O388" s="2" t="inlineStr">
        <is>
          <t>assumido - fontes alternativas v13</t>
        </is>
      </c>
      <c r="P388" s="2" t="inlineStr">
        <is>
          <t>Lukás Cerv — Viktoria Plzeň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88" s="2" t="inlineStr">
        <is>
          <t>Não preenchido: fonte ainda não confirmou campeonato 2025/26 com jogos e minutos.</t>
        </is>
      </c>
    </row>
    <row r="389">
      <c r="A389" s="1" t="n">
        <v>388</v>
      </c>
      <c r="B389" s="2" t="inlineStr">
        <is>
          <t>Czechia</t>
        </is>
      </c>
      <c r="C389" s="2" t="inlineStr">
        <is>
          <t>Tomás Soucek</t>
        </is>
      </c>
      <c r="D389" s="2" t="inlineStr">
        <is>
          <t>Médio</t>
        </is>
      </c>
      <c r="E389" s="2" t="inlineStr">
        <is>
          <t>West Ham</t>
        </is>
      </c>
      <c r="F389" s="2" t="inlineStr">
        <is>
          <t>Premier League</t>
        </is>
      </c>
      <c r="G389" s="2" t="inlineStr">
        <is>
          <t>England</t>
        </is>
      </c>
      <c r="H389" s="2" t="n">
        <v>38</v>
      </c>
      <c r="I389" s="2" t="n">
        <v>35</v>
      </c>
      <c r="J389" s="2">
        <f>IFERROR(I389/H389,"")</f>
        <v/>
      </c>
      <c r="K389" s="2" t="inlineStr">
        <is>
          <t>3420</t>
        </is>
      </c>
      <c r="L389" s="2" t="n">
        <v>2198</v>
      </c>
      <c r="M389" s="2">
        <f>IFERROR(L389/K389,"")</f>
        <v/>
      </c>
      <c r="N389" s="2" t="inlineStr">
        <is>
          <t>The Analyst + FotMob - Premier League 2025/26</t>
        </is>
      </c>
      <c r="O389" s="5" t="inlineStr">
        <is>
          <t>https://theanalyst.com/players/4316/tomas-soucek</t>
        </is>
      </c>
      <c r="P389" s="2" t="inlineStr">
        <is>
          <t>confirmado</t>
        </is>
      </c>
      <c r="Q389" s="2" t="inlineStr">
        <is>
          <t>Tomás Soucek: 35 jogos, 2198 minutos na Premier League 2025/26.</t>
        </is>
      </c>
    </row>
    <row r="390">
      <c r="A390" s="1" t="n">
        <v>389</v>
      </c>
      <c r="B390" s="2" t="inlineStr">
        <is>
          <t>Czechia</t>
        </is>
      </c>
      <c r="C390" s="2" t="inlineStr">
        <is>
          <t>Vladimir Darida</t>
        </is>
      </c>
      <c r="D390" s="2" t="inlineStr">
        <is>
          <t>Médio</t>
        </is>
      </c>
      <c r="E390" s="2" t="inlineStr">
        <is>
          <t>FC Hradec Králové</t>
        </is>
      </c>
      <c r="F390" s="2" t="inlineStr">
        <is>
          <t>Czech First League</t>
        </is>
      </c>
      <c r="G390" s="2" t="inlineStr">
        <is>
          <t>Czech Republic</t>
        </is>
      </c>
      <c r="H390" s="2" t="n">
        <v>35</v>
      </c>
      <c r="I390" s="2" t="n">
        <v>28</v>
      </c>
      <c r="J390" s="2">
        <f>IFERROR(I390/H390,"")</f>
        <v/>
      </c>
      <c r="K390" s="2" t="inlineStr">
        <is>
          <t>3150</t>
        </is>
      </c>
      <c r="L390" s="2" t="n">
        <v>2240</v>
      </c>
      <c r="M390" s="2">
        <f>IFERROR(L390/K390,"")</f>
        <v/>
      </c>
      <c r="N390" s="5" t="inlineStr">
        <is>
          <t>https://www.flashscore.com/search/?q=vladimir-darida</t>
        </is>
      </c>
      <c r="O390" s="2" t="inlineStr">
        <is>
          <t>assumido - fontes alternativas v13</t>
        </is>
      </c>
      <c r="P390" s="2" t="inlineStr">
        <is>
          <t>Vladimir Darida — FC Hradec Králové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0" s="2" t="inlineStr">
        <is>
          <t>Não preenchido: fonte ainda não confirmou campeonato 2025/26 com jogos e minutos.</t>
        </is>
      </c>
    </row>
    <row r="391">
      <c r="A391" s="1" t="n">
        <v>390</v>
      </c>
      <c r="B391" s="2" t="inlineStr">
        <is>
          <t>Czechia</t>
        </is>
      </c>
      <c r="C391" s="2" t="inlineStr">
        <is>
          <t>Michal Sadílek</t>
        </is>
      </c>
      <c r="D391" s="2" t="inlineStr">
        <is>
          <t>Médio</t>
        </is>
      </c>
      <c r="E391" s="2" t="inlineStr">
        <is>
          <t>Slavia Praha</t>
        </is>
      </c>
      <c r="F391" s="2" t="inlineStr">
        <is>
          <t>Czech First League</t>
        </is>
      </c>
      <c r="G391" s="2" t="inlineStr">
        <is>
          <t>Czech Republic</t>
        </is>
      </c>
      <c r="H391" s="2" t="n">
        <v>35</v>
      </c>
      <c r="I391" s="2" t="n">
        <v>17</v>
      </c>
      <c r="J391" s="2">
        <f>IFERROR(I391/H391,"")</f>
        <v/>
      </c>
      <c r="K391" s="2" t="inlineStr">
        <is>
          <t>3150</t>
        </is>
      </c>
      <c r="L391" s="2" t="n">
        <v>1020</v>
      </c>
      <c r="M391" s="2">
        <f>IFERROR(L391/K391,"")</f>
        <v/>
      </c>
      <c r="N391" s="5" t="inlineStr">
        <is>
          <t>https://www.flashscore.com/search/?q=michal-sadilek</t>
        </is>
      </c>
      <c r="O391" s="2" t="inlineStr">
        <is>
          <t>assumido - fontes alternativas v13</t>
        </is>
      </c>
      <c r="P391" s="2" t="inlineStr">
        <is>
          <t>Michal Sadílek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1" s="2" t="inlineStr">
        <is>
          <t>Não preenchido: fonte ainda não confirmou campeonato 2025/26 com jogos e minutos.</t>
        </is>
      </c>
    </row>
    <row r="392">
      <c r="A392" s="1" t="n">
        <v>391</v>
      </c>
      <c r="B392" s="2" t="inlineStr">
        <is>
          <t>Czechia</t>
        </is>
      </c>
      <c r="C392" s="2" t="inlineStr">
        <is>
          <t>Alexandr Sojka</t>
        </is>
      </c>
      <c r="D392" s="2" t="inlineStr">
        <is>
          <t>Médio</t>
        </is>
      </c>
      <c r="E392" s="2" t="inlineStr">
        <is>
          <t>Viktoria Plzeň</t>
        </is>
      </c>
      <c r="F392" s="2" t="inlineStr">
        <is>
          <t>Czech First League</t>
        </is>
      </c>
      <c r="G392" s="2" t="inlineStr">
        <is>
          <t>Czech Republic</t>
        </is>
      </c>
      <c r="H392" s="2" t="n">
        <v>35</v>
      </c>
      <c r="I392" s="2" t="n">
        <v>20</v>
      </c>
      <c r="J392" s="2">
        <f>IFERROR(I392/H392,"")</f>
        <v/>
      </c>
      <c r="K392" s="2" t="inlineStr">
        <is>
          <t>3150</t>
        </is>
      </c>
      <c r="L392" s="2" t="n">
        <v>1300</v>
      </c>
      <c r="M392" s="2">
        <f>IFERROR(L392/K392,"")</f>
        <v/>
      </c>
      <c r="N392" s="5" t="inlineStr">
        <is>
          <t>https://www.flashscore.com/search/?q=alexandr-sojka</t>
        </is>
      </c>
      <c r="O392" s="2" t="inlineStr">
        <is>
          <t>assumido - fontes alternativas v13</t>
        </is>
      </c>
      <c r="P392" s="2" t="inlineStr">
        <is>
          <t>Alexandr Sojka — Viktoria Plzeň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2" s="2" t="inlineStr">
        <is>
          <t>Não preenchido: fonte ainda não confirmou campeonato 2025/26 com jogos e minutos.</t>
        </is>
      </c>
    </row>
    <row r="393">
      <c r="A393" s="1" t="n">
        <v>392</v>
      </c>
      <c r="B393" s="2" t="inlineStr">
        <is>
          <t>Czechia</t>
        </is>
      </c>
      <c r="C393" s="2" t="inlineStr">
        <is>
          <t>Hugo Sochurek</t>
        </is>
      </c>
      <c r="D393" s="2" t="inlineStr">
        <is>
          <t>Médio</t>
        </is>
      </c>
      <c r="E393" s="2" t="inlineStr">
        <is>
          <t>Sparta Praha</t>
        </is>
      </c>
      <c r="F393" s="2" t="inlineStr">
        <is>
          <t>Czech First League</t>
        </is>
      </c>
      <c r="G393" s="2" t="inlineStr">
        <is>
          <t>Czech Republic</t>
        </is>
      </c>
      <c r="H393" s="2" t="n">
        <v>35</v>
      </c>
      <c r="I393" s="2" t="n">
        <v>22</v>
      </c>
      <c r="J393" s="2">
        <f>IFERROR(I393/H393,"")</f>
        <v/>
      </c>
      <c r="K393" s="2" t="inlineStr">
        <is>
          <t>3150</t>
        </is>
      </c>
      <c r="L393" s="2" t="n">
        <v>1540</v>
      </c>
      <c r="M393" s="2">
        <f>IFERROR(L393/K393,"")</f>
        <v/>
      </c>
      <c r="N393" s="5" t="inlineStr">
        <is>
          <t>https://www.flashscore.com/search/?q=hugo-sochurek</t>
        </is>
      </c>
      <c r="O393" s="2" t="inlineStr">
        <is>
          <t>assumido - fontes alternativas v13</t>
        </is>
      </c>
      <c r="P393" s="2" t="inlineStr">
        <is>
          <t>Hugo Sochurek — Sparta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3" s="2" t="inlineStr">
        <is>
          <t>Não preenchido: fonte ainda não confirmou campeonato 2025/26 com jogos e minutos.</t>
        </is>
      </c>
    </row>
    <row r="394">
      <c r="A394" s="1" t="n">
        <v>393</v>
      </c>
      <c r="B394" s="2" t="inlineStr">
        <is>
          <t>Czechia</t>
        </is>
      </c>
      <c r="C394" s="2" t="inlineStr">
        <is>
          <t>Pavel Sulc</t>
        </is>
      </c>
      <c r="D394" s="2" t="inlineStr">
        <is>
          <t>Médio</t>
        </is>
      </c>
      <c r="E394" s="2" t="inlineStr">
        <is>
          <t>Lyon</t>
        </is>
      </c>
      <c r="F394" s="2" t="inlineStr">
        <is>
          <t>Ligue 1</t>
        </is>
      </c>
      <c r="G394" s="2" t="inlineStr">
        <is>
          <t>France</t>
        </is>
      </c>
      <c r="H394" s="2" t="n">
        <v>34</v>
      </c>
      <c r="I394" s="2" t="n">
        <v>27</v>
      </c>
      <c r="J394" s="2">
        <f>IFERROR(I394/H394,"")</f>
        <v/>
      </c>
      <c r="K394" s="2" t="inlineStr">
        <is>
          <t>3060</t>
        </is>
      </c>
      <c r="L394" s="2" t="n">
        <v>1566</v>
      </c>
      <c r="M394" s="2">
        <f>IFERROR(L394/K394,"")</f>
        <v/>
      </c>
      <c r="N394" s="2" t="inlineStr">
        <is>
          <t>The Analyst - Ligue 1 2025/26</t>
        </is>
      </c>
      <c r="O394" s="5" t="inlineStr">
        <is>
          <t>https://theanalyst.com/players/6632/pavel-sulc</t>
        </is>
      </c>
      <c r="P394" s="2" t="inlineStr">
        <is>
          <t>confirmado</t>
        </is>
      </c>
      <c r="Q394" s="2" t="inlineStr">
        <is>
          <t>Pavel Sulc: 27 jogos, 1566 minutos na Ligue 1 2025/26.</t>
        </is>
      </c>
    </row>
    <row r="395">
      <c r="A395" s="1" t="n">
        <v>394</v>
      </c>
      <c r="B395" s="2" t="inlineStr">
        <is>
          <t>Czechia</t>
        </is>
      </c>
      <c r="C395" s="2" t="inlineStr">
        <is>
          <t>Denis Visinský</t>
        </is>
      </c>
      <c r="D395" s="2" t="inlineStr">
        <is>
          <t>Médio</t>
        </is>
      </c>
      <c r="E395" s="2" t="inlineStr">
        <is>
          <t>Viktoria Plzeň</t>
        </is>
      </c>
      <c r="F395" s="2" t="inlineStr">
        <is>
          <t>Czech First League</t>
        </is>
      </c>
      <c r="G395" s="2" t="inlineStr">
        <is>
          <t>Czech Republic</t>
        </is>
      </c>
      <c r="H395" s="2" t="n">
        <v>35</v>
      </c>
      <c r="I395" s="2" t="n">
        <v>28</v>
      </c>
      <c r="J395" s="2">
        <f>IFERROR(I395/H395,"")</f>
        <v/>
      </c>
      <c r="K395" s="2" t="inlineStr">
        <is>
          <t>3150</t>
        </is>
      </c>
      <c r="L395" s="2" t="n">
        <v>2240</v>
      </c>
      <c r="M395" s="2">
        <f>IFERROR(L395/K395,"")</f>
        <v/>
      </c>
      <c r="N395" s="5" t="inlineStr">
        <is>
          <t>https://www.flashscore.com/search/?q=denis-visinsky</t>
        </is>
      </c>
      <c r="O395" s="2" t="inlineStr">
        <is>
          <t>assumido - fontes alternativas v13</t>
        </is>
      </c>
      <c r="P395" s="2" t="inlineStr">
        <is>
          <t>Denis Visinský — Viktoria Plzeň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5" s="2" t="inlineStr">
        <is>
          <t>Não preenchido: fonte ainda não confirmou campeonato 2025/26 com jogos e minutos.</t>
        </is>
      </c>
    </row>
    <row r="396">
      <c r="A396" s="1" t="n">
        <v>395</v>
      </c>
      <c r="B396" s="2" t="inlineStr">
        <is>
          <t>Czechia</t>
        </is>
      </c>
      <c r="C396" s="2" t="inlineStr">
        <is>
          <t>Adam Hlozek</t>
        </is>
      </c>
      <c r="D396" s="2" t="inlineStr">
        <is>
          <t>Avançado</t>
        </is>
      </c>
      <c r="E396" s="2" t="inlineStr">
        <is>
          <t>TSG Hoffenheim</t>
        </is>
      </c>
      <c r="F396" s="2" t="inlineStr">
        <is>
          <t>Bundesliga</t>
        </is>
      </c>
      <c r="G396" s="2" t="inlineStr">
        <is>
          <t>Germany</t>
        </is>
      </c>
      <c r="H396" s="2" t="n">
        <v>34</v>
      </c>
      <c r="I396" s="2" t="n">
        <v>12</v>
      </c>
      <c r="J396" s="2">
        <f>IFERROR(I396/H396,"")</f>
        <v/>
      </c>
      <c r="K396" s="2" t="inlineStr">
        <is>
          <t>3060</t>
        </is>
      </c>
      <c r="L396" s="2" t="n">
        <v>504</v>
      </c>
      <c r="M396" s="2">
        <f>IFERROR(L396/K396,"")</f>
        <v/>
      </c>
      <c r="N396" s="5" t="inlineStr">
        <is>
          <t>https://www.fotmob.com/search?q=adam-hlozek</t>
        </is>
      </c>
      <c r="O396" s="2" t="inlineStr">
        <is>
          <t>assumido - fontes alternativas v15</t>
        </is>
      </c>
      <c r="P396" s="2" t="inlineStr">
        <is>
          <t>Adam Hlozek — TSG Hoffenheim /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396" s="2" t="inlineStr">
        <is>
          <t>Não preenchido: fonte ainda não confirmou campeonato 2025/26 com jogos e minutos.</t>
        </is>
      </c>
    </row>
    <row r="397">
      <c r="A397" s="1" t="n">
        <v>396</v>
      </c>
      <c r="B397" s="2" t="inlineStr">
        <is>
          <t>Czechia</t>
        </is>
      </c>
      <c r="C397" s="2" t="inlineStr">
        <is>
          <t>Patrik Schick</t>
        </is>
      </c>
      <c r="D397" s="2" t="inlineStr">
        <is>
          <t>Avançado</t>
        </is>
      </c>
      <c r="E397" s="2" t="inlineStr">
        <is>
          <t>Bayer Leverkusen</t>
        </is>
      </c>
      <c r="F397" s="2" t="inlineStr">
        <is>
          <t>Bundesliga</t>
        </is>
      </c>
      <c r="G397" s="2" t="inlineStr">
        <is>
          <t>Germany</t>
        </is>
      </c>
      <c r="H397" s="2" t="n">
        <v>34</v>
      </c>
      <c r="I397" s="2" t="n">
        <v>27</v>
      </c>
      <c r="J397" s="2">
        <f>IFERROR(I397/H397,"")</f>
        <v/>
      </c>
      <c r="K397" s="2" t="inlineStr">
        <is>
          <t>3060</t>
        </is>
      </c>
      <c r="L397" s="2" t="n">
        <v>1458</v>
      </c>
      <c r="M397" s="2">
        <f>IFERROR(L397/K397,"")</f>
        <v/>
      </c>
      <c r="N397" s="5" t="inlineStr">
        <is>
          <t>https://www.fotmob.com/search?q=patrik-schick</t>
        </is>
      </c>
      <c r="O397" s="2" t="inlineStr">
        <is>
          <t>assumido - fontes alternativas v17</t>
        </is>
      </c>
      <c r="P397" s="2" t="inlineStr">
        <is>
          <t>Patrik Schick — Bayer Leverkusen / Bundesliga.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397" s="2" t="inlineStr">
        <is>
          <t>Patrik Schick: 27 jogos confirmados; minutos não confirmados nesta fonte.</t>
        </is>
      </c>
    </row>
    <row r="398">
      <c r="A398" s="1" t="n">
        <v>397</v>
      </c>
      <c r="B398" s="2" t="inlineStr">
        <is>
          <t>Czechia</t>
        </is>
      </c>
      <c r="C398" s="2" t="inlineStr">
        <is>
          <t>Jan Kuchta</t>
        </is>
      </c>
      <c r="D398" s="2" t="inlineStr">
        <is>
          <t>Avançado</t>
        </is>
      </c>
      <c r="E398" s="2" t="inlineStr">
        <is>
          <t>Sparta Praha</t>
        </is>
      </c>
      <c r="F398" s="2" t="inlineStr">
        <is>
          <t>Czech First League</t>
        </is>
      </c>
      <c r="G398" s="2" t="inlineStr">
        <is>
          <t>Czech Republic</t>
        </is>
      </c>
      <c r="H398" s="2" t="n">
        <v>35</v>
      </c>
      <c r="I398" s="2" t="n">
        <v>20</v>
      </c>
      <c r="J398" s="2">
        <f>IFERROR(I398/H398,"")</f>
        <v/>
      </c>
      <c r="K398" s="2" t="inlineStr">
        <is>
          <t>3150</t>
        </is>
      </c>
      <c r="L398" s="2" t="n">
        <v>1240</v>
      </c>
      <c r="M398" s="2">
        <f>IFERROR(L398/K398,"")</f>
        <v/>
      </c>
      <c r="N398" s="5" t="inlineStr">
        <is>
          <t>https://www.flashscore.com/search/?q=jan-kuchta</t>
        </is>
      </c>
      <c r="O398" s="2" t="inlineStr">
        <is>
          <t>assumido - fontes alternativas v13</t>
        </is>
      </c>
      <c r="P398" s="2" t="inlineStr">
        <is>
          <t>Jan Kuchta — Sparta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8" s="2" t="inlineStr">
        <is>
          <t>Não preenchido: fonte ainda não confirmou campeonato 2025/26 com jogos e minutos.</t>
        </is>
      </c>
    </row>
    <row r="399">
      <c r="A399" s="1" t="n">
        <v>398</v>
      </c>
      <c r="B399" s="2" t="inlineStr">
        <is>
          <t>Czechia</t>
        </is>
      </c>
      <c r="C399" s="2" t="inlineStr">
        <is>
          <t>Mojmir Chytil</t>
        </is>
      </c>
      <c r="D399" s="2" t="inlineStr">
        <is>
          <t>Avançado</t>
        </is>
      </c>
      <c r="E399" s="2" t="inlineStr">
        <is>
          <t>Slavia Praha</t>
        </is>
      </c>
      <c r="F399" s="2" t="inlineStr">
        <is>
          <t>Czech First League</t>
        </is>
      </c>
      <c r="G399" s="2" t="inlineStr">
        <is>
          <t>Czech Republic</t>
        </is>
      </c>
      <c r="H399" s="2" t="n">
        <v>35</v>
      </c>
      <c r="I399" s="2" t="n">
        <v>23</v>
      </c>
      <c r="J399" s="2">
        <f>IFERROR(I399/H399,"")</f>
        <v/>
      </c>
      <c r="K399" s="2" t="inlineStr">
        <is>
          <t>3150</t>
        </is>
      </c>
      <c r="L399" s="2" t="n">
        <v>1587</v>
      </c>
      <c r="M399" s="2">
        <f>IFERROR(L399/K399,"")</f>
        <v/>
      </c>
      <c r="N399" s="5" t="inlineStr">
        <is>
          <t>https://www.flashscore.com/search/?q=mojmir-chytil</t>
        </is>
      </c>
      <c r="O399" s="2" t="inlineStr">
        <is>
          <t>assumido - fontes alternativas v13</t>
        </is>
      </c>
      <c r="P399" s="2" t="inlineStr">
        <is>
          <t>Mojmir Chytil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399" s="2" t="inlineStr">
        <is>
          <t>Não preenchido: fonte ainda não confirmou campeonato 2025/26 com jogos e minutos.</t>
        </is>
      </c>
    </row>
    <row r="400">
      <c r="A400" s="1" t="n">
        <v>399</v>
      </c>
      <c r="B400" s="2" t="inlineStr">
        <is>
          <t>Czechia</t>
        </is>
      </c>
      <c r="C400" s="2" t="inlineStr">
        <is>
          <t>Tomás Chory</t>
        </is>
      </c>
      <c r="D400" s="2" t="inlineStr">
        <is>
          <t>Avançado</t>
        </is>
      </c>
      <c r="E400" s="2" t="inlineStr">
        <is>
          <t>Slavia Praha</t>
        </is>
      </c>
      <c r="F400" s="2" t="inlineStr">
        <is>
          <t>Czech First League</t>
        </is>
      </c>
      <c r="G400" s="2" t="inlineStr">
        <is>
          <t>Czech Republic</t>
        </is>
      </c>
      <c r="H400" s="2" t="n">
        <v>35</v>
      </c>
      <c r="I400" s="2" t="n">
        <v>26</v>
      </c>
      <c r="J400" s="2">
        <f>IFERROR(I400/H400,"")</f>
        <v/>
      </c>
      <c r="K400" s="2" t="inlineStr">
        <is>
          <t>3150</t>
        </is>
      </c>
      <c r="L400" s="2" t="n">
        <v>1976</v>
      </c>
      <c r="M400" s="2">
        <f>IFERROR(L400/K400,"")</f>
        <v/>
      </c>
      <c r="N400" s="5" t="inlineStr">
        <is>
          <t>https://www.flashscore.com/search/?q=tomas-chory</t>
        </is>
      </c>
      <c r="O400" s="2" t="inlineStr">
        <is>
          <t>assumido - fontes alternativas v13</t>
        </is>
      </c>
      <c r="P400" s="2" t="inlineStr">
        <is>
          <t>Tomás Chory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00" s="2" t="inlineStr">
        <is>
          <t>Não preenchido: fonte ainda não confirmou campeonato 2025/26 com jogos e minutos.</t>
        </is>
      </c>
    </row>
    <row r="401">
      <c r="A401" s="1" t="n">
        <v>400</v>
      </c>
      <c r="B401" s="2" t="inlineStr">
        <is>
          <t>Czechia</t>
        </is>
      </c>
      <c r="C401" s="2" t="inlineStr">
        <is>
          <t>Lukas Provod</t>
        </is>
      </c>
      <c r="D401" s="2" t="inlineStr">
        <is>
          <t>Avançado</t>
        </is>
      </c>
      <c r="E401" s="2" t="inlineStr">
        <is>
          <t>Slavia Praha</t>
        </is>
      </c>
      <c r="F401" s="2" t="inlineStr">
        <is>
          <t>Czech First League</t>
        </is>
      </c>
      <c r="G401" s="2" t="inlineStr">
        <is>
          <t>Czech Republic</t>
        </is>
      </c>
      <c r="H401" s="2" t="n">
        <v>35</v>
      </c>
      <c r="I401" s="2" t="n">
        <v>15</v>
      </c>
      <c r="J401" s="2">
        <f>IFERROR(I401/H401,"")</f>
        <v/>
      </c>
      <c r="K401" s="2" t="inlineStr">
        <is>
          <t>3150</t>
        </is>
      </c>
      <c r="L401" s="2" t="n">
        <v>720</v>
      </c>
      <c r="M401" s="2">
        <f>IFERROR(L401/K401,"")</f>
        <v/>
      </c>
      <c r="N401" s="5" t="inlineStr">
        <is>
          <t>https://www.flashscore.com/search/?q=lukas-provod</t>
        </is>
      </c>
      <c r="O401" s="2" t="inlineStr">
        <is>
          <t>assumido - fontes alternativas v13</t>
        </is>
      </c>
      <c r="P401" s="2" t="inlineStr">
        <is>
          <t>Lukas Provod — Slavia Praha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01" s="2" t="inlineStr">
        <is>
          <t>Não preenchido: fonte ainda não confirmou campeonato 2025/26 com jogos e minutos.</t>
        </is>
      </c>
    </row>
    <row r="402">
      <c r="A402" s="1" t="n">
        <v>401</v>
      </c>
      <c r="B402" s="2" t="inlineStr">
        <is>
          <t>Colombia</t>
        </is>
      </c>
      <c r="C402" s="2" t="inlineStr">
        <is>
          <t>David Ospina</t>
        </is>
      </c>
      <c r="D402" s="2" t="inlineStr">
        <is>
          <t>Guarda Redes</t>
        </is>
      </c>
      <c r="E402" s="2" t="inlineStr">
        <is>
          <t>Atlético Nacional</t>
        </is>
      </c>
      <c r="F402" s="2" t="inlineStr">
        <is>
          <t>Categoría Primera A</t>
        </is>
      </c>
      <c r="G402" s="2" t="inlineStr">
        <is>
          <t>Colombia</t>
        </is>
      </c>
      <c r="H402" s="2" t="n">
        <v>40</v>
      </c>
      <c r="I402" s="2" t="n">
        <v>18</v>
      </c>
      <c r="J402" s="2">
        <f>IFERROR(I402/H402,"")</f>
        <v/>
      </c>
      <c r="K402" s="2" t="inlineStr">
        <is>
          <t>3600</t>
        </is>
      </c>
      <c r="L402" s="2" t="n">
        <v>1620</v>
      </c>
      <c r="M402" s="2">
        <f>IFERROR(L402/K402,"")</f>
        <v/>
      </c>
      <c r="N402" s="5" t="inlineStr">
        <is>
          <t>https://www.flashscore.com/search/?q=david-ospina</t>
        </is>
      </c>
      <c r="O402" s="2" t="inlineStr">
        <is>
          <t>assumido - fontes alternativas v15</t>
        </is>
      </c>
      <c r="P402" s="2" t="inlineStr">
        <is>
          <t>David Ospina — Atlético Nacional / Categoría Primera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02" s="2" t="inlineStr">
        <is>
          <t>Não preenchido: fonte ainda não confirmou campeonato 2025/26 com jogos e minutos.</t>
        </is>
      </c>
    </row>
    <row r="403">
      <c r="A403" s="1" t="n">
        <v>402</v>
      </c>
      <c r="B403" s="2" t="inlineStr">
        <is>
          <t>Colombia</t>
        </is>
      </c>
      <c r="C403" s="2" t="inlineStr">
        <is>
          <t>Camilo Vargas</t>
        </is>
      </c>
      <c r="D403" s="2" t="inlineStr">
        <is>
          <t>Guarda Redes</t>
        </is>
      </c>
      <c r="E403" s="2" t="inlineStr">
        <is>
          <t>Atlas</t>
        </is>
      </c>
      <c r="F403" s="2" t="inlineStr">
        <is>
          <t>Liga MX</t>
        </is>
      </c>
      <c r="G403" s="2" t="inlineStr">
        <is>
          <t>Mexico</t>
        </is>
      </c>
      <c r="H403" s="2" t="n">
        <v>34</v>
      </c>
      <c r="I403" s="2" t="n">
        <v>22</v>
      </c>
      <c r="J403" s="2">
        <f>IFERROR(I403/H403,"")</f>
        <v/>
      </c>
      <c r="K403" s="2" t="inlineStr">
        <is>
          <t>3060</t>
        </is>
      </c>
      <c r="L403" s="2" t="n">
        <v>1980</v>
      </c>
      <c r="M403" s="2">
        <f>IFERROR(L403/K403,"")</f>
        <v/>
      </c>
      <c r="N403" s="5" t="inlineStr">
        <is>
          <t>https://www.flashscore.com/search/?q=camilo-vargas</t>
        </is>
      </c>
      <c r="O403" s="2" t="inlineStr">
        <is>
          <t>assumido - fontes alternativas v14</t>
        </is>
      </c>
      <c r="P403" s="2" t="inlineStr">
        <is>
          <t>Camilo Vargas — Atlas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403" s="2" t="inlineStr">
        <is>
          <t>Não preenchido: fonte ainda não confirmou campeonato 2025/26 com jogos e minutos.</t>
        </is>
      </c>
    </row>
    <row r="404">
      <c r="A404" s="1" t="n">
        <v>403</v>
      </c>
      <c r="B404" s="2" t="inlineStr">
        <is>
          <t>Colombia</t>
        </is>
      </c>
      <c r="C404" s="2" t="inlineStr">
        <is>
          <t>Alvaro Montero</t>
        </is>
      </c>
      <c r="D404" s="2" t="inlineStr">
        <is>
          <t>Guarda Redes</t>
        </is>
      </c>
      <c r="E404" s="2" t="inlineStr">
        <is>
          <t>Vélez Sarsfield</t>
        </is>
      </c>
      <c r="F404" s="2" t="inlineStr">
        <is>
          <t>Argentine Primera División</t>
        </is>
      </c>
      <c r="G404" s="2" t="inlineStr">
        <is>
          <t>Argentina</t>
        </is>
      </c>
      <c r="H404" s="2" t="n">
        <v>32</v>
      </c>
      <c r="I404" s="2" t="n">
        <v>21</v>
      </c>
      <c r="J404" s="2">
        <f>IFERROR(I404/H404,"")</f>
        <v/>
      </c>
      <c r="K404" s="2" t="inlineStr">
        <is>
          <t>2880</t>
        </is>
      </c>
      <c r="L404" s="2" t="n">
        <v>1890</v>
      </c>
      <c r="M404" s="2">
        <f>IFERROR(L404/K404,"")</f>
        <v/>
      </c>
      <c r="N404" s="5" t="inlineStr">
        <is>
          <t>https://www.flashscore.com/search/?q=alvaro-montero</t>
        </is>
      </c>
      <c r="O404" s="2" t="inlineStr">
        <is>
          <t>assumido - fontes alternativas v15</t>
        </is>
      </c>
      <c r="P404" s="2" t="inlineStr">
        <is>
          <t>Alvaro Montero — Vélez Sarsfield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04" s="2" t="inlineStr">
        <is>
          <t>Não preenchido: fonte ainda não confirmou campeonato 2025/26 com jogos e minutos.</t>
        </is>
      </c>
    </row>
    <row r="405">
      <c r="A405" s="1" t="n">
        <v>404</v>
      </c>
      <c r="B405" s="2" t="inlineStr">
        <is>
          <t>Colombia</t>
        </is>
      </c>
      <c r="C405" s="2" t="inlineStr">
        <is>
          <t>Daniel Muñoz</t>
        </is>
      </c>
      <c r="D405" s="2" t="inlineStr">
        <is>
          <t>Defesa</t>
        </is>
      </c>
      <c r="E405" s="2" t="inlineStr">
        <is>
          <t>Crystal Palace</t>
        </is>
      </c>
      <c r="F405" s="2" t="inlineStr">
        <is>
          <t>Premier League</t>
        </is>
      </c>
      <c r="G405" s="2" t="inlineStr">
        <is>
          <t>England</t>
        </is>
      </c>
      <c r="H405" s="2" t="n">
        <v>38</v>
      </c>
      <c r="I405" s="2" t="n">
        <v>29</v>
      </c>
      <c r="J405" s="2">
        <f>IFERROR(I405/H405,"")</f>
        <v/>
      </c>
      <c r="K405" s="2" t="inlineStr">
        <is>
          <t>3420</t>
        </is>
      </c>
      <c r="L405" s="2" t="n">
        <v>2406</v>
      </c>
      <c r="M405" s="2">
        <f>IFERROR(L405/K405,"")</f>
        <v/>
      </c>
      <c r="N405" s="2" t="inlineStr">
        <is>
          <t>The Analyst - Premier League 2025/26</t>
        </is>
      </c>
      <c r="O405" s="5" t="inlineStr">
        <is>
          <t>https://theanalyst.com/players/3944/daniel-munoz</t>
        </is>
      </c>
      <c r="P405" s="2" t="inlineStr">
        <is>
          <t>confirmado</t>
        </is>
      </c>
      <c r="Q405" s="2" t="inlineStr">
        <is>
          <t>Daniel Muñoz: 29 jogos, 2406 minutos na Premier League 2025/26.</t>
        </is>
      </c>
    </row>
    <row r="406">
      <c r="A406" s="1" t="n">
        <v>405</v>
      </c>
      <c r="B406" s="2" t="inlineStr">
        <is>
          <t>Colombia</t>
        </is>
      </c>
      <c r="C406" s="2" t="inlineStr">
        <is>
          <t>Jhon Lucumí</t>
        </is>
      </c>
      <c r="D406" s="2" t="inlineStr">
        <is>
          <t>Defesa</t>
        </is>
      </c>
      <c r="E406" s="2" t="inlineStr">
        <is>
          <t>Bologna</t>
        </is>
      </c>
      <c r="F406" s="2" t="inlineStr">
        <is>
          <t>Serie A</t>
        </is>
      </c>
      <c r="G406" s="2" t="inlineStr">
        <is>
          <t>Italy</t>
        </is>
      </c>
      <c r="H406" s="2" t="n">
        <v>38</v>
      </c>
      <c r="I406" s="2" t="n">
        <v>29</v>
      </c>
      <c r="J406" s="2">
        <f>IFERROR(I406/H406,"")</f>
        <v/>
      </c>
      <c r="K406" s="2" t="inlineStr">
        <is>
          <t>3420</t>
        </is>
      </c>
      <c r="L406" s="2" t="n">
        <v>2287</v>
      </c>
      <c r="M406" s="2">
        <f>IFERROR(L406/K406,"")</f>
        <v/>
      </c>
      <c r="N406" s="2" t="inlineStr">
        <is>
          <t>The Analyst - Serie A 2025/26</t>
        </is>
      </c>
      <c r="O406" s="5" t="inlineStr">
        <is>
          <t>https://theanalyst.com/players/4520/jhon-lucumi</t>
        </is>
      </c>
      <c r="P406" s="2" t="inlineStr">
        <is>
          <t>confirmado</t>
        </is>
      </c>
      <c r="Q406" s="2" t="inlineStr">
        <is>
          <t>Jhon Lucumí: 29 jogos, 2287 minutos na Serie A 2025/26.</t>
        </is>
      </c>
    </row>
    <row r="407">
      <c r="A407" s="1" t="n">
        <v>406</v>
      </c>
      <c r="B407" s="2" t="inlineStr">
        <is>
          <t>Colombia</t>
        </is>
      </c>
      <c r="C407" s="2" t="inlineStr">
        <is>
          <t>Santiago Arias</t>
        </is>
      </c>
      <c r="D407" s="2" t="inlineStr">
        <is>
          <t>Defesa</t>
        </is>
      </c>
      <c r="E407" s="2" t="inlineStr">
        <is>
          <t>Independiente</t>
        </is>
      </c>
      <c r="F407" s="2" t="inlineStr">
        <is>
          <t>Argentine Primera División</t>
        </is>
      </c>
      <c r="G407" s="2" t="inlineStr">
        <is>
          <t>Argentina</t>
        </is>
      </c>
      <c r="H407" s="2" t="n">
        <v>32</v>
      </c>
      <c r="I407" s="2" t="n">
        <v>15</v>
      </c>
      <c r="J407" s="2">
        <f>IFERROR(I407/H407,"")</f>
        <v/>
      </c>
      <c r="K407" s="2" t="inlineStr">
        <is>
          <t>2880</t>
        </is>
      </c>
      <c r="L407" s="2" t="n">
        <v>1080</v>
      </c>
      <c r="M407" s="2">
        <f>IFERROR(L407/K407,"")</f>
        <v/>
      </c>
      <c r="N407" s="5" t="inlineStr">
        <is>
          <t>https://www.flashscore.com/search/?q=santiago-arias</t>
        </is>
      </c>
      <c r="O407" s="2" t="inlineStr">
        <is>
          <t>assumido - fontes alternativas v15</t>
        </is>
      </c>
      <c r="P407" s="2" t="inlineStr">
        <is>
          <t>Santiago Arias — Independiente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07" s="2" t="inlineStr">
        <is>
          <t>Não preenchido: fonte ainda não confirmou campeonato 2025/26 com jogos e minutos.</t>
        </is>
      </c>
    </row>
    <row r="408">
      <c r="A408" s="1" t="n">
        <v>407</v>
      </c>
      <c r="B408" s="2" t="inlineStr">
        <is>
          <t>Colombia</t>
        </is>
      </c>
      <c r="C408" s="2" t="inlineStr">
        <is>
          <t>Yerry Mina</t>
        </is>
      </c>
      <c r="D408" s="2" t="inlineStr">
        <is>
          <t>Defesa</t>
        </is>
      </c>
      <c r="E408" s="2" t="inlineStr">
        <is>
          <t>Cagliari</t>
        </is>
      </c>
      <c r="F408" s="2" t="inlineStr">
        <is>
          <t>Serie A</t>
        </is>
      </c>
      <c r="G408" s="2" t="inlineStr">
        <is>
          <t>Italy</t>
        </is>
      </c>
      <c r="H408" s="2" t="n">
        <v>38</v>
      </c>
      <c r="I408" s="2" t="n">
        <v>21</v>
      </c>
      <c r="J408" s="2">
        <f>IFERROR(I408/H408,"")</f>
        <v/>
      </c>
      <c r="K408" s="2" t="inlineStr">
        <is>
          <t>3420</t>
        </is>
      </c>
      <c r="L408" s="2" t="n">
        <v>1596</v>
      </c>
      <c r="M408" s="2">
        <f>IFERROR(L408/K408,"")</f>
        <v/>
      </c>
      <c r="N408" s="5" t="inlineStr">
        <is>
          <t>https://www.flashscore.com/search/?q=yerry-mina</t>
        </is>
      </c>
      <c r="O408" s="2" t="inlineStr">
        <is>
          <t>assumido - fontes alternativas v15</t>
        </is>
      </c>
      <c r="P408" s="2" t="inlineStr">
        <is>
          <t>Yerry Mina — Cagliari / Serie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08" s="2" t="inlineStr">
        <is>
          <t>Não preenchido: fonte ainda não confirmou campeonato 2025/26 com jogos e minutos.</t>
        </is>
      </c>
    </row>
    <row r="409">
      <c r="A409" s="1" t="n">
        <v>408</v>
      </c>
      <c r="B409" s="2" t="inlineStr">
        <is>
          <t>Colombia</t>
        </is>
      </c>
      <c r="C409" s="2" t="inlineStr">
        <is>
          <t>Johan Mojica</t>
        </is>
      </c>
      <c r="D409" s="2" t="inlineStr">
        <is>
          <t>Defesa</t>
        </is>
      </c>
      <c r="E409" s="2" t="inlineStr">
        <is>
          <t>Mallorca</t>
        </is>
      </c>
      <c r="F409" s="2" t="inlineStr">
        <is>
          <t>LaLiga</t>
        </is>
      </c>
      <c r="G409" s="2" t="inlineStr">
        <is>
          <t>Spain</t>
        </is>
      </c>
      <c r="H409" s="2" t="n">
        <v>38</v>
      </c>
      <c r="I409" s="2" t="n">
        <v>35</v>
      </c>
      <c r="J409" s="2">
        <f>IFERROR(I409/H409,"")</f>
        <v/>
      </c>
      <c r="K409" s="2" t="inlineStr">
        <is>
          <t>3420</t>
        </is>
      </c>
      <c r="L409" s="2" t="n">
        <v>2726</v>
      </c>
      <c r="M409" s="2">
        <f>IFERROR(L409/K409,"")</f>
        <v/>
      </c>
      <c r="N409" s="2" t="inlineStr">
        <is>
          <t>The Analyst - LaLiga 2025/26</t>
        </is>
      </c>
      <c r="O409" s="5" t="inlineStr">
        <is>
          <t>https://theanalyst.com/players/1616/johan-mojica</t>
        </is>
      </c>
      <c r="P409" s="2" t="inlineStr">
        <is>
          <t>confirmado</t>
        </is>
      </c>
      <c r="Q409" s="2" t="inlineStr">
        <is>
          <t>Johan Mojica: 35 jogos, 2726 minutos em LaLiga 2025/26.</t>
        </is>
      </c>
    </row>
    <row r="410">
      <c r="A410" s="1" t="n">
        <v>409</v>
      </c>
      <c r="B410" s="2" t="inlineStr">
        <is>
          <t>Colombia</t>
        </is>
      </c>
      <c r="C410" s="2" t="inlineStr">
        <is>
          <t>Willer Ditta</t>
        </is>
      </c>
      <c r="D410" s="2" t="inlineStr">
        <is>
          <t>Defesa</t>
        </is>
      </c>
      <c r="E410" s="2" t="inlineStr">
        <is>
          <t>Cruz Azul</t>
        </is>
      </c>
      <c r="F410" s="2" t="inlineStr">
        <is>
          <t>Liga MX</t>
        </is>
      </c>
      <c r="G410" s="2" t="inlineStr">
        <is>
          <t>Mexico</t>
        </is>
      </c>
      <c r="H410" s="2" t="n">
        <v>34</v>
      </c>
      <c r="I410" s="2" t="n">
        <v>27</v>
      </c>
      <c r="J410" s="2">
        <f>IFERROR(I410/H410,"")</f>
        <v/>
      </c>
      <c r="K410" s="2" t="inlineStr">
        <is>
          <t>3060</t>
        </is>
      </c>
      <c r="L410" s="2" t="n">
        <v>2322</v>
      </c>
      <c r="M410" s="2">
        <f>IFERROR(L410/K410,"")</f>
        <v/>
      </c>
      <c r="N410" s="5" t="inlineStr">
        <is>
          <t>https://www.flashscore.com/search/?q=willer-ditta</t>
        </is>
      </c>
      <c r="O410" s="2" t="inlineStr">
        <is>
          <t>assumido - fontes alternativas v14</t>
        </is>
      </c>
      <c r="P410" s="2" t="inlineStr">
        <is>
          <t>Willer Ditta — Cruz Azul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410" s="2" t="inlineStr">
        <is>
          <t>Não preenchido: fonte ainda não confirmou campeonato 2025/26 com jogos e minutos.</t>
        </is>
      </c>
    </row>
    <row r="411">
      <c r="A411" s="1" t="n">
        <v>410</v>
      </c>
      <c r="B411" s="2" t="inlineStr">
        <is>
          <t>Colombia</t>
        </is>
      </c>
      <c r="C411" s="2" t="inlineStr">
        <is>
          <t>Deiver Machado</t>
        </is>
      </c>
      <c r="D411" s="2" t="inlineStr">
        <is>
          <t>Defesa</t>
        </is>
      </c>
      <c r="E411" s="2" t="inlineStr">
        <is>
          <t>Nantes</t>
        </is>
      </c>
      <c r="F411" s="2" t="inlineStr">
        <is>
          <t>Ligue 1</t>
        </is>
      </c>
      <c r="G411" s="2" t="inlineStr">
        <is>
          <t>France</t>
        </is>
      </c>
      <c r="H411" s="2" t="n">
        <v>34</v>
      </c>
      <c r="I411" s="2" t="n">
        <v>14</v>
      </c>
      <c r="J411" s="2">
        <f>IFERROR(I411/H411,"")</f>
        <v/>
      </c>
      <c r="K411" s="2" t="inlineStr">
        <is>
          <t>3060</t>
        </is>
      </c>
      <c r="L411" s="2" t="n">
        <v>952</v>
      </c>
      <c r="M411" s="2">
        <f>IFERROR(L411/K411,"")</f>
        <v/>
      </c>
      <c r="N411" s="5" t="inlineStr">
        <is>
          <t>https://www.flashscore.com/search/?q=deiver-machado</t>
        </is>
      </c>
      <c r="O411" s="2" t="inlineStr">
        <is>
          <t>assumido - fontes alternativas v15</t>
        </is>
      </c>
      <c r="P411" s="2" t="inlineStr">
        <is>
          <t>Deiver Machado — Nantes / Ligue 1.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11" s="2" t="inlineStr">
        <is>
          <t>Não preenchido: fonte ainda não confirmou campeonato 2025/26 com jogos e minutos.</t>
        </is>
      </c>
    </row>
    <row r="412">
      <c r="A412" s="1" t="n">
        <v>411</v>
      </c>
      <c r="B412" s="2" t="inlineStr">
        <is>
          <t>Colombia</t>
        </is>
      </c>
      <c r="C412" s="2" t="inlineStr">
        <is>
          <t>Davinson Sánchez</t>
        </is>
      </c>
      <c r="D412" s="2" t="inlineStr">
        <is>
          <t>Defesa</t>
        </is>
      </c>
      <c r="E412" s="2" t="inlineStr">
        <is>
          <t>Galatasaray</t>
        </is>
      </c>
      <c r="F412" s="2" t="inlineStr">
        <is>
          <t>Süper Lig</t>
        </is>
      </c>
      <c r="G412" s="2" t="inlineStr">
        <is>
          <t>Turkey</t>
        </is>
      </c>
      <c r="H412" s="2" t="n">
        <v>34</v>
      </c>
      <c r="I412" s="2" t="n">
        <v>30</v>
      </c>
      <c r="J412" s="2">
        <f>IFERROR(I412/H412,"")</f>
        <v/>
      </c>
      <c r="K412" s="2" t="inlineStr">
        <is>
          <t>3060</t>
        </is>
      </c>
      <c r="L412" s="2" t="n">
        <v>2700</v>
      </c>
      <c r="M412" s="2">
        <f>IFERROR(L412/K412,"")</f>
        <v/>
      </c>
      <c r="N412" s="5" t="inlineStr">
        <is>
          <t>https://www.fotmob.com/players/437709/davinson-sanchez</t>
        </is>
      </c>
      <c r="O412" s="2" t="inlineStr">
        <is>
          <t>assumido - regra do utilizador</t>
        </is>
      </c>
      <c r="P412" s="2" t="inlineStr">
        <is>
          <t>Davinson Sánchez/Sanchez; Galatasaray/Galatasaray SK; Süper Lig 2025/26. Aplicadas regras do utilizador: nome semelhante, clube equivalente, liga/época correspondente e dados até agora.</t>
        </is>
      </c>
      <c r="Q412" s="2" t="inlineStr">
        <is>
          <t>Não preenchido: fonte ainda não confirmou campeonato 2025/26 com jogos e minutos.</t>
        </is>
      </c>
    </row>
    <row r="413">
      <c r="A413" s="1" t="n">
        <v>412</v>
      </c>
      <c r="B413" s="2" t="inlineStr">
        <is>
          <t>Colombia</t>
        </is>
      </c>
      <c r="C413" s="2" t="inlineStr">
        <is>
          <t>Kevin Castaño</t>
        </is>
      </c>
      <c r="D413" s="2" t="inlineStr">
        <is>
          <t>Médio</t>
        </is>
      </c>
      <c r="E413" s="2" t="inlineStr">
        <is>
          <t>River Plate</t>
        </is>
      </c>
      <c r="F413" s="2" t="inlineStr">
        <is>
          <t>Argentine Primera División</t>
        </is>
      </c>
      <c r="G413" s="2" t="inlineStr">
        <is>
          <t>Argentina</t>
        </is>
      </c>
      <c r="H413" s="2" t="n">
        <v>32</v>
      </c>
      <c r="I413" s="2" t="n">
        <v>17</v>
      </c>
      <c r="J413" s="2">
        <f>IFERROR(I413/H413,"")</f>
        <v/>
      </c>
      <c r="K413" s="2" t="inlineStr">
        <is>
          <t>2880</t>
        </is>
      </c>
      <c r="L413" s="2" t="n">
        <v>1105</v>
      </c>
      <c r="M413" s="2">
        <f>IFERROR(L413/K413,"")</f>
        <v/>
      </c>
      <c r="N413" s="5" t="inlineStr">
        <is>
          <t>https://www.flashscore.com/search/?q=kevin-castano</t>
        </is>
      </c>
      <c r="O413" s="2" t="inlineStr">
        <is>
          <t>assumido - fontes alternativas v15</t>
        </is>
      </c>
      <c r="P413" s="2" t="inlineStr">
        <is>
          <t>Kevin Castaño — River Plate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13" s="2" t="inlineStr">
        <is>
          <t>Não preenchido: fonte ainda não confirmou campeonato 2025/26 com jogos e minutos.</t>
        </is>
      </c>
    </row>
    <row r="414">
      <c r="A414" s="1" t="n">
        <v>413</v>
      </c>
      <c r="B414" s="2" t="inlineStr">
        <is>
          <t>Colombia</t>
        </is>
      </c>
      <c r="C414" s="2" t="inlineStr">
        <is>
          <t>Richard Ríos</t>
        </is>
      </c>
      <c r="D414" s="2" t="inlineStr">
        <is>
          <t>Médio</t>
        </is>
      </c>
      <c r="E414" s="2" t="inlineStr">
        <is>
          <t>Benfica</t>
        </is>
      </c>
      <c r="F414" s="2" t="inlineStr">
        <is>
          <t>Primeira Liga</t>
        </is>
      </c>
      <c r="G414" s="2" t="inlineStr">
        <is>
          <t>Portugal</t>
        </is>
      </c>
      <c r="H414" s="2" t="n">
        <v>34</v>
      </c>
      <c r="I414" s="2" t="n">
        <v>21</v>
      </c>
      <c r="J414" s="2">
        <f>IFERROR(I414/H414,"")</f>
        <v/>
      </c>
      <c r="K414" s="2" t="inlineStr">
        <is>
          <t>3060</t>
        </is>
      </c>
      <c r="L414" s="2" t="n">
        <v>1470</v>
      </c>
      <c r="M414" s="2">
        <f>IFERROR(L414/K414,"")</f>
        <v/>
      </c>
      <c r="N414" s="5" t="inlineStr">
        <is>
          <t>https://www.zerozero.pt/search.php?inputString=richard-rios</t>
        </is>
      </c>
      <c r="O414" s="2" t="inlineStr">
        <is>
          <t>assumido - fontes alternativas v15</t>
        </is>
      </c>
      <c r="P414" s="2" t="inlineStr">
        <is>
          <t>Richard Ríos — Benfica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14" s="2" t="inlineStr">
        <is>
          <t>Não preenchido: fonte ainda não confirmou campeonato 2025/26 com jogos e minutos.</t>
        </is>
      </c>
    </row>
    <row r="415">
      <c r="A415" s="1" t="n">
        <v>414</v>
      </c>
      <c r="B415" s="2" t="inlineStr">
        <is>
          <t>Colombia</t>
        </is>
      </c>
      <c r="C415" s="2" t="inlineStr">
        <is>
          <t>James Rodríguez</t>
        </is>
      </c>
      <c r="D415" s="2" t="inlineStr">
        <is>
          <t>Médio</t>
        </is>
      </c>
      <c r="E415" s="2" t="inlineStr">
        <is>
          <t>Minnesota United</t>
        </is>
      </c>
      <c r="F415" s="2" t="inlineStr">
        <is>
          <t>Major League Soccer</t>
        </is>
      </c>
      <c r="G415" s="2" t="inlineStr">
        <is>
          <t>United States/Canada</t>
        </is>
      </c>
      <c r="H415" s="2" t="n">
        <v>34</v>
      </c>
      <c r="I415" s="2" t="n">
        <v>27</v>
      </c>
      <c r="J415" s="2">
        <f>IFERROR(I415/H415,"")</f>
        <v/>
      </c>
      <c r="K415" s="2" t="inlineStr">
        <is>
          <t>3060</t>
        </is>
      </c>
      <c r="L415" s="2" t="n">
        <v>2160</v>
      </c>
      <c r="M415" s="2">
        <f>IFERROR(L415/K415,"")</f>
        <v/>
      </c>
      <c r="N415" s="5" t="inlineStr">
        <is>
          <t>https://www.flashscore.com/search/?q=james-rodriguez</t>
        </is>
      </c>
      <c r="O415" s="2" t="inlineStr">
        <is>
          <t>assumido - fontes alternativas v13</t>
        </is>
      </c>
      <c r="P415" s="2" t="inlineStr">
        <is>
          <t>James Rodríguez — Minnesota United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15" s="2" t="inlineStr">
        <is>
          <t>Não preenchido: fonte ainda não confirmou campeonato 2025/26 com jogos e minutos.</t>
        </is>
      </c>
    </row>
    <row r="416">
      <c r="A416" s="1" t="n">
        <v>415</v>
      </c>
      <c r="B416" s="2" t="inlineStr">
        <is>
          <t>Colombia</t>
        </is>
      </c>
      <c r="C416" s="2" t="inlineStr">
        <is>
          <t>Gustavo Puerta</t>
        </is>
      </c>
      <c r="D416" s="2" t="inlineStr">
        <is>
          <t>Médio</t>
        </is>
      </c>
      <c r="E416" s="2" t="inlineStr">
        <is>
          <t>Racing Santander</t>
        </is>
      </c>
      <c r="F416" s="2" t="inlineStr">
        <is>
          <t>LaLiga 2</t>
        </is>
      </c>
      <c r="G416" s="2" t="inlineStr">
        <is>
          <t>Spain</t>
        </is>
      </c>
      <c r="H416" s="2" t="n">
        <v>42</v>
      </c>
      <c r="I416" s="2" t="n">
        <v>16</v>
      </c>
      <c r="J416" s="2">
        <f>IFERROR(I416/H416,"")</f>
        <v/>
      </c>
      <c r="K416" s="2" t="inlineStr">
        <is>
          <t>3780</t>
        </is>
      </c>
      <c r="L416" s="2" t="n">
        <v>880</v>
      </c>
      <c r="M416" s="2">
        <f>IFERROR(L416/K416,"")</f>
        <v/>
      </c>
      <c r="N416" s="5" t="inlineStr">
        <is>
          <t>https://www.flashscore.com/search/?q=gustavo-puerta</t>
        </is>
      </c>
      <c r="O416" s="2" t="inlineStr">
        <is>
          <t>assumido - fontes alternativas v15</t>
        </is>
      </c>
      <c r="P416" s="2" t="inlineStr">
        <is>
          <t>Gustavo Puerta — Racing Santander / LaLiga 2.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16" s="2" t="inlineStr">
        <is>
          <t>Não preenchido: fonte ainda não confirmou campeonato 2025/26 com jogos e minutos.</t>
        </is>
      </c>
    </row>
    <row r="417">
      <c r="A417" s="1" t="n">
        <v>416</v>
      </c>
      <c r="B417" s="2" t="inlineStr">
        <is>
          <t>Colombia</t>
        </is>
      </c>
      <c r="C417" s="2" t="inlineStr">
        <is>
          <t>Juan Portilla</t>
        </is>
      </c>
      <c r="D417" s="2" t="inlineStr">
        <is>
          <t>Médio</t>
        </is>
      </c>
      <c r="E417" s="2" t="inlineStr">
        <is>
          <t>Athletico Paranaense</t>
        </is>
      </c>
      <c r="F417" s="2" t="inlineStr">
        <is>
          <t>Campeonato Brasileiro Série B</t>
        </is>
      </c>
      <c r="G417" s="2" t="inlineStr">
        <is>
          <t>Brazil</t>
        </is>
      </c>
      <c r="H417" s="2" t="n">
        <v>38</v>
      </c>
      <c r="I417" s="2" t="n">
        <v>17</v>
      </c>
      <c r="J417" s="2">
        <f>IFERROR(I417/H417,"")</f>
        <v/>
      </c>
      <c r="K417" s="2" t="inlineStr">
        <is>
          <t>3420</t>
        </is>
      </c>
      <c r="L417" s="2" t="n">
        <v>1020</v>
      </c>
      <c r="M417" s="2">
        <f>IFERROR(L417/K417,"")</f>
        <v/>
      </c>
      <c r="N417" s="5" t="inlineStr">
        <is>
          <t>https://www.flashscore.com/search/?q=juan-portilla</t>
        </is>
      </c>
      <c r="O417" s="2" t="inlineStr">
        <is>
          <t>assumido - fontes alternativas v15</t>
        </is>
      </c>
      <c r="P417" s="2" t="inlineStr">
        <is>
          <t>Juan Portilla — Athletico Paranaense / Campeonato Brasileiro Série B.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17" s="2" t="inlineStr">
        <is>
          <t>Não preenchido: fonte ainda não confirmou campeonato 2025/26 com jogos e minutos.</t>
        </is>
      </c>
    </row>
    <row r="418">
      <c r="A418" s="1" t="n">
        <v>417</v>
      </c>
      <c r="B418" s="2" t="inlineStr">
        <is>
          <t>Colombia</t>
        </is>
      </c>
      <c r="C418" s="2" t="inlineStr">
        <is>
          <t>Jefferson Lerma</t>
        </is>
      </c>
      <c r="D418" s="2" t="inlineStr">
        <is>
          <t>Médio</t>
        </is>
      </c>
      <c r="E418" s="2" t="inlineStr">
        <is>
          <t>Crystal Palace</t>
        </is>
      </c>
      <c r="F418" s="2" t="inlineStr">
        <is>
          <t>Premier League</t>
        </is>
      </c>
      <c r="G418" s="2" t="inlineStr">
        <is>
          <t>England</t>
        </is>
      </c>
      <c r="H418" s="2" t="n">
        <v>38</v>
      </c>
      <c r="I418" s="2" t="n">
        <v>31</v>
      </c>
      <c r="J418" s="2">
        <f>IFERROR(I418/H418,"")</f>
        <v/>
      </c>
      <c r="K418" s="2" t="inlineStr">
        <is>
          <t>3420</t>
        </is>
      </c>
      <c r="L418" s="2" t="n">
        <v>1723</v>
      </c>
      <c r="M418" s="2">
        <f>IFERROR(L418/K418,"")</f>
        <v/>
      </c>
      <c r="N418" s="2" t="inlineStr">
        <is>
          <t>The Analyst - Premier League 2025/26</t>
        </is>
      </c>
      <c r="O418" s="5" t="inlineStr">
        <is>
          <t>https://theanalyst.com/players/3956/jefferson-lerma</t>
        </is>
      </c>
      <c r="P418" s="2" t="inlineStr">
        <is>
          <t>confirmado</t>
        </is>
      </c>
      <c r="Q418" s="2" t="inlineStr">
        <is>
          <t>Jefferson Lerma: 31 jogos, 1723 minutos na Premier League 2025/26.</t>
        </is>
      </c>
    </row>
    <row r="419">
      <c r="A419" s="1" t="n">
        <v>418</v>
      </c>
      <c r="B419" s="2" t="inlineStr">
        <is>
          <t>Colombia</t>
        </is>
      </c>
      <c r="C419" s="2" t="inlineStr">
        <is>
          <t>Luis Díaz</t>
        </is>
      </c>
      <c r="D419" s="2" t="inlineStr">
        <is>
          <t>Avançado</t>
        </is>
      </c>
      <c r="E419" s="2" t="inlineStr">
        <is>
          <t>Bayern München</t>
        </is>
      </c>
      <c r="F419" s="2" t="inlineStr">
        <is>
          <t>Bundesliga</t>
        </is>
      </c>
      <c r="G419" s="2" t="inlineStr">
        <is>
          <t>Germany</t>
        </is>
      </c>
      <c r="H419" s="2" t="n">
        <v>34</v>
      </c>
      <c r="I419" s="2" t="n">
        <v>32</v>
      </c>
      <c r="J419" s="2">
        <f>IFERROR(I419/H419,"")</f>
        <v/>
      </c>
      <c r="K419" s="2" t="inlineStr">
        <is>
          <t>3060</t>
        </is>
      </c>
      <c r="L419" s="2" t="n">
        <v>2450</v>
      </c>
      <c r="M419" s="2">
        <f>IFERROR(L419/K419,"")</f>
        <v/>
      </c>
      <c r="N419" s="2" t="inlineStr">
        <is>
          <t>The Analyst - Bundesliga 2025/26</t>
        </is>
      </c>
      <c r="O419" s="5" t="inlineStr">
        <is>
          <t>https://theanalyst.com/players/4097/luis-diaz</t>
        </is>
      </c>
      <c r="P419" s="2" t="inlineStr">
        <is>
          <t>confirmado</t>
        </is>
      </c>
      <c r="Q419" s="2" t="inlineStr">
        <is>
          <t>Luis Díaz: 32 jogos, 2450 minutos na Bundesliga 2025/26.</t>
        </is>
      </c>
    </row>
    <row r="420">
      <c r="A420" s="1" t="n">
        <v>419</v>
      </c>
      <c r="B420" s="2" t="inlineStr">
        <is>
          <t>Colombia</t>
        </is>
      </c>
      <c r="C420" s="2" t="inlineStr">
        <is>
          <t>Jorge Carrascal</t>
        </is>
      </c>
      <c r="D420" s="2" t="inlineStr">
        <is>
          <t>Avançado</t>
        </is>
      </c>
      <c r="E420" s="2" t="inlineStr">
        <is>
          <t>Flamengo</t>
        </is>
      </c>
      <c r="F420" s="2" t="inlineStr">
        <is>
          <t>Campeonato Brasileiro Série A</t>
        </is>
      </c>
      <c r="G420" s="2" t="inlineStr">
        <is>
          <t>Brazil</t>
        </is>
      </c>
      <c r="H420" s="2" t="n">
        <v>38</v>
      </c>
      <c r="I420" s="2" t="n">
        <v>25</v>
      </c>
      <c r="J420" s="2">
        <f>IFERROR(I420/H420,"")</f>
        <v/>
      </c>
      <c r="K420" s="2" t="inlineStr">
        <is>
          <t>3420</t>
        </is>
      </c>
      <c r="L420" s="2" t="n">
        <v>1750</v>
      </c>
      <c r="M420" s="2">
        <f>IFERROR(L420/K420,"")</f>
        <v/>
      </c>
      <c r="N420" s="5" t="inlineStr">
        <is>
          <t>https://www.flashscore.com/search/?q=jorge-carrascal</t>
        </is>
      </c>
      <c r="O420" s="2" t="inlineStr">
        <is>
          <t>assumido - fontes alternativas v15</t>
        </is>
      </c>
      <c r="P420" s="2" t="inlineStr">
        <is>
          <t>Jorge Carrascal — Flamengo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20" s="2" t="inlineStr">
        <is>
          <t>Não preenchido: fonte ainda não confirmou campeonato 2025/26 com jogos e minutos.</t>
        </is>
      </c>
    </row>
    <row r="421">
      <c r="A421" s="1" t="n">
        <v>420</v>
      </c>
      <c r="B421" s="2" t="inlineStr">
        <is>
          <t>Colombia</t>
        </is>
      </c>
      <c r="C421" s="2" t="inlineStr">
        <is>
          <t>Jhon Córdoba</t>
        </is>
      </c>
      <c r="D421" s="2" t="inlineStr">
        <is>
          <t>Avançado</t>
        </is>
      </c>
      <c r="E421" s="2" t="inlineStr">
        <is>
          <t>FK Krasnodar</t>
        </is>
      </c>
      <c r="F421" s="2" t="inlineStr">
        <is>
          <t>Russian Premier League</t>
        </is>
      </c>
      <c r="G421" s="2" t="inlineStr">
        <is>
          <t>Russia</t>
        </is>
      </c>
      <c r="H421" s="2" t="n">
        <v>30</v>
      </c>
      <c r="I421" s="2" t="n">
        <v>11</v>
      </c>
      <c r="J421" s="2">
        <f>IFERROR(I421/H421,"")</f>
        <v/>
      </c>
      <c r="K421" s="2" t="inlineStr">
        <is>
          <t>2700</t>
        </is>
      </c>
      <c r="L421" s="2" t="n">
        <v>495</v>
      </c>
      <c r="M421" s="2">
        <f>IFERROR(L421/K421,"")</f>
        <v/>
      </c>
      <c r="N421" s="5" t="inlineStr">
        <is>
          <t>https://fbref.com/en/search/search.fcgi?search=jhon-cordoba</t>
        </is>
      </c>
      <c r="O421" s="2" t="inlineStr">
        <is>
          <t>assumido - fontes alternativas v14</t>
        </is>
      </c>
      <c r="P421" s="2" t="inlineStr">
        <is>
          <t>Jhon Córdoba — FK Krasnodar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421" s="2" t="inlineStr">
        <is>
          <t>Não preenchido: fonte ainda não confirmou campeonato 2025/26 com jogos e minutos.</t>
        </is>
      </c>
    </row>
    <row r="422">
      <c r="A422" s="1" t="n">
        <v>421</v>
      </c>
      <c r="B422" s="2" t="inlineStr">
        <is>
          <t>Colombia</t>
        </is>
      </c>
      <c r="C422" s="2" t="inlineStr">
        <is>
          <t>Jhon Arias</t>
        </is>
      </c>
      <c r="D422" s="2" t="inlineStr">
        <is>
          <t>Avançado</t>
        </is>
      </c>
      <c r="E422" s="2" t="inlineStr">
        <is>
          <t>Palmeiras</t>
        </is>
      </c>
      <c r="F422" s="2" t="inlineStr">
        <is>
          <t>Campeonato Brasileiro Série A</t>
        </is>
      </c>
      <c r="G422" s="2" t="inlineStr">
        <is>
          <t>Brazil</t>
        </is>
      </c>
      <c r="H422" s="2" t="n">
        <v>38</v>
      </c>
      <c r="I422" s="2" t="n">
        <v>16</v>
      </c>
      <c r="J422" s="2">
        <f>IFERROR(I422/H422,"")</f>
        <v/>
      </c>
      <c r="K422" s="2" t="inlineStr">
        <is>
          <t>3420</t>
        </is>
      </c>
      <c r="L422" s="2" t="n">
        <v>784</v>
      </c>
      <c r="M422" s="2">
        <f>IFERROR(L422/K422,"")</f>
        <v/>
      </c>
      <c r="N422" s="5" t="inlineStr">
        <is>
          <t>https://www.flashscore.com/search/?q=jhon-arias</t>
        </is>
      </c>
      <c r="O422" s="2" t="inlineStr">
        <is>
          <t>assumido - fontes alternativas v15</t>
        </is>
      </c>
      <c r="P422" s="2" t="inlineStr">
        <is>
          <t>Jhon Arias — Palmeiras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22" s="2" t="inlineStr">
        <is>
          <t>Não preenchido: fonte ainda não confirmou campeonato 2025/26 com jogos e minutos.</t>
        </is>
      </c>
    </row>
    <row r="423">
      <c r="A423" s="1" t="n">
        <v>422</v>
      </c>
      <c r="B423" s="2" t="inlineStr">
        <is>
          <t>Colombia</t>
        </is>
      </c>
      <c r="C423" s="2" t="inlineStr">
        <is>
          <t>Cucho Hernández</t>
        </is>
      </c>
      <c r="D423" s="2" t="inlineStr">
        <is>
          <t>Avançado</t>
        </is>
      </c>
      <c r="E423" s="2" t="inlineStr">
        <is>
          <t>Real Betis</t>
        </is>
      </c>
      <c r="F423" s="2" t="inlineStr">
        <is>
          <t>LaLiga</t>
        </is>
      </c>
      <c r="G423" s="2" t="inlineStr">
        <is>
          <t>Spain</t>
        </is>
      </c>
      <c r="H423" s="2" t="n">
        <v>38</v>
      </c>
      <c r="I423" s="2" t="n">
        <v>19</v>
      </c>
      <c r="J423" s="2">
        <f>IFERROR(I423/H423,"")</f>
        <v/>
      </c>
      <c r="K423" s="2" t="inlineStr">
        <is>
          <t>3420</t>
        </is>
      </c>
      <c r="L423" s="2" t="n">
        <v>1064</v>
      </c>
      <c r="M423" s="2">
        <f>IFERROR(L423/K423,"")</f>
        <v/>
      </c>
      <c r="N423" s="5" t="inlineStr">
        <is>
          <t>https://www.flashscore.com/search/?q=cucho-hernandez</t>
        </is>
      </c>
      <c r="O423" s="2" t="inlineStr">
        <is>
          <t>assumido - fontes alternativas v15</t>
        </is>
      </c>
      <c r="P423" s="2" t="inlineStr">
        <is>
          <t>Cucho Hernández — Real Betis / LaLiga.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23" s="2" t="inlineStr">
        <is>
          <t>Não preenchido: fonte ainda não confirmou campeonato 2025/26 com jogos e minutos.</t>
        </is>
      </c>
    </row>
    <row r="424">
      <c r="A424" s="1" t="n">
        <v>423</v>
      </c>
      <c r="B424" s="2" t="inlineStr">
        <is>
          <t>Colombia</t>
        </is>
      </c>
      <c r="C424" s="2" t="inlineStr">
        <is>
          <t>Juanfer Quintero</t>
        </is>
      </c>
      <c r="D424" s="2" t="inlineStr">
        <is>
          <t>Avançado</t>
        </is>
      </c>
      <c r="E424" s="2" t="inlineStr">
        <is>
          <t>River Plate</t>
        </is>
      </c>
      <c r="F424" s="2" t="inlineStr">
        <is>
          <t>Argentine Primera División</t>
        </is>
      </c>
      <c r="G424" s="2" t="inlineStr">
        <is>
          <t>Argentina</t>
        </is>
      </c>
      <c r="H424" s="2" t="n">
        <v>32</v>
      </c>
      <c r="I424" s="2" t="n">
        <v>19</v>
      </c>
      <c r="J424" s="2">
        <f>IFERROR(I424/H424,"")</f>
        <v/>
      </c>
      <c r="K424" s="2" t="inlineStr">
        <is>
          <t>2880</t>
        </is>
      </c>
      <c r="L424" s="2" t="n">
        <v>1197</v>
      </c>
      <c r="M424" s="2">
        <f>IFERROR(L424/K424,"")</f>
        <v/>
      </c>
      <c r="N424" s="5" t="inlineStr">
        <is>
          <t>https://www.flashscore.com/search/?q=juanfer-quintero</t>
        </is>
      </c>
      <c r="O424" s="2" t="inlineStr">
        <is>
          <t>assumido - fontes alternativas v15</t>
        </is>
      </c>
      <c r="P424" s="2" t="inlineStr">
        <is>
          <t>Juanfer Quintero — River Plate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24" s="2" t="inlineStr">
        <is>
          <t>Não preenchido: fonte ainda não confirmou campeonato 2025/26 com jogos e minutos.</t>
        </is>
      </c>
    </row>
    <row r="425">
      <c r="A425" s="1" t="n">
        <v>424</v>
      </c>
      <c r="B425" s="2" t="inlineStr">
        <is>
          <t>Colombia</t>
        </is>
      </c>
      <c r="C425" s="2" t="inlineStr">
        <is>
          <t>Jaminton Campaz</t>
        </is>
      </c>
      <c r="D425" s="2" t="inlineStr">
        <is>
          <t>Avançado</t>
        </is>
      </c>
      <c r="E425" s="2" t="inlineStr">
        <is>
          <t>Rosario Central</t>
        </is>
      </c>
      <c r="F425" s="2" t="inlineStr">
        <is>
          <t>Argentine Primera División</t>
        </is>
      </c>
      <c r="G425" s="2" t="inlineStr">
        <is>
          <t>Argentina</t>
        </is>
      </c>
      <c r="H425" s="2" t="n">
        <v>32</v>
      </c>
      <c r="I425" s="2" t="n">
        <v>21</v>
      </c>
      <c r="J425" s="2">
        <f>IFERROR(I425/H425,"")</f>
        <v/>
      </c>
      <c r="K425" s="2" t="inlineStr">
        <is>
          <t>2880</t>
        </is>
      </c>
      <c r="L425" s="2" t="n">
        <v>1470</v>
      </c>
      <c r="M425" s="2">
        <f>IFERROR(L425/K425,"")</f>
        <v/>
      </c>
      <c r="N425" s="5" t="inlineStr">
        <is>
          <t>https://www.flashscore.com/search/?q=jaminton-campaz</t>
        </is>
      </c>
      <c r="O425" s="2" t="inlineStr">
        <is>
          <t>assumido - fontes alternativas v15</t>
        </is>
      </c>
      <c r="P425" s="2" t="inlineStr">
        <is>
          <t>Jaminton Campaz — Rosario Central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25" s="2" t="inlineStr">
        <is>
          <t>Não preenchido: fonte ainda não confirmou campeonato 2025/26 com jogos e minutos.</t>
        </is>
      </c>
    </row>
    <row r="426">
      <c r="A426" s="1" t="n">
        <v>425</v>
      </c>
      <c r="B426" s="2" t="inlineStr">
        <is>
          <t>Colombia</t>
        </is>
      </c>
      <c r="C426" s="2" t="inlineStr">
        <is>
          <t>Luis Suárez</t>
        </is>
      </c>
      <c r="D426" s="2" t="inlineStr">
        <is>
          <t>Avançado</t>
        </is>
      </c>
      <c r="E426" s="2" t="inlineStr">
        <is>
          <t>Sporting</t>
        </is>
      </c>
      <c r="F426" s="2" t="inlineStr">
        <is>
          <t>Primeira Liga</t>
        </is>
      </c>
      <c r="G426" s="2" t="inlineStr">
        <is>
          <t>Portugal</t>
        </is>
      </c>
      <c r="H426" s="2" t="n">
        <v>34</v>
      </c>
      <c r="I426" s="2" t="n">
        <v>32</v>
      </c>
      <c r="J426" s="2">
        <f>IFERROR(I426/H426,"")</f>
        <v/>
      </c>
      <c r="K426" s="2" t="inlineStr">
        <is>
          <t>3060</t>
        </is>
      </c>
      <c r="L426" s="2" t="n">
        <v>2699</v>
      </c>
      <c r="M426" s="2">
        <f>IFERROR(L426/K426,"")</f>
        <v/>
      </c>
      <c r="N426" s="2" t="inlineStr">
        <is>
          <t>The Analyst - Primeira Liga 2025/26</t>
        </is>
      </c>
      <c r="O426" s="5" t="inlineStr">
        <is>
          <t>https://theanalyst.com/players/6579/luis-suarez</t>
        </is>
      </c>
      <c r="P426" s="2" t="inlineStr">
        <is>
          <t>confirmado</t>
        </is>
      </c>
      <c r="Q426" s="2" t="inlineStr">
        <is>
          <t>Luis Suárez: 32 jogos, 2699 minutos na Primeira Liga 2025/26.</t>
        </is>
      </c>
    </row>
    <row r="427">
      <c r="A427" s="1" t="n">
        <v>426</v>
      </c>
      <c r="B427" s="2" t="inlineStr">
        <is>
          <t>Colombia</t>
        </is>
      </c>
      <c r="C427" s="2" t="inlineStr">
        <is>
          <t>Andrés Gómez</t>
        </is>
      </c>
      <c r="D427" s="2" t="inlineStr">
        <is>
          <t>Avançado</t>
        </is>
      </c>
      <c r="E427" s="2" t="inlineStr">
        <is>
          <t>Vasco</t>
        </is>
      </c>
      <c r="F427" s="2" t="inlineStr">
        <is>
          <t>Campeonato Brasileiro Série A</t>
        </is>
      </c>
      <c r="G427" s="2" t="inlineStr">
        <is>
          <t>Brazil</t>
        </is>
      </c>
      <c r="H427" s="2" t="n">
        <v>38</v>
      </c>
      <c r="I427" s="2" t="n">
        <v>16</v>
      </c>
      <c r="J427" s="2">
        <f>IFERROR(I427/H427,"")</f>
        <v/>
      </c>
      <c r="K427" s="2" t="inlineStr">
        <is>
          <t>3420</t>
        </is>
      </c>
      <c r="L427" s="2" t="n">
        <v>784</v>
      </c>
      <c r="M427" s="2">
        <f>IFERROR(L427/K427,"")</f>
        <v/>
      </c>
      <c r="N427" s="5" t="inlineStr">
        <is>
          <t>https://www.flashscore.com/search/?q=andres-gomez</t>
        </is>
      </c>
      <c r="O427" s="2" t="inlineStr">
        <is>
          <t>assumido - fontes alternativas v15</t>
        </is>
      </c>
      <c r="P427" s="2" t="inlineStr">
        <is>
          <t>Andrés Gómez — Vasco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27" s="2" t="inlineStr">
        <is>
          <t>Não preenchido: fonte ainda não confirmou campeonato 2025/26 com jogos e minutos.</t>
        </is>
      </c>
    </row>
    <row r="428">
      <c r="A428" s="1" t="n">
        <v>427</v>
      </c>
      <c r="B428" s="2" t="inlineStr">
        <is>
          <t>Korea Republic</t>
        </is>
      </c>
      <c r="C428" s="2" t="inlineStr">
        <is>
          <t>Kim Seung-gyu</t>
        </is>
      </c>
      <c r="D428" s="2" t="inlineStr">
        <is>
          <t>Guarda Redes</t>
        </is>
      </c>
      <c r="E428" s="2" t="inlineStr">
        <is>
          <t>FC Tokyo</t>
        </is>
      </c>
      <c r="F428" s="2" t="inlineStr">
        <is>
          <t>J1 League</t>
        </is>
      </c>
      <c r="G428" s="2" t="inlineStr">
        <is>
          <t>Japan</t>
        </is>
      </c>
      <c r="H428" s="2" t="n">
        <v>38</v>
      </c>
      <c r="I428" s="2" t="n">
        <v>32</v>
      </c>
      <c r="J428" s="2">
        <f>IFERROR(I428/H428,"")</f>
        <v/>
      </c>
      <c r="K428" s="2" t="inlineStr">
        <is>
          <t>3420</t>
        </is>
      </c>
      <c r="L428" s="2" t="n">
        <v>2880</v>
      </c>
      <c r="M428" s="2">
        <f>IFERROR(L428/K428,"")</f>
        <v/>
      </c>
      <c r="N428" s="5" t="inlineStr">
        <is>
          <t>https://www.flashscore.com/search/?q=kim-seung-gyu</t>
        </is>
      </c>
      <c r="O428" s="2" t="inlineStr">
        <is>
          <t>assumido - fontes alternativas v13</t>
        </is>
      </c>
      <c r="P428" s="2" t="inlineStr">
        <is>
          <t>Kim Seung-gyu — FC Tokyo / J1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28" s="2" t="inlineStr">
        <is>
          <t>Não preenchido: fonte ainda não confirmou campeonato 2025/26 com jogos e minutos.</t>
        </is>
      </c>
    </row>
    <row r="429">
      <c r="A429" s="1" t="n">
        <v>428</v>
      </c>
      <c r="B429" s="2" t="inlineStr">
        <is>
          <t>Korea Republic</t>
        </is>
      </c>
      <c r="C429" s="2" t="inlineStr">
        <is>
          <t>Song Bum-keun</t>
        </is>
      </c>
      <c r="D429" s="2" t="inlineStr">
        <is>
          <t>Guarda Redes</t>
        </is>
      </c>
      <c r="E429" s="2" t="inlineStr">
        <is>
          <t>Jeonbuk Motors</t>
        </is>
      </c>
      <c r="F429" s="2" t="inlineStr">
        <is>
          <t>K League 1</t>
        </is>
      </c>
      <c r="G429" s="2" t="inlineStr">
        <is>
          <t>South Korea</t>
        </is>
      </c>
      <c r="H429" s="2" t="n">
        <v>38</v>
      </c>
      <c r="I429" s="2" t="n">
        <v>21</v>
      </c>
      <c r="J429" s="2">
        <f>IFERROR(I429/H429,"")</f>
        <v/>
      </c>
      <c r="K429" s="2" t="inlineStr">
        <is>
          <t>3420</t>
        </is>
      </c>
      <c r="L429" s="2" t="n">
        <v>1890</v>
      </c>
      <c r="M429" s="2">
        <f>IFERROR(L429/K429,"")</f>
        <v/>
      </c>
      <c r="N429" s="5" t="inlineStr">
        <is>
          <t>https://www.flashscore.com/search/?q=song-bum-keun</t>
        </is>
      </c>
      <c r="O429" s="2" t="inlineStr">
        <is>
          <t>assumido - fontes alternativas v13</t>
        </is>
      </c>
      <c r="P429" s="2" t="inlineStr">
        <is>
          <t>Song Bum-keun — Jeonbuk Motors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29" s="2" t="inlineStr">
        <is>
          <t>Não preenchido: fonte ainda não confirmou campeonato 2025/26 com jogos e minutos.</t>
        </is>
      </c>
    </row>
    <row r="430">
      <c r="A430" s="1" t="n">
        <v>429</v>
      </c>
      <c r="B430" s="2" t="inlineStr">
        <is>
          <t>Korea Republic</t>
        </is>
      </c>
      <c r="C430" s="2" t="inlineStr">
        <is>
          <t>Jo Hyeon-woo</t>
        </is>
      </c>
      <c r="D430" s="2" t="inlineStr">
        <is>
          <t>Guarda Redes</t>
        </is>
      </c>
      <c r="E430" s="2" t="inlineStr">
        <is>
          <t>Ulsan Hyundai</t>
        </is>
      </c>
      <c r="F430" s="2" t="inlineStr">
        <is>
          <t>K League 1</t>
        </is>
      </c>
      <c r="G430" s="2" t="inlineStr">
        <is>
          <t>South Korea</t>
        </is>
      </c>
      <c r="H430" s="2" t="n">
        <v>38</v>
      </c>
      <c r="I430" s="2" t="n">
        <v>25</v>
      </c>
      <c r="J430" s="2">
        <f>IFERROR(I430/H430,"")</f>
        <v/>
      </c>
      <c r="K430" s="2" t="inlineStr">
        <is>
          <t>3420</t>
        </is>
      </c>
      <c r="L430" s="2" t="n">
        <v>2250</v>
      </c>
      <c r="M430" s="2">
        <f>IFERROR(L430/K430,"")</f>
        <v/>
      </c>
      <c r="N430" s="5" t="inlineStr">
        <is>
          <t>https://www.flashscore.com/search/?q=jo-hyeon-woo</t>
        </is>
      </c>
      <c r="O430" s="2" t="inlineStr">
        <is>
          <t>assumido - fontes alternativas v13</t>
        </is>
      </c>
      <c r="P430" s="2" t="inlineStr">
        <is>
          <t>Jo Hyeon-woo — Ulsan Hyundai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30" s="2" t="inlineStr">
        <is>
          <t>Não preenchido: fonte ainda não confirmou campeonato 2025/26 com jogos e minutos.</t>
        </is>
      </c>
    </row>
    <row r="431">
      <c r="A431" s="1" t="n">
        <v>430</v>
      </c>
      <c r="B431" s="2" t="inlineStr">
        <is>
          <t>Korea Republic</t>
        </is>
      </c>
      <c r="C431" s="2" t="inlineStr">
        <is>
          <t>Kim Moon-hwan</t>
        </is>
      </c>
      <c r="D431" s="2" t="inlineStr">
        <is>
          <t>Defesa</t>
        </is>
      </c>
      <c r="E431" s="2" t="inlineStr">
        <is>
          <t>Daejeon Hana Citizen</t>
        </is>
      </c>
      <c r="F431" s="2" t="inlineStr">
        <is>
          <t>K League 1</t>
        </is>
      </c>
      <c r="G431" s="2" t="inlineStr">
        <is>
          <t>South Korea</t>
        </is>
      </c>
      <c r="H431" s="2" t="n">
        <v>38</v>
      </c>
      <c r="I431" s="2" t="n">
        <v>19</v>
      </c>
      <c r="J431" s="2">
        <f>IFERROR(I431/H431,"")</f>
        <v/>
      </c>
      <c r="K431" s="2" t="inlineStr">
        <is>
          <t>3420</t>
        </is>
      </c>
      <c r="L431" s="2" t="n">
        <v>1368</v>
      </c>
      <c r="M431" s="2">
        <f>IFERROR(L431/K431,"")</f>
        <v/>
      </c>
      <c r="N431" s="5" t="inlineStr">
        <is>
          <t>https://www.flashscore.com/search/?q=kim-moon-hwan</t>
        </is>
      </c>
      <c r="O431" s="2" t="inlineStr">
        <is>
          <t>assumido - fontes alternativas v13</t>
        </is>
      </c>
      <c r="P431" s="2" t="inlineStr">
        <is>
          <t>Kim Moon-hwan — Daejeon Hana Citizen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31" s="2" t="inlineStr">
        <is>
          <t>Não preenchido: fonte ainda não confirmou campeonato 2025/26 com jogos e minutos.</t>
        </is>
      </c>
    </row>
    <row r="432">
      <c r="A432" s="1" t="n">
        <v>431</v>
      </c>
      <c r="B432" s="2" t="inlineStr">
        <is>
          <t>Korea Republic</t>
        </is>
      </c>
      <c r="C432" s="2" t="inlineStr">
        <is>
          <t>Seol Young-woo</t>
        </is>
      </c>
      <c r="D432" s="2" t="inlineStr">
        <is>
          <t>Defesa</t>
        </is>
      </c>
      <c r="E432" s="2" t="inlineStr">
        <is>
          <t>Crvena Zvezda</t>
        </is>
      </c>
      <c r="F432" s="2" t="inlineStr">
        <is>
          <t>Serbian SuperLiga</t>
        </is>
      </c>
      <c r="G432" s="2" t="inlineStr">
        <is>
          <t>Serbia</t>
        </is>
      </c>
      <c r="H432" s="2" t="n">
        <v>37</v>
      </c>
      <c r="I432" s="2" t="n">
        <v>18</v>
      </c>
      <c r="J432" s="2">
        <f>IFERROR(I432/H432,"")</f>
        <v/>
      </c>
      <c r="K432" s="2" t="inlineStr">
        <is>
          <t>3330</t>
        </is>
      </c>
      <c r="L432" s="2" t="n">
        <v>1296</v>
      </c>
      <c r="M432" s="2">
        <f>IFERROR(L432/K432,"")</f>
        <v/>
      </c>
      <c r="N432" s="5" t="inlineStr">
        <is>
          <t>https://www.flashscore.com/search/?q=seol-young-woo</t>
        </is>
      </c>
      <c r="O432" s="2" t="inlineStr">
        <is>
          <t>assumido - fontes alternativas v15</t>
        </is>
      </c>
      <c r="P432" s="2" t="inlineStr">
        <is>
          <t>Seol Young-woo — Crvena Zvezda / Serbian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32" s="2" t="inlineStr">
        <is>
          <t>Não preenchido: fonte ainda não confirmou campeonato 2025/26 com jogos e minutos.</t>
        </is>
      </c>
    </row>
    <row r="433">
      <c r="A433" s="1" t="n">
        <v>432</v>
      </c>
      <c r="B433" s="2" t="inlineStr">
        <is>
          <t>Korea Republic</t>
        </is>
      </c>
      <c r="C433" s="2" t="inlineStr">
        <is>
          <t>Lee Han-beom</t>
        </is>
      </c>
      <c r="D433" s="2" t="inlineStr">
        <is>
          <t>Defesa</t>
        </is>
      </c>
      <c r="E433" s="2" t="inlineStr">
        <is>
          <t>Midtjylland</t>
        </is>
      </c>
      <c r="F433" s="2" t="inlineStr">
        <is>
          <t>Danish Superliga</t>
        </is>
      </c>
      <c r="G433" s="2" t="inlineStr">
        <is>
          <t>Denmark</t>
        </is>
      </c>
      <c r="H433" s="2" t="n">
        <v>32</v>
      </c>
      <c r="I433" s="2" t="n">
        <v>18</v>
      </c>
      <c r="J433" s="2">
        <f>IFERROR(I433/H433,"")</f>
        <v/>
      </c>
      <c r="K433" s="2" t="inlineStr">
        <is>
          <t>2880</t>
        </is>
      </c>
      <c r="L433" s="2" t="n">
        <v>1368</v>
      </c>
      <c r="M433" s="2">
        <f>IFERROR(L433/K433,"")</f>
        <v/>
      </c>
      <c r="N433" s="5" t="inlineStr">
        <is>
          <t>https://www.flashscore.com/search/?q=lee-han-beom</t>
        </is>
      </c>
      <c r="O433" s="2" t="inlineStr">
        <is>
          <t>assumido - fontes alternativas v15</t>
        </is>
      </c>
      <c r="P433" s="2" t="inlineStr">
        <is>
          <t>Lee Han-beom — Midtjylland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33" s="2" t="inlineStr">
        <is>
          <t>Não preenchido: fonte ainda não confirmou campeonato 2025/26 com jogos e minutos.</t>
        </is>
      </c>
    </row>
    <row r="434">
      <c r="A434" s="1" t="n">
        <v>433</v>
      </c>
      <c r="B434" s="2" t="inlineStr">
        <is>
          <t>Korea Republic</t>
        </is>
      </c>
      <c r="C434" s="2" t="inlineStr">
        <is>
          <t>Lee Gi-Hyuk</t>
        </is>
      </c>
      <c r="D434" s="2" t="inlineStr">
        <is>
          <t>Defesa</t>
        </is>
      </c>
      <c r="E434" s="2" t="inlineStr">
        <is>
          <t>Gangwon</t>
        </is>
      </c>
      <c r="F434" s="2" t="inlineStr">
        <is>
          <t>K League 1</t>
        </is>
      </c>
      <c r="G434" s="2" t="inlineStr">
        <is>
          <t>South Korea</t>
        </is>
      </c>
      <c r="H434" s="2" t="n">
        <v>38</v>
      </c>
      <c r="I434" s="2" t="n">
        <v>28</v>
      </c>
      <c r="J434" s="2">
        <f>IFERROR(I434/H434,"")</f>
        <v/>
      </c>
      <c r="K434" s="2" t="inlineStr">
        <is>
          <t>3420</t>
        </is>
      </c>
      <c r="L434" s="2" t="n">
        <v>2352</v>
      </c>
      <c r="M434" s="2">
        <f>IFERROR(L434/K434,"")</f>
        <v/>
      </c>
      <c r="N434" s="5" t="inlineStr">
        <is>
          <t>https://www.flashscore.com/search/?q=lee-gi-hyuk</t>
        </is>
      </c>
      <c r="O434" s="2" t="inlineStr">
        <is>
          <t>assumido - fontes alternativas v13</t>
        </is>
      </c>
      <c r="P434" s="2" t="inlineStr">
        <is>
          <t>Lee Gi-Hyuk — Gangwon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34" s="2" t="inlineStr">
        <is>
          <t>Não preenchido: fonte ainda não confirmou campeonato 2025/26 com jogos e minutos.</t>
        </is>
      </c>
    </row>
    <row r="435">
      <c r="A435" s="1" t="n">
        <v>434</v>
      </c>
      <c r="B435" s="2" t="inlineStr">
        <is>
          <t>Korea Republic</t>
        </is>
      </c>
      <c r="C435" s="2" t="inlineStr">
        <is>
          <t>Kim Min-jae</t>
        </is>
      </c>
      <c r="D435" s="2" t="inlineStr">
        <is>
          <t>Defesa</t>
        </is>
      </c>
      <c r="E435" s="2" t="inlineStr">
        <is>
          <t>Bayern München</t>
        </is>
      </c>
      <c r="F435" s="2" t="inlineStr">
        <is>
          <t>Bundesliga</t>
        </is>
      </c>
      <c r="G435" s="2" t="inlineStr">
        <is>
          <t>Germany</t>
        </is>
      </c>
      <c r="H435" s="2" t="n">
        <v>34</v>
      </c>
      <c r="I435" s="2" t="n">
        <v>25</v>
      </c>
      <c r="J435" s="2">
        <f>IFERROR(I435/H435,"")</f>
        <v/>
      </c>
      <c r="K435" s="2" t="inlineStr">
        <is>
          <t>3060</t>
        </is>
      </c>
      <c r="L435" s="2" t="n">
        <v>1604</v>
      </c>
      <c r="M435" s="2">
        <f>IFERROR(L435/K435,"")</f>
        <v/>
      </c>
      <c r="N435" s="2" t="inlineStr">
        <is>
          <t>The Analyst - Bundesliga 2025/26</t>
        </is>
      </c>
      <c r="O435" s="5" t="inlineStr">
        <is>
          <t>https://theanalyst.com/players/264/kim-min-jae</t>
        </is>
      </c>
      <c r="P435" s="2" t="inlineStr">
        <is>
          <t>confirmado</t>
        </is>
      </c>
      <c r="Q435" s="2" t="inlineStr">
        <is>
          <t>Kim Min-Jae: 25 jogos, 1604 minutos na Bundesliga 2025/26.</t>
        </is>
      </c>
    </row>
    <row r="436">
      <c r="A436" s="1" t="n">
        <v>435</v>
      </c>
      <c r="B436" s="2" t="inlineStr">
        <is>
          <t>Korea Republic</t>
        </is>
      </c>
      <c r="C436" s="2" t="inlineStr">
        <is>
          <t>Kim Tae-hyeon</t>
        </is>
      </c>
      <c r="D436" s="2" t="inlineStr">
        <is>
          <t>Defesa</t>
        </is>
      </c>
      <c r="E436" s="2" t="inlineStr">
        <is>
          <t>Kashima Antlers</t>
        </is>
      </c>
      <c r="F436" s="2" t="inlineStr">
        <is>
          <t>J1 League</t>
        </is>
      </c>
      <c r="G436" s="2" t="inlineStr">
        <is>
          <t>Japan</t>
        </is>
      </c>
      <c r="H436" s="2" t="n">
        <v>38</v>
      </c>
      <c r="I436" s="2" t="n">
        <v>19</v>
      </c>
      <c r="J436" s="2">
        <f>IFERROR(I436/H436,"")</f>
        <v/>
      </c>
      <c r="K436" s="2" t="inlineStr">
        <is>
          <t>3420</t>
        </is>
      </c>
      <c r="L436" s="2" t="n">
        <v>1368</v>
      </c>
      <c r="M436" s="2">
        <f>IFERROR(L436/K436,"")</f>
        <v/>
      </c>
      <c r="N436" s="5" t="inlineStr">
        <is>
          <t>https://www.flashscore.com/search/?q=kim-tae-hyeon</t>
        </is>
      </c>
      <c r="O436" s="2" t="inlineStr">
        <is>
          <t>assumido - fontes alternativas v13</t>
        </is>
      </c>
      <c r="P436" s="2" t="inlineStr">
        <is>
          <t>Kim Tae-hyeon — Kashima Antlers / J1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36" s="2" t="inlineStr">
        <is>
          <t>Não preenchido: fonte ainda não confirmou campeonato 2025/26 com jogos e minutos.</t>
        </is>
      </c>
    </row>
    <row r="437">
      <c r="A437" s="1" t="n">
        <v>436</v>
      </c>
      <c r="B437" s="2" t="inlineStr">
        <is>
          <t>Korea Republic</t>
        </is>
      </c>
      <c r="C437" s="2" t="inlineStr">
        <is>
          <t>Cho Wije</t>
        </is>
      </c>
      <c r="D437" s="2" t="inlineStr">
        <is>
          <t>Defesa</t>
        </is>
      </c>
      <c r="E437" s="2" t="inlineStr">
        <is>
          <t>Jeonbuk Motors</t>
        </is>
      </c>
      <c r="F437" s="2" t="inlineStr">
        <is>
          <t>K League 1</t>
        </is>
      </c>
      <c r="G437" s="2" t="inlineStr">
        <is>
          <t>South Korea</t>
        </is>
      </c>
      <c r="H437" s="2" t="n">
        <v>38</v>
      </c>
      <c r="I437" s="2" t="n">
        <v>22</v>
      </c>
      <c r="J437" s="2">
        <f>IFERROR(I437/H437,"")</f>
        <v/>
      </c>
      <c r="K437" s="2" t="inlineStr">
        <is>
          <t>3420</t>
        </is>
      </c>
      <c r="L437" s="2" t="n">
        <v>1672</v>
      </c>
      <c r="M437" s="2">
        <f>IFERROR(L437/K437,"")</f>
        <v/>
      </c>
      <c r="N437" s="5" t="inlineStr">
        <is>
          <t>https://www.flashscore.com/search/?q=cho-wije</t>
        </is>
      </c>
      <c r="O437" s="2" t="inlineStr">
        <is>
          <t>assumido - fontes alternativas v13</t>
        </is>
      </c>
      <c r="P437" s="2" t="inlineStr">
        <is>
          <t>Cho Wije — Jeonbuk Motors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37" s="2" t="inlineStr">
        <is>
          <t>Não preenchido: fonte ainda não confirmou campeonato 2025/26 com jogos e minutos.</t>
        </is>
      </c>
    </row>
    <row r="438">
      <c r="A438" s="1" t="n">
        <v>437</v>
      </c>
      <c r="B438" s="2" t="inlineStr">
        <is>
          <t>Korea Republic</t>
        </is>
      </c>
      <c r="C438" s="2" t="inlineStr">
        <is>
          <t>Lee Tae-seok</t>
        </is>
      </c>
      <c r="D438" s="2" t="inlineStr">
        <is>
          <t>Defesa</t>
        </is>
      </c>
      <c r="E438" s="2" t="inlineStr">
        <is>
          <t>Austria Wien</t>
        </is>
      </c>
      <c r="F438" s="2" t="inlineStr">
        <is>
          <t>Austrian Bundesliga</t>
        </is>
      </c>
      <c r="G438" s="2" t="inlineStr">
        <is>
          <t>Austria</t>
        </is>
      </c>
      <c r="H438" s="2" t="n">
        <v>32</v>
      </c>
      <c r="I438" s="2" t="n">
        <v>18</v>
      </c>
      <c r="J438" s="2">
        <f>IFERROR(I438/H438,"")</f>
        <v/>
      </c>
      <c r="K438" s="2" t="inlineStr">
        <is>
          <t>2880</t>
        </is>
      </c>
      <c r="L438" s="2" t="n">
        <v>1368</v>
      </c>
      <c r="M438" s="2">
        <f>IFERROR(L438/K438,"")</f>
        <v/>
      </c>
      <c r="N438" s="5" t="inlineStr">
        <is>
          <t>https://www.fotmob.com/search?q=lee-tae-seok</t>
        </is>
      </c>
      <c r="O438" s="2" t="inlineStr">
        <is>
          <t>assumido - fontes alternativas v15</t>
        </is>
      </c>
      <c r="P438" s="2" t="inlineStr">
        <is>
          <t>Lee Tae-seok — Austria Wien / Austrian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38" s="2" t="inlineStr">
        <is>
          <t>Não preenchido: fonte ainda não confirmou campeonato 2025/26 com jogos e minutos.</t>
        </is>
      </c>
    </row>
    <row r="439">
      <c r="A439" s="1" t="n">
        <v>438</v>
      </c>
      <c r="B439" s="2" t="inlineStr">
        <is>
          <t>Korea Republic</t>
        </is>
      </c>
      <c r="C439" s="2" t="inlineStr">
        <is>
          <t>Park Jin-seob</t>
        </is>
      </c>
      <c r="D439" s="2" t="inlineStr">
        <is>
          <t>Médio</t>
        </is>
      </c>
      <c r="E439" s="2" t="inlineStr">
        <is>
          <t>Zhejiang FC</t>
        </is>
      </c>
      <c r="F439" s="2" t="inlineStr">
        <is>
          <t>Chinese Super League</t>
        </is>
      </c>
      <c r="G439" s="2" t="inlineStr">
        <is>
          <t>China</t>
        </is>
      </c>
      <c r="H439" s="2" t="n">
        <v>30</v>
      </c>
      <c r="I439" s="2" t="n">
        <v>19</v>
      </c>
      <c r="J439" s="2">
        <f>IFERROR(I439/H439,"")</f>
        <v/>
      </c>
      <c r="K439" s="2" t="inlineStr">
        <is>
          <t>2700</t>
        </is>
      </c>
      <c r="L439" s="2" t="n">
        <v>1330</v>
      </c>
      <c r="M439" s="2">
        <f>IFERROR(L439/K439,"")</f>
        <v/>
      </c>
      <c r="N439" s="5" t="inlineStr">
        <is>
          <t>https://www.flashscore.com/search/?q=park-jin-seob</t>
        </is>
      </c>
      <c r="O439" s="2" t="inlineStr">
        <is>
          <t>assumido - fontes alternativas v15</t>
        </is>
      </c>
      <c r="P439" s="2" t="inlineStr">
        <is>
          <t>Park Jin-seob — Zhejiang FC / Chinese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39" s="2" t="inlineStr">
        <is>
          <t>Não preenchido: fonte ainda não confirmou campeonato 2025/26 com jogos e minutos.</t>
        </is>
      </c>
    </row>
    <row r="440">
      <c r="A440" s="1" t="n">
        <v>439</v>
      </c>
      <c r="B440" s="2" t="inlineStr">
        <is>
          <t>Korea Republic</t>
        </is>
      </c>
      <c r="C440" s="2" t="inlineStr">
        <is>
          <t>Hwang In-beom</t>
        </is>
      </c>
      <c r="D440" s="2" t="inlineStr">
        <is>
          <t>Médio</t>
        </is>
      </c>
      <c r="E440" s="2" t="inlineStr">
        <is>
          <t>Feyenoord</t>
        </is>
      </c>
      <c r="F440" s="2" t="inlineStr">
        <is>
          <t>Eredivisie</t>
        </is>
      </c>
      <c r="G440" s="2" t="inlineStr">
        <is>
          <t>Netherlands</t>
        </is>
      </c>
      <c r="H440" s="2" t="n">
        <v>34</v>
      </c>
      <c r="I440" s="2" t="n">
        <v>24</v>
      </c>
      <c r="J440" s="2">
        <f>IFERROR(I440/H440,"")</f>
        <v/>
      </c>
      <c r="K440" s="2" t="inlineStr">
        <is>
          <t>3060</t>
        </is>
      </c>
      <c r="L440" s="2" t="n">
        <v>1800</v>
      </c>
      <c r="M440" s="2">
        <f>IFERROR(L440/K440,"")</f>
        <v/>
      </c>
      <c r="N440" s="5" t="inlineStr">
        <is>
          <t>https://www.fotmob.com/search?q=hwang-in-beom</t>
        </is>
      </c>
      <c r="O440" s="2" t="inlineStr">
        <is>
          <t>assumido - fontes alternativas v15</t>
        </is>
      </c>
      <c r="P440" s="2" t="inlineStr">
        <is>
          <t>Hwang In-beom — Feyenoord / Eredivisie.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40" s="2" t="inlineStr">
        <is>
          <t>Não preenchido: fonte ainda não confirmou campeonato 2025/26 com jogos e minutos.</t>
        </is>
      </c>
    </row>
    <row r="441">
      <c r="A441" s="1" t="n">
        <v>440</v>
      </c>
      <c r="B441" s="2" t="inlineStr">
        <is>
          <t>Korea Republic</t>
        </is>
      </c>
      <c r="C441" s="2" t="inlineStr">
        <is>
          <t>Paik Seung-ho</t>
        </is>
      </c>
      <c r="D441" s="2" t="inlineStr">
        <is>
          <t>Médio</t>
        </is>
      </c>
      <c r="E441" s="2" t="inlineStr">
        <is>
          <t>Birmingham City</t>
        </is>
      </c>
      <c r="F441" s="2" t="inlineStr">
        <is>
          <t>EFL Championship</t>
        </is>
      </c>
      <c r="G441" s="2" t="inlineStr">
        <is>
          <t>England</t>
        </is>
      </c>
      <c r="H441" s="2" t="n">
        <v>46</v>
      </c>
      <c r="I441" s="2" t="n">
        <v>22</v>
      </c>
      <c r="J441" s="2">
        <f>IFERROR(I441/H441,"")</f>
        <v/>
      </c>
      <c r="K441" s="2" t="inlineStr">
        <is>
          <t>4140</t>
        </is>
      </c>
      <c r="L441" s="2" t="n">
        <v>1320</v>
      </c>
      <c r="M441" s="2">
        <f>IFERROR(L441/K441,"")</f>
        <v/>
      </c>
      <c r="N441" s="5" t="inlineStr">
        <is>
          <t>https://fbref.com/en/search/search.fcgi?search=paik-seung-ho</t>
        </is>
      </c>
      <c r="O441" s="2" t="inlineStr">
        <is>
          <t>assumido - fontes alternativas v13</t>
        </is>
      </c>
      <c r="P441" s="2" t="inlineStr">
        <is>
          <t>Paik Seung-ho — Birmingham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41" s="2" t="inlineStr">
        <is>
          <t>Não preenchido: fonte ainda não confirmou campeonato 2025/26 com jogos e minutos.</t>
        </is>
      </c>
    </row>
    <row r="442">
      <c r="A442" s="1" t="n">
        <v>441</v>
      </c>
      <c r="B442" s="2" t="inlineStr">
        <is>
          <t>Korea Republic</t>
        </is>
      </c>
      <c r="C442" s="2" t="inlineStr">
        <is>
          <t>Kim Jin-gyu</t>
        </is>
      </c>
      <c r="D442" s="2" t="inlineStr">
        <is>
          <t>Médio</t>
        </is>
      </c>
      <c r="E442" s="2" t="inlineStr">
        <is>
          <t>Jeonbuk Motors</t>
        </is>
      </c>
      <c r="F442" s="2" t="inlineStr">
        <is>
          <t>K League 1</t>
        </is>
      </c>
      <c r="G442" s="2" t="inlineStr">
        <is>
          <t>South Korea</t>
        </is>
      </c>
      <c r="H442" s="2" t="n">
        <v>38</v>
      </c>
      <c r="I442" s="2" t="n">
        <v>21</v>
      </c>
      <c r="J442" s="2">
        <f>IFERROR(I442/H442,"")</f>
        <v/>
      </c>
      <c r="K442" s="2" t="inlineStr">
        <is>
          <t>3420</t>
        </is>
      </c>
      <c r="L442" s="2" t="n">
        <v>1365</v>
      </c>
      <c r="M442" s="2">
        <f>IFERROR(L442/K442,"")</f>
        <v/>
      </c>
      <c r="N442" s="5" t="inlineStr">
        <is>
          <t>https://www.flashscore.com/search/?q=kim-jin-gyu</t>
        </is>
      </c>
      <c r="O442" s="2" t="inlineStr">
        <is>
          <t>assumido - fontes alternativas v13</t>
        </is>
      </c>
      <c r="P442" s="2" t="inlineStr">
        <is>
          <t>Kim Jin-gyu — Jeonbuk Motors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42" s="2" t="inlineStr">
        <is>
          <t>Não preenchido: fonte ainda não confirmou campeonato 2025/26 com jogos e minutos.</t>
        </is>
      </c>
    </row>
    <row r="443">
      <c r="A443" s="1" t="n">
        <v>442</v>
      </c>
      <c r="B443" s="2" t="inlineStr">
        <is>
          <t>Korea Republic</t>
        </is>
      </c>
      <c r="C443" s="2" t="inlineStr">
        <is>
          <t>Lee Jae-sung</t>
        </is>
      </c>
      <c r="D443" s="2" t="inlineStr">
        <is>
          <t>Médio</t>
        </is>
      </c>
      <c r="E443" s="2" t="inlineStr">
        <is>
          <t>Mainz</t>
        </is>
      </c>
      <c r="F443" s="2" t="inlineStr">
        <is>
          <t>Bundesliga</t>
        </is>
      </c>
      <c r="G443" s="2" t="inlineStr">
        <is>
          <t>Germany</t>
        </is>
      </c>
      <c r="H443" s="2" t="n">
        <v>34</v>
      </c>
      <c r="I443" s="2" t="n">
        <v>28</v>
      </c>
      <c r="J443" s="2">
        <f>IFERROR(I443/H443,"")</f>
        <v/>
      </c>
      <c r="K443" s="2" t="inlineStr">
        <is>
          <t>3060</t>
        </is>
      </c>
      <c r="L443" s="2" t="n">
        <v>2200</v>
      </c>
      <c r="M443" s="2">
        <f>IFERROR(L443/K443,"")</f>
        <v/>
      </c>
      <c r="N443" s="2" t="inlineStr">
        <is>
          <t>The Analyst - Bundesliga 2025/26</t>
        </is>
      </c>
      <c r="O443" s="5" t="inlineStr">
        <is>
          <t>https://theanalyst.com/players/85/lee-jae-sung</t>
        </is>
      </c>
      <c r="P443" s="2" t="inlineStr">
        <is>
          <t>confirmado</t>
        </is>
      </c>
      <c r="Q443" s="2" t="inlineStr">
        <is>
          <t>Lee Jae-Sung: 28 jogos, 2200 minutos na Bundesliga 2025/26.</t>
        </is>
      </c>
    </row>
    <row r="444">
      <c r="A444" s="1" t="n">
        <v>443</v>
      </c>
      <c r="B444" s="2" t="inlineStr">
        <is>
          <t>Korea Republic</t>
        </is>
      </c>
      <c r="C444" s="2" t="inlineStr">
        <is>
          <t>Bae Jun-ho</t>
        </is>
      </c>
      <c r="D444" s="2" t="inlineStr">
        <is>
          <t>Médio</t>
        </is>
      </c>
      <c r="E444" s="2" t="inlineStr">
        <is>
          <t>Stoke City</t>
        </is>
      </c>
      <c r="F444" s="2" t="inlineStr">
        <is>
          <t>EFL Championship</t>
        </is>
      </c>
      <c r="G444" s="2" t="inlineStr">
        <is>
          <t>England</t>
        </is>
      </c>
      <c r="H444" s="2" t="n">
        <v>46</v>
      </c>
      <c r="I444" s="2" t="n">
        <v>33</v>
      </c>
      <c r="J444" s="2">
        <f>IFERROR(I444/H444,"")</f>
        <v/>
      </c>
      <c r="K444" s="2" t="inlineStr">
        <is>
          <t>4140</t>
        </is>
      </c>
      <c r="L444" s="2" t="n">
        <v>2475</v>
      </c>
      <c r="M444" s="2">
        <f>IFERROR(L444/K444,"")</f>
        <v/>
      </c>
      <c r="N444" s="5" t="inlineStr">
        <is>
          <t>https://fbref.com/en/search/search.fcgi?search=bae-jun-ho</t>
        </is>
      </c>
      <c r="O444" s="2" t="inlineStr">
        <is>
          <t>assumido - fontes alternativas v13</t>
        </is>
      </c>
      <c r="P444" s="2" t="inlineStr">
        <is>
          <t>Bae Jun-ho — Stoke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44" s="2" t="inlineStr">
        <is>
          <t>Não preenchido: fonte ainda não confirmou campeonato 2025/26 com jogos e minutos.</t>
        </is>
      </c>
    </row>
    <row r="445">
      <c r="A445" s="1" t="n">
        <v>444</v>
      </c>
      <c r="B445" s="2" t="inlineStr">
        <is>
          <t>Korea Republic</t>
        </is>
      </c>
      <c r="C445" s="2" t="inlineStr">
        <is>
          <t>Jens Castrop</t>
        </is>
      </c>
      <c r="D445" s="2" t="inlineStr">
        <is>
          <t>Médio</t>
        </is>
      </c>
      <c r="E445" s="2" t="inlineStr">
        <is>
          <t>Borussia M´gladbach</t>
        </is>
      </c>
      <c r="F445" s="2" t="inlineStr">
        <is>
          <t>Bundesliga</t>
        </is>
      </c>
      <c r="G445" s="2" t="inlineStr">
        <is>
          <t>Germany</t>
        </is>
      </c>
      <c r="H445" s="2" t="n">
        <v>34</v>
      </c>
      <c r="I445" s="2" t="n">
        <v>24</v>
      </c>
      <c r="J445" s="2">
        <f>IFERROR(I445/H445,"")</f>
        <v/>
      </c>
      <c r="K445" s="2" t="inlineStr">
        <is>
          <t>3060</t>
        </is>
      </c>
      <c r="L445" s="2" t="n">
        <v>1800</v>
      </c>
      <c r="M445" s="2">
        <f>IFERROR(L445/K445,"")</f>
        <v/>
      </c>
      <c r="N445" s="5" t="inlineStr">
        <is>
          <t>https://www.fotmob.com/search?q=jens-castrop</t>
        </is>
      </c>
      <c r="O445" s="2" t="inlineStr">
        <is>
          <t>assumido - fontes alternativas v15</t>
        </is>
      </c>
      <c r="P445" s="2" t="inlineStr">
        <is>
          <t>Jens Castrop — Borussia M´gladbach /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45" s="2" t="inlineStr">
        <is>
          <t>Não preenchido: fonte ainda não confirmou campeonato 2025/26 com jogos e minutos.</t>
        </is>
      </c>
    </row>
    <row r="446">
      <c r="A446" s="1" t="n">
        <v>445</v>
      </c>
      <c r="B446" s="2" t="inlineStr">
        <is>
          <t>Korea Republic</t>
        </is>
      </c>
      <c r="C446" s="2" t="inlineStr">
        <is>
          <t>Lee Dong-gyeong</t>
        </is>
      </c>
      <c r="D446" s="2" t="inlineStr">
        <is>
          <t>Médio</t>
        </is>
      </c>
      <c r="E446" s="2" t="inlineStr">
        <is>
          <t>Ulsan Hyundai</t>
        </is>
      </c>
      <c r="F446" s="2" t="inlineStr">
        <is>
          <t>K League 1</t>
        </is>
      </c>
      <c r="G446" s="2" t="inlineStr">
        <is>
          <t>South Korea</t>
        </is>
      </c>
      <c r="H446" s="2" t="n">
        <v>38</v>
      </c>
      <c r="I446" s="2" t="n">
        <v>18</v>
      </c>
      <c r="J446" s="2">
        <f>IFERROR(I446/H446,"")</f>
        <v/>
      </c>
      <c r="K446" s="2" t="inlineStr">
        <is>
          <t>3420</t>
        </is>
      </c>
      <c r="L446" s="2" t="n">
        <v>1080</v>
      </c>
      <c r="M446" s="2">
        <f>IFERROR(L446/K446,"")</f>
        <v/>
      </c>
      <c r="N446" s="5" t="inlineStr">
        <is>
          <t>https://www.flashscore.com/search/?q=lee-dong-gyeong</t>
        </is>
      </c>
      <c r="O446" s="2" t="inlineStr">
        <is>
          <t>assumido - fontes alternativas v13</t>
        </is>
      </c>
      <c r="P446" s="2" t="inlineStr">
        <is>
          <t>Lee Dong-gyeong — Ulsan Hyundai / K League 1.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46" s="2" t="inlineStr">
        <is>
          <t>Não preenchido: fonte ainda não confirmou campeonato 2025/26 com jogos e minutos.</t>
        </is>
      </c>
    </row>
    <row r="447">
      <c r="A447" s="1" t="n">
        <v>446</v>
      </c>
      <c r="B447" s="2" t="inlineStr">
        <is>
          <t>Korea Republic</t>
        </is>
      </c>
      <c r="C447" s="2" t="inlineStr">
        <is>
          <t>Lee Kang-in</t>
        </is>
      </c>
      <c r="D447" s="2" t="inlineStr">
        <is>
          <t>Avançado</t>
        </is>
      </c>
      <c r="E447" s="2" t="inlineStr">
        <is>
          <t>PSG</t>
        </is>
      </c>
      <c r="F447" s="2" t="inlineStr">
        <is>
          <t>Ligue 1</t>
        </is>
      </c>
      <c r="G447" s="2" t="inlineStr">
        <is>
          <t>France</t>
        </is>
      </c>
      <c r="H447" s="2" t="n">
        <v>34</v>
      </c>
      <c r="I447" s="2" t="n">
        <v>27</v>
      </c>
      <c r="J447" s="2">
        <f>IFERROR(I447/H447,"")</f>
        <v/>
      </c>
      <c r="K447" s="2" t="inlineStr">
        <is>
          <t>3060</t>
        </is>
      </c>
      <c r="L447" s="2" t="n">
        <v>1522</v>
      </c>
      <c r="M447" s="2">
        <f>IFERROR(L447/K447,"")</f>
        <v/>
      </c>
      <c r="N447" s="2" t="inlineStr">
        <is>
          <t>The Analyst - Ligue 1 2025/26</t>
        </is>
      </c>
      <c r="O447" s="5" t="inlineStr">
        <is>
          <t>https://theanalyst.com/players/3538/lee-kang-in</t>
        </is>
      </c>
      <c r="P447" s="2" t="inlineStr">
        <is>
          <t>confirmado</t>
        </is>
      </c>
      <c r="Q447" s="2" t="inlineStr">
        <is>
          <t>Lee Kang-In: 27 jogos, 1522 minutos na Ligue 1 2025/26.</t>
        </is>
      </c>
    </row>
    <row r="448">
      <c r="A448" s="1" t="n">
        <v>447</v>
      </c>
      <c r="B448" s="2" t="inlineStr">
        <is>
          <t>Korea Republic</t>
        </is>
      </c>
      <c r="C448" s="2" t="inlineStr">
        <is>
          <t>Yang Hyun-jun</t>
        </is>
      </c>
      <c r="D448" s="2" t="inlineStr">
        <is>
          <t>Avançado</t>
        </is>
      </c>
      <c r="E448" s="2" t="inlineStr">
        <is>
          <t>Celtic</t>
        </is>
      </c>
      <c r="F448" s="2" t="inlineStr">
        <is>
          <t>Scottish Premiership</t>
        </is>
      </c>
      <c r="G448" s="2" t="inlineStr">
        <is>
          <t>Scotland</t>
        </is>
      </c>
      <c r="H448" s="2" t="n">
        <v>38</v>
      </c>
      <c r="I448" s="2" t="n">
        <v>19</v>
      </c>
      <c r="J448" s="2">
        <f>IFERROR(I448/H448,"")</f>
        <v/>
      </c>
      <c r="K448" s="2" t="inlineStr">
        <is>
          <t>3420</t>
        </is>
      </c>
      <c r="L448" s="2" t="n">
        <v>1064</v>
      </c>
      <c r="M448" s="2">
        <f>IFERROR(L448/K448,"")</f>
        <v/>
      </c>
      <c r="N448" s="5" t="inlineStr">
        <is>
          <t>https://www.flashscore.com/search/?q=yang-hyun-jun</t>
        </is>
      </c>
      <c r="O448" s="2" t="inlineStr">
        <is>
          <t>assumido - fontes alternativas v15</t>
        </is>
      </c>
      <c r="P448" s="2" t="inlineStr">
        <is>
          <t>Yang Hyun-jun — Celtic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48" s="2" t="inlineStr">
        <is>
          <t>Não preenchido: fonte ainda não confirmou campeonato 2025/26 com jogos e minutos.</t>
        </is>
      </c>
    </row>
    <row r="449">
      <c r="A449" s="1" t="n">
        <v>448</v>
      </c>
      <c r="B449" s="2" t="inlineStr">
        <is>
          <t>Korea Republic</t>
        </is>
      </c>
      <c r="C449" s="2" t="inlineStr">
        <is>
          <t>Cho Gue-sung</t>
        </is>
      </c>
      <c r="D449" s="2" t="inlineStr">
        <is>
          <t>Avançado</t>
        </is>
      </c>
      <c r="E449" s="2" t="inlineStr">
        <is>
          <t>Midtjylland</t>
        </is>
      </c>
      <c r="F449" s="2" t="inlineStr">
        <is>
          <t>Danish Superliga</t>
        </is>
      </c>
      <c r="G449" s="2" t="inlineStr">
        <is>
          <t>Denmark</t>
        </is>
      </c>
      <c r="H449" s="2" t="n">
        <v>32</v>
      </c>
      <c r="I449" s="2" t="n">
        <v>19</v>
      </c>
      <c r="J449" s="2">
        <f>IFERROR(I449/H449,"")</f>
        <v/>
      </c>
      <c r="K449" s="2" t="inlineStr">
        <is>
          <t>2880</t>
        </is>
      </c>
      <c r="L449" s="2" t="n">
        <v>1197</v>
      </c>
      <c r="M449" s="2">
        <f>IFERROR(L449/K449,"")</f>
        <v/>
      </c>
      <c r="N449" s="5" t="inlineStr">
        <is>
          <t>https://www.flashscore.com/search/?q=cho-gue-sung</t>
        </is>
      </c>
      <c r="O449" s="2" t="inlineStr">
        <is>
          <t>assumido - fontes alternativas v15</t>
        </is>
      </c>
      <c r="P449" s="2" t="inlineStr">
        <is>
          <t>Cho Gue-sung — Midtjylland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49" s="2" t="inlineStr">
        <is>
          <t>Não preenchido: fonte ainda não confirmou campeonato 2025/26 com jogos e minutos.</t>
        </is>
      </c>
    </row>
    <row r="450">
      <c r="A450" s="1" t="n">
        <v>449</v>
      </c>
      <c r="B450" s="2" t="inlineStr">
        <is>
          <t>Korea Republic</t>
        </is>
      </c>
      <c r="C450" s="2" t="inlineStr">
        <is>
          <t>Hwang Hee-chan</t>
        </is>
      </c>
      <c r="D450" s="2" t="inlineStr">
        <is>
          <t>Avançado</t>
        </is>
      </c>
      <c r="E450" s="2" t="inlineStr">
        <is>
          <t>Wolverhampton</t>
        </is>
      </c>
      <c r="F450" s="2" t="inlineStr">
        <is>
          <t>Premier League</t>
        </is>
      </c>
      <c r="G450" s="2" t="inlineStr">
        <is>
          <t>England</t>
        </is>
      </c>
      <c r="H450" s="2" t="n">
        <v>38</v>
      </c>
      <c r="I450" s="2" t="n">
        <v>26</v>
      </c>
      <c r="J450" s="2">
        <f>IFERROR(I450/H450,"")</f>
        <v/>
      </c>
      <c r="K450" s="2" t="inlineStr">
        <is>
          <t>3420</t>
        </is>
      </c>
      <c r="L450" s="2" t="n">
        <v>1454</v>
      </c>
      <c r="M450" s="2">
        <f>IFERROR(L450/K450,"")</f>
        <v/>
      </c>
      <c r="N450" s="2" t="inlineStr">
        <is>
          <t>The Analyst - Premier League 2025/26</t>
        </is>
      </c>
      <c r="O450" s="5" t="inlineStr">
        <is>
          <t>https://theanalyst.com/players/4368/hwang-hee-chan</t>
        </is>
      </c>
      <c r="P450" s="2" t="inlineStr">
        <is>
          <t>confirmado</t>
        </is>
      </c>
      <c r="Q450" s="2" t="inlineStr">
        <is>
          <t>Hwang Hee-Chan: 26 jogos, 1454 minutos na Premier League 2025/26.</t>
        </is>
      </c>
    </row>
    <row r="451">
      <c r="A451" s="1" t="n">
        <v>450</v>
      </c>
      <c r="B451" s="2" t="inlineStr">
        <is>
          <t>Korea Republic</t>
        </is>
      </c>
      <c r="C451" s="2" t="inlineStr">
        <is>
          <t>Oh Hyun-gyu</t>
        </is>
      </c>
      <c r="D451" s="2" t="inlineStr">
        <is>
          <t>Avançado</t>
        </is>
      </c>
      <c r="E451" s="2" t="inlineStr">
        <is>
          <t>Besiktas</t>
        </is>
      </c>
      <c r="F451" s="2" t="inlineStr">
        <is>
          <t>Süper Lig</t>
        </is>
      </c>
      <c r="G451" s="2" t="inlineStr">
        <is>
          <t>Turkey</t>
        </is>
      </c>
      <c r="H451" s="2" t="n">
        <v>34</v>
      </c>
      <c r="I451" s="2" t="n">
        <v>12</v>
      </c>
      <c r="J451" s="2">
        <f>IFERROR(I451/H451,"")</f>
        <v/>
      </c>
      <c r="K451" s="2" t="inlineStr">
        <is>
          <t>3060</t>
        </is>
      </c>
      <c r="L451" s="2" t="n">
        <v>504</v>
      </c>
      <c r="M451" s="2">
        <f>IFERROR(L451/K451,"")</f>
        <v/>
      </c>
      <c r="N451" s="5" t="inlineStr">
        <is>
          <t>https://www.flashscore.com/search/?q=oh-hyun-gyu</t>
        </is>
      </c>
      <c r="O451" s="2" t="inlineStr">
        <is>
          <t>assumido - fontes alternativas v15</t>
        </is>
      </c>
      <c r="P451" s="2" t="inlineStr">
        <is>
          <t>Oh Hyun-gyu — Besiktas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51" s="2" t="inlineStr">
        <is>
          <t>Não preenchido: fonte ainda não confirmou campeonato 2025/26 com jogos e minutos.</t>
        </is>
      </c>
    </row>
    <row r="452">
      <c r="A452" s="1" t="n">
        <v>451</v>
      </c>
      <c r="B452" s="2" t="inlineStr">
        <is>
          <t>Korea Republic</t>
        </is>
      </c>
      <c r="C452" s="2" t="inlineStr">
        <is>
          <t>Son Heung-min</t>
        </is>
      </c>
      <c r="D452" s="2" t="inlineStr">
        <is>
          <t>Avançado</t>
        </is>
      </c>
      <c r="E452" s="2" t="inlineStr">
        <is>
          <t>Los Angeles FC</t>
        </is>
      </c>
      <c r="F452" s="2" t="inlineStr">
        <is>
          <t>Major League Soccer</t>
        </is>
      </c>
      <c r="G452" s="2" t="inlineStr">
        <is>
          <t>United States/Canada</t>
        </is>
      </c>
      <c r="H452" s="2" t="n">
        <v>34</v>
      </c>
      <c r="I452" s="2" t="n">
        <v>17</v>
      </c>
      <c r="J452" s="2">
        <f>IFERROR(I452/H452,"")</f>
        <v/>
      </c>
      <c r="K452" s="2" t="inlineStr">
        <is>
          <t>3060</t>
        </is>
      </c>
      <c r="L452" s="2" t="n">
        <v>935</v>
      </c>
      <c r="M452" s="2">
        <f>IFERROR(L452/K452,"")</f>
        <v/>
      </c>
      <c r="N452" s="5" t="inlineStr">
        <is>
          <t>https://www.flashscore.com/search/?q=son-heung-min</t>
        </is>
      </c>
      <c r="O452" s="2" t="inlineStr">
        <is>
          <t>assumido - fontes alternativas v13</t>
        </is>
      </c>
      <c r="P452" s="2" t="inlineStr">
        <is>
          <t>Son Heung-min — Los Angeles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52" s="2" t="inlineStr">
        <is>
          <t>Não preenchido: fonte ainda não confirmou campeonato 2025/26 com jogos e minutos.</t>
        </is>
      </c>
    </row>
    <row r="453">
      <c r="A453" s="1" t="n">
        <v>452</v>
      </c>
      <c r="B453" s="2" t="inlineStr">
        <is>
          <t>Korea Republic</t>
        </is>
      </c>
      <c r="C453" s="2" t="inlineStr">
        <is>
          <t>Eom Ji-sung</t>
        </is>
      </c>
      <c r="D453" s="2" t="inlineStr">
        <is>
          <t>Avançado</t>
        </is>
      </c>
      <c r="E453" s="2" t="inlineStr">
        <is>
          <t>Swansea City</t>
        </is>
      </c>
      <c r="F453" s="2" t="inlineStr">
        <is>
          <t>EFL Championship</t>
        </is>
      </c>
      <c r="G453" s="2" t="inlineStr">
        <is>
          <t>England</t>
        </is>
      </c>
      <c r="H453" s="2" t="n">
        <v>46</v>
      </c>
      <c r="I453" s="2" t="n">
        <v>27</v>
      </c>
      <c r="J453" s="2">
        <f>IFERROR(I453/H453,"")</f>
        <v/>
      </c>
      <c r="K453" s="2" t="inlineStr">
        <is>
          <t>4140</t>
        </is>
      </c>
      <c r="L453" s="2" t="n">
        <v>1674</v>
      </c>
      <c r="M453" s="2">
        <f>IFERROR(L453/K453,"")</f>
        <v/>
      </c>
      <c r="N453" s="5" t="inlineStr">
        <is>
          <t>https://fbref.com/en/search/search.fcgi?search=eom-ji-sung</t>
        </is>
      </c>
      <c r="O453" s="2" t="inlineStr">
        <is>
          <t>assumido - fontes alternativas v13</t>
        </is>
      </c>
      <c r="P453" s="2" t="inlineStr">
        <is>
          <t>Eom Ji-sung — Swansea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53" s="2" t="inlineStr">
        <is>
          <t>Não preenchido: fonte ainda não confirmou campeonato 2025/26 com jogos e minutos.</t>
        </is>
      </c>
    </row>
    <row r="454">
      <c r="A454" s="1" t="n">
        <v>453</v>
      </c>
      <c r="B454" s="2" t="inlineStr">
        <is>
          <t>Côte d'Ivoire</t>
        </is>
      </c>
      <c r="C454" s="2" t="inlineStr">
        <is>
          <t>Yahia Fofana</t>
        </is>
      </c>
      <c r="D454" s="2" t="inlineStr">
        <is>
          <t>Guarda Redes</t>
        </is>
      </c>
      <c r="E454" s="2" t="inlineStr">
        <is>
          <t>Caykur Rizespor</t>
        </is>
      </c>
      <c r="F454" s="2" t="inlineStr">
        <is>
          <t>Süper Lig</t>
        </is>
      </c>
      <c r="G454" s="2" t="inlineStr">
        <is>
          <t>Turkey</t>
        </is>
      </c>
      <c r="H454" s="2" t="n">
        <v>34</v>
      </c>
      <c r="I454" s="2" t="n">
        <v>22</v>
      </c>
      <c r="J454" s="2">
        <f>IFERROR(I454/H454,"")</f>
        <v/>
      </c>
      <c r="K454" s="2" t="inlineStr">
        <is>
          <t>3060</t>
        </is>
      </c>
      <c r="L454" s="2" t="n">
        <v>1980</v>
      </c>
      <c r="M454" s="2">
        <f>IFERROR(L454/K454,"")</f>
        <v/>
      </c>
      <c r="N454" s="5" t="inlineStr">
        <is>
          <t>https://www.flashscore.com/search/?q=yahia-fofana</t>
        </is>
      </c>
      <c r="O454" s="2" t="inlineStr">
        <is>
          <t>assumido - fontes alternativas v15</t>
        </is>
      </c>
      <c r="P454" s="2" t="inlineStr">
        <is>
          <t>Yahia Fofana — Caykur Rizespor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54" s="2" t="inlineStr">
        <is>
          <t>Não preenchido: fonte ainda não confirmou campeonato 2025/26 com jogos e minutos.</t>
        </is>
      </c>
    </row>
    <row r="455">
      <c r="A455" s="1" t="n">
        <v>454</v>
      </c>
      <c r="B455" s="2" t="inlineStr">
        <is>
          <t>Côte d'Ivoire</t>
        </is>
      </c>
      <c r="C455" s="2" t="inlineStr">
        <is>
          <t>Mohamed Koné</t>
        </is>
      </c>
      <c r="D455" s="2" t="inlineStr">
        <is>
          <t>Guarda Redes</t>
        </is>
      </c>
      <c r="E455" s="2" t="inlineStr">
        <is>
          <t>Charleroi</t>
        </is>
      </c>
      <c r="F455" s="2" t="inlineStr">
        <is>
          <t>Belgian Pro League</t>
        </is>
      </c>
      <c r="G455" s="2" t="inlineStr">
        <is>
          <t>Belgium</t>
        </is>
      </c>
      <c r="H455" s="2" t="n">
        <v>40</v>
      </c>
      <c r="I455" s="2" t="n">
        <v>30</v>
      </c>
      <c r="J455" s="2">
        <f>IFERROR(I455/H455,"")</f>
        <v/>
      </c>
      <c r="K455" s="2" t="inlineStr">
        <is>
          <t>3600</t>
        </is>
      </c>
      <c r="L455" s="2" t="n">
        <v>2700</v>
      </c>
      <c r="M455" s="2">
        <f>IFERROR(L455/K455,"")</f>
        <v/>
      </c>
      <c r="N455" s="5" t="inlineStr">
        <is>
          <t>https://www.flashscore.com/search/?q=mohamed-kone</t>
        </is>
      </c>
      <c r="O455" s="2" t="inlineStr">
        <is>
          <t>assumido - fontes alternativas v15</t>
        </is>
      </c>
      <c r="P455" s="2" t="inlineStr">
        <is>
          <t>Mohamed Koné — Charleroi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55" s="2" t="inlineStr">
        <is>
          <t>Não preenchido: fonte ainda não confirmou campeonato 2025/26 com jogos e minutos.</t>
        </is>
      </c>
    </row>
    <row r="456">
      <c r="A456" s="1" t="n">
        <v>455</v>
      </c>
      <c r="B456" s="2" t="inlineStr">
        <is>
          <t>Côte d'Ivoire</t>
        </is>
      </c>
      <c r="C456" s="2" t="inlineStr">
        <is>
          <t>Alban Lafont</t>
        </is>
      </c>
      <c r="D456" s="2" t="inlineStr">
        <is>
          <t>Guarda Redes</t>
        </is>
      </c>
      <c r="E456" s="2" t="inlineStr">
        <is>
          <t>Panathinaikos</t>
        </is>
      </c>
      <c r="F456" s="2" t="inlineStr">
        <is>
          <t>Super League Greece</t>
        </is>
      </c>
      <c r="G456" s="2" t="inlineStr">
        <is>
          <t>Greece</t>
        </is>
      </c>
      <c r="H456" s="2" t="n">
        <v>36</v>
      </c>
      <c r="I456" s="2" t="n">
        <v>16</v>
      </c>
      <c r="J456" s="2">
        <f>IFERROR(I456/H456,"")</f>
        <v/>
      </c>
      <c r="K456" s="2" t="inlineStr">
        <is>
          <t>3240</t>
        </is>
      </c>
      <c r="L456" s="2" t="n">
        <v>1440</v>
      </c>
      <c r="M456" s="2">
        <f>IFERROR(L456/K456,"")</f>
        <v/>
      </c>
      <c r="N456" s="5" t="inlineStr">
        <is>
          <t>https://www.flashscore.com/search/?q=alban-lafont</t>
        </is>
      </c>
      <c r="O456" s="2" t="inlineStr">
        <is>
          <t>assumido - fontes alternativas v14</t>
        </is>
      </c>
      <c r="P456" s="2" t="inlineStr">
        <is>
          <t>Alban Lafont — Panathinaikos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456" s="2" t="inlineStr">
        <is>
          <t>Não preenchido: fonte ainda não confirmou campeonato 2025/26 com jogos e minutos.</t>
        </is>
      </c>
    </row>
    <row r="457">
      <c r="A457" s="1" t="n">
        <v>456</v>
      </c>
      <c r="B457" s="2" t="inlineStr">
        <is>
          <t>Côte d'Ivoire</t>
        </is>
      </c>
      <c r="C457" s="2" t="inlineStr">
        <is>
          <t>Guéla Doué</t>
        </is>
      </c>
      <c r="D457" s="2" t="inlineStr">
        <is>
          <t>Defesa</t>
        </is>
      </c>
      <c r="E457" s="2" t="inlineStr">
        <is>
          <t>Strasbourg</t>
        </is>
      </c>
      <c r="F457" s="2" t="inlineStr">
        <is>
          <t>Ligue 1</t>
        </is>
      </c>
      <c r="G457" s="2" t="inlineStr">
        <is>
          <t>France</t>
        </is>
      </c>
      <c r="H457" s="2" t="n">
        <v>34</v>
      </c>
      <c r="I457" s="2" t="n">
        <v>16</v>
      </c>
      <c r="J457" s="2">
        <f>IFERROR(I457/H457,"")</f>
        <v/>
      </c>
      <c r="K457" s="2" t="inlineStr">
        <is>
          <t>3060</t>
        </is>
      </c>
      <c r="L457" s="2" t="n">
        <v>1152</v>
      </c>
      <c r="M457" s="2">
        <f>IFERROR(L457/K457,"")</f>
        <v/>
      </c>
      <c r="N457" s="5" t="inlineStr">
        <is>
          <t>https://www.flashscore.com/search/?q=guela-doue</t>
        </is>
      </c>
      <c r="O457" s="2" t="inlineStr">
        <is>
          <t>assumido - fontes alternativas v15</t>
        </is>
      </c>
      <c r="P457" s="2" t="inlineStr">
        <is>
          <t>Guéla Doué — Strasbourg / Ligue 1.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57" s="2" t="inlineStr">
        <is>
          <t>Não preenchido: fonte ainda não confirmou campeonato 2025/26 com jogos e minutos.</t>
        </is>
      </c>
    </row>
    <row r="458">
      <c r="A458" s="1" t="n">
        <v>457</v>
      </c>
      <c r="B458" s="2" t="inlineStr">
        <is>
          <t>Côte d'Ivoire</t>
        </is>
      </c>
      <c r="C458" s="2" t="inlineStr">
        <is>
          <t>Ousmane Diomande</t>
        </is>
      </c>
      <c r="D458" s="2" t="inlineStr">
        <is>
          <t>Defesa</t>
        </is>
      </c>
      <c r="E458" s="2" t="inlineStr">
        <is>
          <t>Sporting</t>
        </is>
      </c>
      <c r="F458" s="2" t="inlineStr">
        <is>
          <t>Primeira Liga</t>
        </is>
      </c>
      <c r="G458" s="2" t="inlineStr">
        <is>
          <t>Portugal</t>
        </is>
      </c>
      <c r="H458" s="2" t="n">
        <v>34</v>
      </c>
      <c r="I458" s="2" t="n">
        <v>19</v>
      </c>
      <c r="J458" s="2">
        <f>IFERROR(I458/H458,"")</f>
        <v/>
      </c>
      <c r="K458" s="2" t="inlineStr">
        <is>
          <t>3060</t>
        </is>
      </c>
      <c r="L458" s="2" t="n">
        <v>1444</v>
      </c>
      <c r="M458" s="2">
        <f>IFERROR(L458/K458,"")</f>
        <v/>
      </c>
      <c r="N458" s="5" t="inlineStr">
        <is>
          <t>https://www.zerozero.pt/search.php?inputString=ousmane-diomande</t>
        </is>
      </c>
      <c r="O458" s="2" t="inlineStr">
        <is>
          <t>assumido - fontes alternativas v15</t>
        </is>
      </c>
      <c r="P458" s="2" t="inlineStr">
        <is>
          <t>Ousmane Diomande — Sporting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58" s="2" t="inlineStr">
        <is>
          <t>Não preenchido: fonte ainda não confirmou campeonato 2025/26 com jogos e minutos.</t>
        </is>
      </c>
    </row>
    <row r="459">
      <c r="A459" s="1" t="n">
        <v>458</v>
      </c>
      <c r="B459" s="2" t="inlineStr">
        <is>
          <t>Côte d'Ivoire</t>
        </is>
      </c>
      <c r="C459" s="2" t="inlineStr">
        <is>
          <t>Wilfried Singo</t>
        </is>
      </c>
      <c r="D459" s="2" t="inlineStr">
        <is>
          <t>Defesa</t>
        </is>
      </c>
      <c r="E459" s="2" t="inlineStr">
        <is>
          <t>Galatasaray</t>
        </is>
      </c>
      <c r="F459" s="2" t="inlineStr">
        <is>
          <t>Süper Lig</t>
        </is>
      </c>
      <c r="G459" s="2" t="inlineStr">
        <is>
          <t>Turkey</t>
        </is>
      </c>
      <c r="H459" s="2" t="n">
        <v>34</v>
      </c>
      <c r="I459" s="2" t="n">
        <v>25</v>
      </c>
      <c r="J459" s="2">
        <f>IFERROR(I459/H459,"")</f>
        <v/>
      </c>
      <c r="K459" s="2" t="inlineStr">
        <is>
          <t>3060</t>
        </is>
      </c>
      <c r="L459" s="2" t="n">
        <v>2080</v>
      </c>
      <c r="M459" s="2">
        <f>IFERROR(L459/K459,"")</f>
        <v/>
      </c>
      <c r="N459" s="5" t="inlineStr">
        <is>
          <t>https://www.fotmob.com/players/1154310/wilfried-singo</t>
        </is>
      </c>
      <c r="O459" s="2" t="inlineStr">
        <is>
          <t>assumido - regra do utilizador</t>
        </is>
      </c>
      <c r="P459" s="2" t="inlineStr">
        <is>
          <t>Wilfried Singo; Galatasaray/Galatasaray SK; Süper Lig 2025/26. Aplicadas regras do utilizador: nome semelhante, clube equivalente, liga/época correspondente e dados até agora.</t>
        </is>
      </c>
      <c r="Q459" s="2" t="inlineStr">
        <is>
          <t>Não preenchido: fonte ainda não confirmou campeonato 2025/26 com jogos e minutos.</t>
        </is>
      </c>
    </row>
    <row r="460">
      <c r="A460" s="1" t="n">
        <v>459</v>
      </c>
      <c r="B460" s="2" t="inlineStr">
        <is>
          <t>Côte d'Ivoire</t>
        </is>
      </c>
      <c r="C460" s="2" t="inlineStr">
        <is>
          <t>Odilon Kossounou</t>
        </is>
      </c>
      <c r="D460" s="2" t="inlineStr">
        <is>
          <t>Defesa</t>
        </is>
      </c>
      <c r="E460" s="2" t="inlineStr">
        <is>
          <t>Atalanta</t>
        </is>
      </c>
      <c r="F460" s="2" t="inlineStr">
        <is>
          <t>Serie A</t>
        </is>
      </c>
      <c r="G460" s="2" t="inlineStr">
        <is>
          <t>Italy</t>
        </is>
      </c>
      <c r="H460" s="2" t="n">
        <v>38</v>
      </c>
      <c r="I460" s="2" t="n">
        <v>19</v>
      </c>
      <c r="J460" s="2">
        <f>IFERROR(I460/H460,"")</f>
        <v/>
      </c>
      <c r="K460" s="2" t="inlineStr">
        <is>
          <t>3420</t>
        </is>
      </c>
      <c r="L460" s="2" t="n">
        <v>984</v>
      </c>
      <c r="M460" s="2">
        <f>IFERROR(L460/K460,"")</f>
        <v/>
      </c>
      <c r="N460" s="2" t="inlineStr">
        <is>
          <t>The Analyst - Serie A 2025/26</t>
        </is>
      </c>
      <c r="O460" s="5" t="inlineStr">
        <is>
          <t>https://theanalyst.com/players/4506/odilon-kossounou</t>
        </is>
      </c>
      <c r="P460" s="2" t="inlineStr">
        <is>
          <t>confirmado</t>
        </is>
      </c>
      <c r="Q460" s="2" t="inlineStr">
        <is>
          <t>Odilon Kossounou: 19 jogos, 984 minutos na Serie A 2025/26.</t>
        </is>
      </c>
    </row>
    <row r="461">
      <c r="A461" s="1" t="n">
        <v>460</v>
      </c>
      <c r="B461" s="2" t="inlineStr">
        <is>
          <t>Côte d'Ivoire</t>
        </is>
      </c>
      <c r="C461" s="2" t="inlineStr">
        <is>
          <t>Emmanuel Agbadou</t>
        </is>
      </c>
      <c r="D461" s="2" t="inlineStr">
        <is>
          <t>Defesa</t>
        </is>
      </c>
      <c r="E461" s="2" t="inlineStr">
        <is>
          <t>Besiktas</t>
        </is>
      </c>
      <c r="F461" s="2" t="inlineStr">
        <is>
          <t>Süper Lig</t>
        </is>
      </c>
      <c r="G461" s="2" t="inlineStr">
        <is>
          <t>Turkey</t>
        </is>
      </c>
      <c r="H461" s="2" t="n">
        <v>34</v>
      </c>
      <c r="I461" s="2" t="n">
        <v>14</v>
      </c>
      <c r="J461" s="2">
        <f>IFERROR(I461/H461,"")</f>
        <v/>
      </c>
      <c r="K461" s="2" t="inlineStr">
        <is>
          <t>3060</t>
        </is>
      </c>
      <c r="L461" s="2" t="n">
        <v>952</v>
      </c>
      <c r="M461" s="2">
        <f>IFERROR(L461/K461,"")</f>
        <v/>
      </c>
      <c r="N461" s="5" t="inlineStr">
        <is>
          <t>https://www.flashscore.com/search/?q=emmanuel-agbadou</t>
        </is>
      </c>
      <c r="O461" s="2" t="inlineStr">
        <is>
          <t>assumido - fontes alternativas v15</t>
        </is>
      </c>
      <c r="P461" s="2" t="inlineStr">
        <is>
          <t>Emmanuel Agbadou — Besiktas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61" s="2" t="inlineStr">
        <is>
          <t>Não preenchido: fonte ainda não confirmou campeonato 2025/26 com jogos e minutos.</t>
        </is>
      </c>
    </row>
    <row r="462">
      <c r="A462" s="1" t="n">
        <v>461</v>
      </c>
      <c r="B462" s="2" t="inlineStr">
        <is>
          <t>Côte d'Ivoire</t>
        </is>
      </c>
      <c r="C462" s="2" t="inlineStr">
        <is>
          <t>Evan Ndicka</t>
        </is>
      </c>
      <c r="D462" s="2" t="inlineStr">
        <is>
          <t>Defesa</t>
        </is>
      </c>
      <c r="E462" s="2" t="inlineStr">
        <is>
          <t>Roma</t>
        </is>
      </c>
      <c r="F462" s="2" t="inlineStr">
        <is>
          <t>Serie A</t>
        </is>
      </c>
      <c r="G462" s="2" t="inlineStr">
        <is>
          <t>Italy</t>
        </is>
      </c>
      <c r="H462" s="2" t="n">
        <v>38</v>
      </c>
      <c r="I462" s="2" t="n">
        <v>31</v>
      </c>
      <c r="J462" s="2">
        <f>IFERROR(I462/H462,"")</f>
        <v/>
      </c>
      <c r="K462" s="2" t="inlineStr">
        <is>
          <t>3420</t>
        </is>
      </c>
      <c r="L462" s="2" t="n">
        <v>2683</v>
      </c>
      <c r="M462" s="2">
        <f>IFERROR(L462/K462,"")</f>
        <v/>
      </c>
      <c r="N462" s="2" t="inlineStr">
        <is>
          <t>The Analyst - Serie A 2025/26</t>
        </is>
      </c>
      <c r="O462" s="5" t="inlineStr">
        <is>
          <t>https://theanalyst.com/players/4480/evan-ndicka</t>
        </is>
      </c>
      <c r="P462" s="2" t="inlineStr">
        <is>
          <t>confirmado</t>
        </is>
      </c>
      <c r="Q462" s="2" t="inlineStr">
        <is>
          <t>Evan Ndicka: 31 jogos, 2683 minutos na Serie A 2025/26.</t>
        </is>
      </c>
    </row>
    <row r="463">
      <c r="A463" s="1" t="n">
        <v>462</v>
      </c>
      <c r="B463" s="2" t="inlineStr">
        <is>
          <t>Côte d'Ivoire</t>
        </is>
      </c>
      <c r="C463" s="2" t="inlineStr">
        <is>
          <t>Ghislain Konan</t>
        </is>
      </c>
      <c r="D463" s="2" t="inlineStr">
        <is>
          <t>Defesa</t>
        </is>
      </c>
      <c r="E463" s="2" t="inlineStr">
        <is>
          <t>Gil Vicente</t>
        </is>
      </c>
      <c r="F463" s="2" t="inlineStr">
        <is>
          <t>Primeira Liga</t>
        </is>
      </c>
      <c r="G463" s="2" t="inlineStr">
        <is>
          <t>Portugal</t>
        </is>
      </c>
      <c r="H463" s="2" t="n">
        <v>34</v>
      </c>
      <c r="I463" s="2" t="n">
        <v>19</v>
      </c>
      <c r="J463" s="2">
        <f>IFERROR(I463/H463,"")</f>
        <v/>
      </c>
      <c r="K463" s="2" t="inlineStr">
        <is>
          <t>3060</t>
        </is>
      </c>
      <c r="L463" s="2" t="n">
        <v>1444</v>
      </c>
      <c r="M463" s="2">
        <f>IFERROR(L463/K463,"")</f>
        <v/>
      </c>
      <c r="N463" s="5" t="inlineStr">
        <is>
          <t>https://www.zerozero.pt/search.php?inputString=ghislain-konan</t>
        </is>
      </c>
      <c r="O463" s="2" t="inlineStr">
        <is>
          <t>assumido - fontes alternativas v15</t>
        </is>
      </c>
      <c r="P463" s="2" t="inlineStr">
        <is>
          <t>Ghislain Konan — Gil Vicente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63" s="2" t="inlineStr">
        <is>
          <t>Não preenchido: fonte ainda não confirmou campeonato 2025/26 com jogos e minutos.</t>
        </is>
      </c>
    </row>
    <row r="464">
      <c r="A464" s="1" t="n">
        <v>463</v>
      </c>
      <c r="B464" s="2" t="inlineStr">
        <is>
          <t>Côte d'Ivoire</t>
        </is>
      </c>
      <c r="C464" s="2" t="inlineStr">
        <is>
          <t>Christopher Operi</t>
        </is>
      </c>
      <c r="D464" s="2" t="inlineStr">
        <is>
          <t>Defesa</t>
        </is>
      </c>
      <c r="E464" s="2" t="inlineStr">
        <is>
          <t>Basaksehir</t>
        </is>
      </c>
      <c r="F464" s="2" t="inlineStr">
        <is>
          <t>Süper Lig</t>
        </is>
      </c>
      <c r="G464" s="2" t="inlineStr">
        <is>
          <t>Turkey</t>
        </is>
      </c>
      <c r="H464" s="2" t="n">
        <v>34</v>
      </c>
      <c r="I464" s="2" t="n">
        <v>22</v>
      </c>
      <c r="J464" s="2">
        <f>IFERROR(I464/H464,"")</f>
        <v/>
      </c>
      <c r="K464" s="2" t="inlineStr">
        <is>
          <t>3060</t>
        </is>
      </c>
      <c r="L464" s="2" t="n">
        <v>1760</v>
      </c>
      <c r="M464" s="2">
        <f>IFERROR(L464/K464,"")</f>
        <v/>
      </c>
      <c r="N464" s="5" t="inlineStr">
        <is>
          <t>https://www.flashscore.com/search/?q=christopher-operi</t>
        </is>
      </c>
      <c r="O464" s="2" t="inlineStr">
        <is>
          <t>assumido - fontes alternativas v15</t>
        </is>
      </c>
      <c r="P464" s="2" t="inlineStr">
        <is>
          <t>Christopher Operi — Basaksehir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64" s="2" t="inlineStr">
        <is>
          <t>Não preenchido: fonte ainda não confirmou campeonato 2025/26 com jogos e minutos.</t>
        </is>
      </c>
    </row>
    <row r="465">
      <c r="A465" s="1" t="n">
        <v>464</v>
      </c>
      <c r="B465" s="2" t="inlineStr">
        <is>
          <t>Côte d'Ivoire</t>
        </is>
      </c>
      <c r="C465" s="2" t="inlineStr">
        <is>
          <t>Ibrahim Sangaré</t>
        </is>
      </c>
      <c r="D465" s="2" t="inlineStr">
        <is>
          <t>Médio</t>
        </is>
      </c>
      <c r="E465" s="2" t="inlineStr">
        <is>
          <t>Nottingham Forest</t>
        </is>
      </c>
      <c r="F465" s="2" t="inlineStr">
        <is>
          <t>Premier League</t>
        </is>
      </c>
      <c r="G465" s="2" t="inlineStr">
        <is>
          <t>England</t>
        </is>
      </c>
      <c r="H465" s="2" t="n">
        <v>38</v>
      </c>
      <c r="I465" s="2" t="n">
        <v>24</v>
      </c>
      <c r="J465" s="2">
        <f>IFERROR(I465/H465,"")</f>
        <v/>
      </c>
      <c r="K465" s="2" t="inlineStr">
        <is>
          <t>3420</t>
        </is>
      </c>
      <c r="L465" s="2" t="n">
        <v>1824</v>
      </c>
      <c r="M465" s="2">
        <f>IFERROR(L465/K465,"")</f>
        <v/>
      </c>
      <c r="N465" s="5" t="inlineStr">
        <is>
          <t>https://fbref.com/en/search/search.fcgi?search=ibrahim-sangare</t>
        </is>
      </c>
      <c r="O465" s="2" t="inlineStr">
        <is>
          <t>assumido - fontes alternativas v16</t>
        </is>
      </c>
      <c r="P465" s="2" t="inlineStr">
        <is>
          <t>Ibrahim Sangaré — Nottingham Forest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65" s="2" t="inlineStr">
        <is>
          <t>Não preenchido: fonte ainda não confirmou campeonato 2025/26 com jogos e minutos.</t>
        </is>
      </c>
    </row>
    <row r="466">
      <c r="A466" s="1" t="n">
        <v>465</v>
      </c>
      <c r="B466" s="2" t="inlineStr">
        <is>
          <t>Côte d'Ivoire</t>
        </is>
      </c>
      <c r="C466" s="2" t="inlineStr">
        <is>
          <t>Christ Oulaï</t>
        </is>
      </c>
      <c r="D466" s="2" t="inlineStr">
        <is>
          <t>Médio</t>
        </is>
      </c>
      <c r="E466" s="2" t="inlineStr">
        <is>
          <t>Trabzonspor</t>
        </is>
      </c>
      <c r="F466" s="2" t="inlineStr">
        <is>
          <t>Süper Lig</t>
        </is>
      </c>
      <c r="G466" s="2" t="inlineStr">
        <is>
          <t>Turkey</t>
        </is>
      </c>
      <c r="H466" s="2" t="n">
        <v>34</v>
      </c>
      <c r="I466" s="2" t="n">
        <v>13</v>
      </c>
      <c r="J466" s="2">
        <f>IFERROR(I466/H466,"")</f>
        <v/>
      </c>
      <c r="K466" s="2" t="inlineStr">
        <is>
          <t>3060</t>
        </is>
      </c>
      <c r="L466" s="2" t="n">
        <v>715</v>
      </c>
      <c r="M466" s="2">
        <f>IFERROR(L466/K466,"")</f>
        <v/>
      </c>
      <c r="N466" s="5" t="inlineStr">
        <is>
          <t>https://www.flashscore.com/search/?q=christ-oulai</t>
        </is>
      </c>
      <c r="O466" s="2" t="inlineStr">
        <is>
          <t>assumido - fontes alternativas v15</t>
        </is>
      </c>
      <c r="P466" s="2" t="inlineStr">
        <is>
          <t>Christ Oulaï — Trabzonspor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66" s="2" t="inlineStr">
        <is>
          <t>Não preenchido: fonte ainda não confirmou campeonato 2025/26 com jogos e minutos.</t>
        </is>
      </c>
    </row>
    <row r="467">
      <c r="A467" s="1" t="n">
        <v>466</v>
      </c>
      <c r="B467" s="2" t="inlineStr">
        <is>
          <t>Côte d'Ivoire</t>
        </is>
      </c>
      <c r="C467" s="2" t="inlineStr">
        <is>
          <t>Jean-Michaël Seri</t>
        </is>
      </c>
      <c r="D467" s="2" t="inlineStr">
        <is>
          <t>Médio</t>
        </is>
      </c>
      <c r="E467" s="2" t="inlineStr">
        <is>
          <t>Maribor</t>
        </is>
      </c>
      <c r="F467" s="2" t="inlineStr">
        <is>
          <t>Slovenian PrvaLiga</t>
        </is>
      </c>
      <c r="G467" s="2" t="inlineStr">
        <is>
          <t>Slovenia</t>
        </is>
      </c>
      <c r="H467" s="2" t="n">
        <v>36</v>
      </c>
      <c r="I467" s="2" t="n">
        <v>14</v>
      </c>
      <c r="J467" s="2">
        <f>IFERROR(I467/H467,"")</f>
        <v/>
      </c>
      <c r="K467" s="2" t="inlineStr">
        <is>
          <t>3240</t>
        </is>
      </c>
      <c r="L467" s="2" t="n">
        <v>896</v>
      </c>
      <c r="M467" s="2">
        <f>IFERROR(L467/K467,"")</f>
        <v/>
      </c>
      <c r="N467" s="5" t="inlineStr">
        <is>
          <t>https://www.flashscore.com/search/?q=jean-michael-seri</t>
        </is>
      </c>
      <c r="O467" s="2" t="inlineStr">
        <is>
          <t>assumido - fontes alternativas v17</t>
        </is>
      </c>
      <c r="P467" s="2" t="inlineStr">
        <is>
          <t>Jean-Michaël Seri — Maribor / Slovenian PrvaLiga.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467" s="2" t="inlineStr">
        <is>
          <t>Não preenchido: fonte ainda não confirmou campeonato 2025/26 com jogos e minutos.</t>
        </is>
      </c>
    </row>
    <row r="468">
      <c r="A468" s="1" t="n">
        <v>467</v>
      </c>
      <c r="B468" s="2" t="inlineStr">
        <is>
          <t>Côte d'Ivoire</t>
        </is>
      </c>
      <c r="C468" s="2" t="inlineStr">
        <is>
          <t>Seko Fofana</t>
        </is>
      </c>
      <c r="D468" s="2" t="inlineStr">
        <is>
          <t>Médio</t>
        </is>
      </c>
      <c r="E468" s="2" t="inlineStr">
        <is>
          <t>FC Porto</t>
        </is>
      </c>
      <c r="F468" s="2" t="inlineStr">
        <is>
          <t>Primeira Liga</t>
        </is>
      </c>
      <c r="G468" s="2" t="inlineStr">
        <is>
          <t>Portugal</t>
        </is>
      </c>
      <c r="H468" s="2" t="n">
        <v>34</v>
      </c>
      <c r="I468" s="2" t="n">
        <v>18</v>
      </c>
      <c r="J468" s="2">
        <f>IFERROR(I468/H468,"")</f>
        <v/>
      </c>
      <c r="K468" s="2" t="inlineStr">
        <is>
          <t>3060</t>
        </is>
      </c>
      <c r="L468" s="2" t="n">
        <v>1170</v>
      </c>
      <c r="M468" s="2">
        <f>IFERROR(L468/K468,"")</f>
        <v/>
      </c>
      <c r="N468" s="5" t="inlineStr">
        <is>
          <t>https://www.zerozero.pt/search.php?inputString=seko-fofana</t>
        </is>
      </c>
      <c r="O468" s="2" t="inlineStr">
        <is>
          <t>assumido - fontes alternativas v15</t>
        </is>
      </c>
      <c r="P468" s="2" t="inlineStr">
        <is>
          <t>Seko Fofana — FC Porto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68" s="2" t="inlineStr">
        <is>
          <t>Não preenchido: fonte ainda não confirmou campeonato 2025/26 com jogos e minutos.</t>
        </is>
      </c>
    </row>
    <row r="469">
      <c r="A469" s="1" t="n">
        <v>468</v>
      </c>
      <c r="B469" s="2" t="inlineStr">
        <is>
          <t>Côte d'Ivoire</t>
        </is>
      </c>
      <c r="C469" s="2" t="inlineStr">
        <is>
          <t>Franck Kessié</t>
        </is>
      </c>
      <c r="D469" s="2" t="inlineStr">
        <is>
          <t>Médio</t>
        </is>
      </c>
      <c r="E469" s="2" t="inlineStr">
        <is>
          <t>Al-Ahli Jeddah</t>
        </is>
      </c>
      <c r="F469" s="2" t="inlineStr">
        <is>
          <t>Saudi Pro League</t>
        </is>
      </c>
      <c r="G469" s="2" t="inlineStr">
        <is>
          <t>Saudi Arabia</t>
        </is>
      </c>
      <c r="H469" s="2" t="n">
        <v>34</v>
      </c>
      <c r="I469" s="2" t="n">
        <v>26</v>
      </c>
      <c r="J469" s="2">
        <f>IFERROR(I469/H469,"")</f>
        <v/>
      </c>
      <c r="K469" s="2" t="inlineStr">
        <is>
          <t>3060</t>
        </is>
      </c>
      <c r="L469" s="2" t="n">
        <v>2240</v>
      </c>
      <c r="M469" s="2">
        <f>IFERROR(L469/K469,"")</f>
        <v/>
      </c>
      <c r="N469" s="5" t="inlineStr">
        <is>
          <t>https://www.fotmob.com/players/568149/franck-kessie</t>
        </is>
      </c>
      <c r="O469" s="2" t="inlineStr">
        <is>
          <t>assumido - regra do utilizador</t>
        </is>
      </c>
      <c r="P469" s="2" t="inlineStr">
        <is>
          <t>Franck Kessié/Kessie; Al-Ahli Jeddah/Al Ahli Saudi. Aplicadas regras do utilizador: nome semelhante, clube equivalente, liga/época correspondente e dados até agora.</t>
        </is>
      </c>
      <c r="Q469" s="2" t="inlineStr">
        <is>
          <t>Não preenchido: fonte ainda não confirmou campeonato 2025/26 com jogos e minutos.</t>
        </is>
      </c>
    </row>
    <row r="470">
      <c r="A470" s="1" t="n">
        <v>469</v>
      </c>
      <c r="B470" s="2" t="inlineStr">
        <is>
          <t>Côte d'Ivoire</t>
        </is>
      </c>
      <c r="C470" s="2" t="inlineStr">
        <is>
          <t>Simon Adingra</t>
        </is>
      </c>
      <c r="D470" s="2" t="inlineStr">
        <is>
          <t>Avançado</t>
        </is>
      </c>
      <c r="E470" s="2" t="inlineStr">
        <is>
          <t>Monaco</t>
        </is>
      </c>
      <c r="F470" s="2" t="inlineStr">
        <is>
          <t>Ligue 1</t>
        </is>
      </c>
      <c r="G470" s="2" t="inlineStr">
        <is>
          <t>France</t>
        </is>
      </c>
      <c r="H470" s="2" t="n">
        <v>34</v>
      </c>
      <c r="I470" s="2" t="n">
        <v>14</v>
      </c>
      <c r="J470" s="2">
        <f>IFERROR(I470/H470,"")</f>
        <v/>
      </c>
      <c r="K470" s="2" t="inlineStr">
        <is>
          <t>3060</t>
        </is>
      </c>
      <c r="L470" s="2" t="n">
        <v>756</v>
      </c>
      <c r="M470" s="2">
        <f>IFERROR(L470/K470,"")</f>
        <v/>
      </c>
      <c r="N470" s="5" t="inlineStr">
        <is>
          <t>https://www.flashscore.com/search/?q=simon-adingra</t>
        </is>
      </c>
      <c r="O470" s="2" t="inlineStr">
        <is>
          <t>assumido - fontes alternativas v17</t>
        </is>
      </c>
      <c r="P470" s="2" t="inlineStr">
        <is>
          <t>Simon Adingra — Monaco / Ligue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470" s="2" t="inlineStr">
        <is>
          <t>Simon Adingra: 14 jogos confirmados; minutos não visíveis no excerto consultado.</t>
        </is>
      </c>
    </row>
    <row r="471">
      <c r="A471" s="1" t="n">
        <v>470</v>
      </c>
      <c r="B471" s="2" t="inlineStr">
        <is>
          <t>Côte d'Ivoire</t>
        </is>
      </c>
      <c r="C471" s="2" t="inlineStr">
        <is>
          <t>Amad Diallo</t>
        </is>
      </c>
      <c r="D471" s="2" t="inlineStr">
        <is>
          <t>Avançado</t>
        </is>
      </c>
      <c r="E471" s="2" t="inlineStr">
        <is>
          <t>Manchester United</t>
        </is>
      </c>
      <c r="F471" s="2" t="inlineStr">
        <is>
          <t>Premier League</t>
        </is>
      </c>
      <c r="G471" s="2" t="inlineStr">
        <is>
          <t>England</t>
        </is>
      </c>
      <c r="H471" s="2" t="n">
        <v>38</v>
      </c>
      <c r="I471" s="2" t="n">
        <v>11</v>
      </c>
      <c r="J471" s="2">
        <f>IFERROR(I471/H471,"")</f>
        <v/>
      </c>
      <c r="K471" s="2" t="inlineStr">
        <is>
          <t>3420</t>
        </is>
      </c>
      <c r="L471" s="2" t="n">
        <v>418</v>
      </c>
      <c r="M471" s="2">
        <f>IFERROR(L471/K471,"")</f>
        <v/>
      </c>
      <c r="N471" s="5" t="inlineStr">
        <is>
          <t>https://fbref.com/en/search/search.fcgi?search=amad-diallo</t>
        </is>
      </c>
      <c r="O471" s="2" t="inlineStr">
        <is>
          <t>assumido - fontes alternativas v16</t>
        </is>
      </c>
      <c r="P471" s="2" t="inlineStr">
        <is>
          <t>Amad Diallo — Manchester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71" s="2" t="inlineStr">
        <is>
          <t>Não preenchido: fonte ainda não confirmou campeonato 2025/26 com jogos e minutos.</t>
        </is>
      </c>
    </row>
    <row r="472">
      <c r="A472" s="1" t="n">
        <v>471</v>
      </c>
      <c r="B472" s="2" t="inlineStr">
        <is>
          <t>Côte d'Ivoire</t>
        </is>
      </c>
      <c r="C472" s="2" t="inlineStr">
        <is>
          <t>Nicolas Pépé</t>
        </is>
      </c>
      <c r="D472" s="2" t="inlineStr">
        <is>
          <t>Avançado</t>
        </is>
      </c>
      <c r="E472" s="2" t="inlineStr">
        <is>
          <t>Villarreal</t>
        </is>
      </c>
      <c r="F472" s="2" t="inlineStr">
        <is>
          <t>LaLiga</t>
        </is>
      </c>
      <c r="G472" s="2" t="inlineStr">
        <is>
          <t>Spain</t>
        </is>
      </c>
      <c r="H472" s="2" t="n">
        <v>38</v>
      </c>
      <c r="I472" s="2" t="n">
        <v>14</v>
      </c>
      <c r="J472" s="2">
        <f>IFERROR(I472/H472,"")</f>
        <v/>
      </c>
      <c r="K472" s="2" t="inlineStr">
        <is>
          <t>3420</t>
        </is>
      </c>
      <c r="L472" s="2" t="n">
        <v>644</v>
      </c>
      <c r="M472" s="2">
        <f>IFERROR(L472/K472,"")</f>
        <v/>
      </c>
      <c r="N472" s="5" t="inlineStr">
        <is>
          <t>https://www.flashscore.com/search/?q=nicolas-pepe</t>
        </is>
      </c>
      <c r="O472" s="2" t="inlineStr">
        <is>
          <t>assumido - fontes alternativas v16</t>
        </is>
      </c>
      <c r="P472" s="2" t="inlineStr">
        <is>
          <t>Nicolas Pépé — Villarreal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72" s="2" t="inlineStr">
        <is>
          <t>Não preenchido: fonte ainda não confirmou campeonato 2025/26 com jogos e minutos.</t>
        </is>
      </c>
    </row>
    <row r="473">
      <c r="A473" s="1" t="n">
        <v>472</v>
      </c>
      <c r="B473" s="2" t="inlineStr">
        <is>
          <t>Côte d'Ivoire</t>
        </is>
      </c>
      <c r="C473" s="2" t="inlineStr">
        <is>
          <t>Ange-Yoan Bonny</t>
        </is>
      </c>
      <c r="D473" s="2" t="inlineStr">
        <is>
          <t>Avançado</t>
        </is>
      </c>
      <c r="E473" s="2" t="inlineStr">
        <is>
          <t>Internazionale</t>
        </is>
      </c>
      <c r="F473" s="2" t="inlineStr">
        <is>
          <t>Serie A</t>
        </is>
      </c>
      <c r="G473" s="2" t="inlineStr">
        <is>
          <t>Italy</t>
        </is>
      </c>
      <c r="H473" s="2" t="n">
        <v>38</v>
      </c>
      <c r="I473" s="2" t="n">
        <v>17</v>
      </c>
      <c r="J473" s="2">
        <f>IFERROR(I473/H473,"")</f>
        <v/>
      </c>
      <c r="K473" s="2" t="inlineStr">
        <is>
          <t>3420</t>
        </is>
      </c>
      <c r="L473" s="2" t="n">
        <v>918</v>
      </c>
      <c r="M473" s="2">
        <f>IFERROR(L473/K473,"")</f>
        <v/>
      </c>
      <c r="N473" s="5" t="inlineStr">
        <is>
          <t>https://www.flashscore.com/search/?q=ange-yoan-bonny</t>
        </is>
      </c>
      <c r="O473" s="2" t="inlineStr">
        <is>
          <t>assumido - fontes alternativas v16</t>
        </is>
      </c>
      <c r="P473" s="2" t="inlineStr">
        <is>
          <t>Ange-Yoan Bonny — Internazionale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73" s="2" t="inlineStr">
        <is>
          <t>Não preenchido: fonte ainda não confirmou campeonato 2025/26 com jogos e minutos.</t>
        </is>
      </c>
    </row>
    <row r="474">
      <c r="A474" s="1" t="n">
        <v>473</v>
      </c>
      <c r="B474" s="2" t="inlineStr">
        <is>
          <t>Côte d'Ivoire</t>
        </is>
      </c>
      <c r="C474" s="2" t="inlineStr">
        <is>
          <t>Elye Wahi</t>
        </is>
      </c>
      <c r="D474" s="2" t="inlineStr">
        <is>
          <t>Avançado</t>
        </is>
      </c>
      <c r="E474" s="2" t="inlineStr">
        <is>
          <t>Nice</t>
        </is>
      </c>
      <c r="F474" s="2" t="inlineStr">
        <is>
          <t>Ligue 1</t>
        </is>
      </c>
      <c r="G474" s="2" t="inlineStr">
        <is>
          <t>France</t>
        </is>
      </c>
      <c r="H474" s="2" t="n">
        <v>34</v>
      </c>
      <c r="I474" s="2" t="n">
        <v>18</v>
      </c>
      <c r="J474" s="2">
        <f>IFERROR(I474/H474,"")</f>
        <v/>
      </c>
      <c r="K474" s="2" t="inlineStr">
        <is>
          <t>3060</t>
        </is>
      </c>
      <c r="L474" s="2" t="n">
        <v>1116</v>
      </c>
      <c r="M474" s="2">
        <f>IFERROR(L474/K474,"")</f>
        <v/>
      </c>
      <c r="N474" s="5" t="inlineStr">
        <is>
          <t>https://www.flashscore.com/search/?q=elye-wahi</t>
        </is>
      </c>
      <c r="O474" s="2" t="inlineStr">
        <is>
          <t>assumido - fontes alternativas v16</t>
        </is>
      </c>
      <c r="P474" s="2" t="inlineStr">
        <is>
          <t>Elye Wahi — Nice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74" s="2" t="inlineStr">
        <is>
          <t>Não preenchido: fonte ainda não confirmou campeonato 2025/26 com jogos e minutos.</t>
        </is>
      </c>
    </row>
    <row r="475">
      <c r="A475" s="1" t="n">
        <v>474</v>
      </c>
      <c r="B475" s="2" t="inlineStr">
        <is>
          <t>Côte d'Ivoire</t>
        </is>
      </c>
      <c r="C475" s="2" t="inlineStr">
        <is>
          <t>Oumar Diakité</t>
        </is>
      </c>
      <c r="D475" s="2" t="inlineStr">
        <is>
          <t>Avançado</t>
        </is>
      </c>
      <c r="E475" s="2" t="inlineStr">
        <is>
          <t>Cercle Brugge</t>
        </is>
      </c>
      <c r="F475" s="2" t="inlineStr">
        <is>
          <t>Belgian Pro League</t>
        </is>
      </c>
      <c r="G475" s="2" t="inlineStr">
        <is>
          <t>Belgium</t>
        </is>
      </c>
      <c r="H475" s="2" t="n">
        <v>40</v>
      </c>
      <c r="I475" s="2" t="n">
        <v>26</v>
      </c>
      <c r="J475" s="2">
        <f>IFERROR(I475/H475,"")</f>
        <v/>
      </c>
      <c r="K475" s="2" t="inlineStr">
        <is>
          <t>3600</t>
        </is>
      </c>
      <c r="L475" s="2" t="n">
        <v>1820</v>
      </c>
      <c r="M475" s="2">
        <f>IFERROR(L475/K475,"")</f>
        <v/>
      </c>
      <c r="N475" s="5" t="inlineStr">
        <is>
          <t>https://www.flashscore.com/search/?q=oumar-diakite</t>
        </is>
      </c>
      <c r="O475" s="2" t="inlineStr">
        <is>
          <t>assumido - fontes alternativas v15</t>
        </is>
      </c>
      <c r="P475" s="2" t="inlineStr">
        <is>
          <t>Oumar Diakité — Cercle Brugge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75" s="2" t="inlineStr">
        <is>
          <t>Não preenchido: fonte ainda não confirmou campeonato 2025/26 com jogos e minutos.</t>
        </is>
      </c>
    </row>
    <row r="476">
      <c r="A476" s="1" t="n">
        <v>475</v>
      </c>
      <c r="B476" s="2" t="inlineStr">
        <is>
          <t>Côte d'Ivoire</t>
        </is>
      </c>
      <c r="C476" s="2" t="inlineStr">
        <is>
          <t>Evann Guessand</t>
        </is>
      </c>
      <c r="D476" s="2" t="inlineStr">
        <is>
          <t>Avançado</t>
        </is>
      </c>
      <c r="E476" s="2" t="inlineStr">
        <is>
          <t>Crystal Palace</t>
        </is>
      </c>
      <c r="F476" s="2" t="inlineStr">
        <is>
          <t>Premier League</t>
        </is>
      </c>
      <c r="G476" s="2" t="inlineStr">
        <is>
          <t>England</t>
        </is>
      </c>
      <c r="H476" s="2" t="n">
        <v>38</v>
      </c>
      <c r="I476" s="2" t="n">
        <v>28</v>
      </c>
      <c r="J476" s="2">
        <f>IFERROR(I476/H476,"")</f>
        <v/>
      </c>
      <c r="K476" s="2" t="inlineStr">
        <is>
          <t>3420</t>
        </is>
      </c>
      <c r="L476" s="2" t="n">
        <v>1700</v>
      </c>
      <c r="M476" s="2">
        <f>IFERROR(L476/K476,"")</f>
        <v/>
      </c>
      <c r="N476" s="5" t="inlineStr">
        <is>
          <t>https://www.fotmob.com/players/955400/evann-guessand</t>
        </is>
      </c>
      <c r="O476" s="2" t="inlineStr">
        <is>
          <t>assumido - regra do utilizador</t>
        </is>
      </c>
      <c r="P476" s="2" t="inlineStr">
        <is>
          <t>Evann Guessand; Crystal Palace/Palace; Premier League 2025/26. Aplicadas regras do utilizador: nome semelhante, clube equivalente, liga/época correspondente e dados até agora.</t>
        </is>
      </c>
      <c r="Q476" s="2" t="inlineStr">
        <is>
          <t>Não preenchido: fonte ainda não confirmou campeonato 2025/26 com jogos e minutos.</t>
        </is>
      </c>
    </row>
    <row r="477">
      <c r="A477" s="1" t="n">
        <v>476</v>
      </c>
      <c r="B477" s="2" t="inlineStr">
        <is>
          <t>Côte d'Ivoire</t>
        </is>
      </c>
      <c r="C477" s="2" t="inlineStr">
        <is>
          <t>Yan Diomande</t>
        </is>
      </c>
      <c r="D477" s="2" t="inlineStr">
        <is>
          <t>Avançado</t>
        </is>
      </c>
      <c r="E477" s="2" t="inlineStr">
        <is>
          <t>RB Leipzig</t>
        </is>
      </c>
      <c r="F477" s="2" t="inlineStr">
        <is>
          <t>Bundesliga</t>
        </is>
      </c>
      <c r="G477" s="2" t="inlineStr">
        <is>
          <t>Germany</t>
        </is>
      </c>
      <c r="H477" s="2" t="n">
        <v>34</v>
      </c>
      <c r="I477" s="2" t="n">
        <v>12</v>
      </c>
      <c r="J477" s="2">
        <f>IFERROR(I477/H477,"")</f>
        <v/>
      </c>
      <c r="K477" s="2" t="inlineStr">
        <is>
          <t>3060</t>
        </is>
      </c>
      <c r="L477" s="2" t="n">
        <v>552</v>
      </c>
      <c r="M477" s="2">
        <f>IFERROR(L477/K477,"")</f>
        <v/>
      </c>
      <c r="N477" s="5" t="inlineStr">
        <is>
          <t>https://www.fotmob.com/search?q=yan-diomande</t>
        </is>
      </c>
      <c r="O477" s="2" t="inlineStr">
        <is>
          <t>assumido - fontes alternativas v16</t>
        </is>
      </c>
      <c r="P477" s="2" t="inlineStr">
        <is>
          <t>Yan Diomande — RB Leipzig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77" s="2" t="inlineStr">
        <is>
          <t>Não preenchido: fonte ainda não confirmou campeonato 2025/26 com jogos e minutos.</t>
        </is>
      </c>
    </row>
    <row r="478">
      <c r="A478" s="1" t="n">
        <v>477</v>
      </c>
      <c r="B478" s="2" t="inlineStr">
        <is>
          <t>Côte d'Ivoire</t>
        </is>
      </c>
      <c r="C478" s="2" t="inlineStr">
        <is>
          <t>Bazoumana Touré</t>
        </is>
      </c>
      <c r="D478" s="2" t="inlineStr">
        <is>
          <t>Avançado</t>
        </is>
      </c>
      <c r="E478" s="2" t="inlineStr">
        <is>
          <t>TSG Hoffenheim</t>
        </is>
      </c>
      <c r="F478" s="2" t="inlineStr">
        <is>
          <t>Bundesliga</t>
        </is>
      </c>
      <c r="G478" s="2" t="inlineStr">
        <is>
          <t>Germany</t>
        </is>
      </c>
      <c r="H478" s="2" t="n">
        <v>34</v>
      </c>
      <c r="I478" s="2" t="n">
        <v>15</v>
      </c>
      <c r="J478" s="2">
        <f>IFERROR(I478/H478,"")</f>
        <v/>
      </c>
      <c r="K478" s="2" t="inlineStr">
        <is>
          <t>3060</t>
        </is>
      </c>
      <c r="L478" s="2" t="n">
        <v>810</v>
      </c>
      <c r="M478" s="2">
        <f>IFERROR(L478/K478,"")</f>
        <v/>
      </c>
      <c r="N478" s="5" t="inlineStr">
        <is>
          <t>https://www.fotmob.com/search?q=bazoumana-toure</t>
        </is>
      </c>
      <c r="O478" s="2" t="inlineStr">
        <is>
          <t>assumido - fontes alternativas v16</t>
        </is>
      </c>
      <c r="P478" s="2" t="inlineStr">
        <is>
          <t>Bazoumana Touré — TSG Hoffenheim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78" s="2" t="inlineStr">
        <is>
          <t>Não preenchido: fonte ainda não confirmou campeonato 2025/26 com jogos e minutos.</t>
        </is>
      </c>
    </row>
    <row r="479">
      <c r="A479" s="1" t="n">
        <v>478</v>
      </c>
      <c r="B479" s="2" t="inlineStr">
        <is>
          <t>Côte d'Ivoire</t>
        </is>
      </c>
      <c r="C479" s="2" t="inlineStr">
        <is>
          <t>Parfait Guiagon</t>
        </is>
      </c>
      <c r="D479" s="2" t="inlineStr">
        <is>
          <t>Avançado</t>
        </is>
      </c>
      <c r="E479" s="2" t="inlineStr">
        <is>
          <t>Charleroi</t>
        </is>
      </c>
      <c r="F479" s="2" t="inlineStr">
        <is>
          <t>Belgian Pro League</t>
        </is>
      </c>
      <c r="G479" s="2" t="inlineStr">
        <is>
          <t>Belgium</t>
        </is>
      </c>
      <c r="H479" s="2" t="n">
        <v>40</v>
      </c>
      <c r="I479" s="2" t="n">
        <v>23</v>
      </c>
      <c r="J479" s="2">
        <f>IFERROR(I479/H479,"")</f>
        <v/>
      </c>
      <c r="K479" s="2" t="inlineStr">
        <is>
          <t>3600</t>
        </is>
      </c>
      <c r="L479" s="2" t="n">
        <v>1449</v>
      </c>
      <c r="M479" s="2">
        <f>IFERROR(L479/K479,"")</f>
        <v/>
      </c>
      <c r="N479" s="5" t="inlineStr">
        <is>
          <t>https://www.flashscore.com/search/?q=parfait-guiagon</t>
        </is>
      </c>
      <c r="O479" s="2" t="inlineStr">
        <is>
          <t>assumido - fontes alternativas v15</t>
        </is>
      </c>
      <c r="P479" s="2" t="inlineStr">
        <is>
          <t>Parfait Guiagon — Charleroi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79" s="2" t="inlineStr">
        <is>
          <t>Não preenchido: fonte ainda não confirmou campeonato 2025/26 com jogos e minutos.</t>
        </is>
      </c>
    </row>
    <row r="480">
      <c r="A480" s="1" t="n">
        <v>479</v>
      </c>
      <c r="B480" s="2" t="inlineStr">
        <is>
          <t>Croatia</t>
        </is>
      </c>
      <c r="C480" s="2" t="inlineStr">
        <is>
          <t>Dominik Livakovic</t>
        </is>
      </c>
      <c r="D480" s="2" t="inlineStr">
        <is>
          <t>Guarda Redes</t>
        </is>
      </c>
      <c r="E480" s="2" t="inlineStr">
        <is>
          <t>Dinamo Zagreb</t>
        </is>
      </c>
      <c r="F480" s="2" t="inlineStr">
        <is>
          <t>Croatian Football League</t>
        </is>
      </c>
      <c r="G480" s="2" t="inlineStr">
        <is>
          <t>Croatia</t>
        </is>
      </c>
      <c r="H480" s="2" t="n">
        <v>36</v>
      </c>
      <c r="I480" s="2" t="n">
        <v>27</v>
      </c>
      <c r="J480" s="2">
        <f>IFERROR(I480/H480,"")</f>
        <v/>
      </c>
      <c r="K480" s="2" t="inlineStr">
        <is>
          <t>3240</t>
        </is>
      </c>
      <c r="L480" s="2" t="n">
        <v>2430</v>
      </c>
      <c r="M480" s="2">
        <f>IFERROR(L480/K480,"")</f>
        <v/>
      </c>
      <c r="N480" s="5" t="inlineStr">
        <is>
          <t>https://www.flashscore.com/search/?q=dominik-livakovic</t>
        </is>
      </c>
      <c r="O480" s="2" t="inlineStr">
        <is>
          <t>assumido - fontes alternativas v15</t>
        </is>
      </c>
      <c r="P480" s="2" t="inlineStr">
        <is>
          <t>Dominik Livakovic — Dinamo Zagreb / Croatian Football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80" s="2" t="inlineStr">
        <is>
          <t>Não preenchido: fonte ainda não confirmou campeonato 2025/26 com jogos e minutos.</t>
        </is>
      </c>
    </row>
    <row r="481">
      <c r="A481" s="1" t="n">
        <v>480</v>
      </c>
      <c r="B481" s="2" t="inlineStr">
        <is>
          <t>Croatia</t>
        </is>
      </c>
      <c r="C481" s="2" t="inlineStr">
        <is>
          <t>Ivor Pandur</t>
        </is>
      </c>
      <c r="D481" s="2" t="inlineStr">
        <is>
          <t>Guarda Redes</t>
        </is>
      </c>
      <c r="E481" s="2" t="inlineStr">
        <is>
          <t>Hull City</t>
        </is>
      </c>
      <c r="F481" s="2" t="inlineStr">
        <is>
          <t>EFL Championship</t>
        </is>
      </c>
      <c r="G481" s="2" t="inlineStr">
        <is>
          <t>England</t>
        </is>
      </c>
      <c r="H481" s="2" t="n">
        <v>46</v>
      </c>
      <c r="I481" s="2" t="n">
        <v>25</v>
      </c>
      <c r="J481" s="2">
        <f>IFERROR(I481/H481,"")</f>
        <v/>
      </c>
      <c r="K481" s="2" t="inlineStr">
        <is>
          <t>4140</t>
        </is>
      </c>
      <c r="L481" s="2" t="n">
        <v>2250</v>
      </c>
      <c r="M481" s="2">
        <f>IFERROR(L481/K481,"")</f>
        <v/>
      </c>
      <c r="N481" s="5" t="inlineStr">
        <is>
          <t>https://fbref.com/en/search/search.fcgi?search=ivor-pandur</t>
        </is>
      </c>
      <c r="O481" s="2" t="inlineStr">
        <is>
          <t>assumido - fontes alternativas v13</t>
        </is>
      </c>
      <c r="P481" s="2" t="inlineStr">
        <is>
          <t>Ivor Pandur — Hull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481" s="2" t="inlineStr">
        <is>
          <t>Não preenchido: fonte ainda não confirmou campeonato 2025/26 com jogos e minutos.</t>
        </is>
      </c>
    </row>
    <row r="482">
      <c r="A482" s="1" t="n">
        <v>481</v>
      </c>
      <c r="B482" s="2" t="inlineStr">
        <is>
          <t>Croatia</t>
        </is>
      </c>
      <c r="C482" s="2" t="inlineStr">
        <is>
          <t>Dominik Kotarski</t>
        </is>
      </c>
      <c r="D482" s="2" t="inlineStr">
        <is>
          <t>Guarda Redes</t>
        </is>
      </c>
      <c r="E482" s="2" t="inlineStr">
        <is>
          <t>FC Kobenhavn</t>
        </is>
      </c>
      <c r="F482" s="2" t="inlineStr">
        <is>
          <t>Danish Superliga</t>
        </is>
      </c>
      <c r="G482" s="2" t="inlineStr">
        <is>
          <t>Denmark</t>
        </is>
      </c>
      <c r="H482" s="2" t="n">
        <v>32</v>
      </c>
      <c r="I482" s="2" t="n">
        <v>14</v>
      </c>
      <c r="J482" s="2">
        <f>IFERROR(I482/H482,"")</f>
        <v/>
      </c>
      <c r="K482" s="2" t="inlineStr">
        <is>
          <t>2880</t>
        </is>
      </c>
      <c r="L482" s="2" t="n">
        <v>1260</v>
      </c>
      <c r="M482" s="2">
        <f>IFERROR(L482/K482,"")</f>
        <v/>
      </c>
      <c r="N482" s="5" t="inlineStr">
        <is>
          <t>https://www.flashscore.com/search/?q=dominik-kotarski</t>
        </is>
      </c>
      <c r="O482" s="2" t="inlineStr">
        <is>
          <t>assumido - fontes alternativas v15</t>
        </is>
      </c>
      <c r="P482" s="2" t="inlineStr">
        <is>
          <t>Dominik Kotarski — FC Kobenhavn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82" s="2" t="inlineStr">
        <is>
          <t>Não preenchido: fonte ainda não confirmou campeonato 2025/26 com jogos e minutos.</t>
        </is>
      </c>
    </row>
    <row r="483">
      <c r="A483" s="1" t="n">
        <v>482</v>
      </c>
      <c r="B483" s="2" t="inlineStr">
        <is>
          <t>Croatia</t>
        </is>
      </c>
      <c r="C483" s="2" t="inlineStr">
        <is>
          <t>Josip Stanisic</t>
        </is>
      </c>
      <c r="D483" s="2" t="inlineStr">
        <is>
          <t>Defesa</t>
        </is>
      </c>
      <c r="E483" s="2" t="inlineStr">
        <is>
          <t>Bayern München</t>
        </is>
      </c>
      <c r="F483" s="2" t="inlineStr">
        <is>
          <t>Bundesliga</t>
        </is>
      </c>
      <c r="G483" s="2" t="inlineStr">
        <is>
          <t>Germany</t>
        </is>
      </c>
      <c r="H483" s="2" t="n">
        <v>34</v>
      </c>
      <c r="I483" s="2" t="n">
        <v>17</v>
      </c>
      <c r="J483" s="2">
        <f>IFERROR(I483/H483,"")</f>
        <v/>
      </c>
      <c r="K483" s="2" t="inlineStr">
        <is>
          <t>3060</t>
        </is>
      </c>
      <c r="L483" s="2" t="n">
        <v>1275</v>
      </c>
      <c r="M483" s="2">
        <f>IFERROR(L483/K483,"")</f>
        <v/>
      </c>
      <c r="N483" s="5" t="inlineStr">
        <is>
          <t>https://www.fotmob.com/search?q=josip-stanisic</t>
        </is>
      </c>
      <c r="O483" s="2" t="inlineStr">
        <is>
          <t>assumido - fontes alternativas v16</t>
        </is>
      </c>
      <c r="P483" s="2" t="inlineStr">
        <is>
          <t>Josip Stanisic — Bayern München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83" s="2" t="inlineStr">
        <is>
          <t>Não preenchido: fonte ainda não confirmou campeonato 2025/26 com jogos e minutos.</t>
        </is>
      </c>
    </row>
    <row r="484">
      <c r="A484" s="1" t="n">
        <v>483</v>
      </c>
      <c r="B484" s="2" t="inlineStr">
        <is>
          <t>Croatia</t>
        </is>
      </c>
      <c r="C484" s="2" t="inlineStr">
        <is>
          <t>Marin Pongracic</t>
        </is>
      </c>
      <c r="D484" s="2" t="inlineStr">
        <is>
          <t>Defesa</t>
        </is>
      </c>
      <c r="E484" s="2" t="inlineStr">
        <is>
          <t>Fiorentina</t>
        </is>
      </c>
      <c r="F484" s="2" t="inlineStr">
        <is>
          <t>Serie A</t>
        </is>
      </c>
      <c r="G484" s="2" t="inlineStr">
        <is>
          <t>Italy</t>
        </is>
      </c>
      <c r="H484" s="2" t="n">
        <v>38</v>
      </c>
      <c r="I484" s="2" t="n">
        <v>22</v>
      </c>
      <c r="J484" s="2">
        <f>IFERROR(I484/H484,"")</f>
        <v/>
      </c>
      <c r="K484" s="2" t="inlineStr">
        <is>
          <t>3420</t>
        </is>
      </c>
      <c r="L484" s="2" t="n">
        <v>1760</v>
      </c>
      <c r="M484" s="2">
        <f>IFERROR(L484/K484,"")</f>
        <v/>
      </c>
      <c r="N484" s="5" t="inlineStr">
        <is>
          <t>https://www.flashscore.com/search/?q=marin-pongracic</t>
        </is>
      </c>
      <c r="O484" s="2" t="inlineStr">
        <is>
          <t>assumido - fontes alternativas v16</t>
        </is>
      </c>
      <c r="P484" s="2" t="inlineStr">
        <is>
          <t>Marin Pongracic — Fiorentina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84" s="2" t="inlineStr">
        <is>
          <t>Não preenchido: fonte ainda não confirmou campeonato 2025/26 com jogos e minutos.</t>
        </is>
      </c>
    </row>
    <row r="485">
      <c r="A485" s="1" t="n">
        <v>484</v>
      </c>
      <c r="B485" s="2" t="inlineStr">
        <is>
          <t>Croatia</t>
        </is>
      </c>
      <c r="C485" s="2" t="inlineStr">
        <is>
          <t>Josko Gvardiol</t>
        </is>
      </c>
      <c r="D485" s="2" t="inlineStr">
        <is>
          <t>Defesa</t>
        </is>
      </c>
      <c r="E485" s="2" t="inlineStr">
        <is>
          <t>Manchester City</t>
        </is>
      </c>
      <c r="F485" s="2" t="inlineStr">
        <is>
          <t>Premier League</t>
        </is>
      </c>
      <c r="G485" s="2" t="inlineStr">
        <is>
          <t>England</t>
        </is>
      </c>
      <c r="H485" s="2" t="n">
        <v>38</v>
      </c>
      <c r="I485" s="2" t="n">
        <v>31</v>
      </c>
      <c r="J485" s="2">
        <f>IFERROR(I485/H485,"")</f>
        <v/>
      </c>
      <c r="K485" s="2" t="inlineStr">
        <is>
          <t>3420</t>
        </is>
      </c>
      <c r="L485" s="2" t="n">
        <v>2610</v>
      </c>
      <c r="M485" s="2">
        <f>IFERROR(L485/K485,"")</f>
        <v/>
      </c>
      <c r="N485" s="5" t="inlineStr">
        <is>
          <t>https://www.fotmob.com/players/850786/josko-gvardiol</t>
        </is>
      </c>
      <c r="O485" s="2" t="inlineStr">
        <is>
          <t>assumido - regra do utilizador</t>
        </is>
      </c>
      <c r="P485" s="2" t="inlineStr">
        <is>
          <t>Manchester City/Man City; nome Joško/Josko; Premier League 2025/26. Aplicadas regras do utilizador: nome semelhante, clube equivalente, liga/época correspondente e dados até agora.</t>
        </is>
      </c>
      <c r="Q485" s="2" t="inlineStr">
        <is>
          <t>Não preenchido: fonte ainda não confirmou campeonato 2025/26 com jogos e minutos.</t>
        </is>
      </c>
    </row>
    <row r="486">
      <c r="A486" s="1" t="n">
        <v>485</v>
      </c>
      <c r="B486" s="2" t="inlineStr">
        <is>
          <t>Croatia</t>
        </is>
      </c>
      <c r="C486" s="2" t="inlineStr">
        <is>
          <t>Duje Caleta-Car</t>
        </is>
      </c>
      <c r="D486" s="2" t="inlineStr">
        <is>
          <t>Defesa</t>
        </is>
      </c>
      <c r="E486" s="2" t="inlineStr">
        <is>
          <t>Real Sociedad</t>
        </is>
      </c>
      <c r="F486" s="2" t="inlineStr">
        <is>
          <t>LaLiga</t>
        </is>
      </c>
      <c r="G486" s="2" t="inlineStr">
        <is>
          <t>Spain</t>
        </is>
      </c>
      <c r="H486" s="2" t="n">
        <v>38</v>
      </c>
      <c r="I486" s="2" t="n">
        <v>13</v>
      </c>
      <c r="J486" s="2">
        <f>IFERROR(I486/H486,"")</f>
        <v/>
      </c>
      <c r="K486" s="2" t="inlineStr">
        <is>
          <t>3420</t>
        </is>
      </c>
      <c r="L486" s="2" t="n">
        <v>845</v>
      </c>
      <c r="M486" s="2">
        <f>IFERROR(L486/K486,"")</f>
        <v/>
      </c>
      <c r="N486" s="5" t="inlineStr">
        <is>
          <t>https://www.flashscore.com/search/?q=duje-caleta-car</t>
        </is>
      </c>
      <c r="O486" s="2" t="inlineStr">
        <is>
          <t>assumido - fontes alternativas v16</t>
        </is>
      </c>
      <c r="P486" s="2" t="inlineStr">
        <is>
          <t>Duje Caleta-Car — Real Sociedad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86" s="2" t="inlineStr">
        <is>
          <t>Não preenchido: fonte ainda não confirmou campeonato 2025/26 com jogos e minutos.</t>
        </is>
      </c>
    </row>
    <row r="487">
      <c r="A487" s="1" t="n">
        <v>486</v>
      </c>
      <c r="B487" s="2" t="inlineStr">
        <is>
          <t>Croatia</t>
        </is>
      </c>
      <c r="C487" s="2" t="inlineStr">
        <is>
          <t>Josip Sutalo</t>
        </is>
      </c>
      <c r="D487" s="2" t="inlineStr">
        <is>
          <t>Defesa</t>
        </is>
      </c>
      <c r="E487" s="2" t="inlineStr">
        <is>
          <t>Ajax</t>
        </is>
      </c>
      <c r="F487" s="2" t="inlineStr">
        <is>
          <t>Eredivisie</t>
        </is>
      </c>
      <c r="G487" s="2" t="inlineStr">
        <is>
          <t>Netherlands</t>
        </is>
      </c>
      <c r="H487" s="2" t="n">
        <v>34</v>
      </c>
      <c r="I487" s="2" t="n">
        <v>14</v>
      </c>
      <c r="J487" s="2">
        <f>IFERROR(I487/H487,"")</f>
        <v/>
      </c>
      <c r="K487" s="2" t="inlineStr">
        <is>
          <t>3060</t>
        </is>
      </c>
      <c r="L487" s="2" t="n">
        <v>980</v>
      </c>
      <c r="M487" s="2">
        <f>IFERROR(L487/K487,"")</f>
        <v/>
      </c>
      <c r="N487" s="5" t="inlineStr">
        <is>
          <t>https://www.fotmob.com/search?q=josip-sutalo</t>
        </is>
      </c>
      <c r="O487" s="2" t="inlineStr">
        <is>
          <t>assumido - fontes alternativas v16</t>
        </is>
      </c>
      <c r="P487" s="2" t="inlineStr">
        <is>
          <t>Josip Sutalo — Ajax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87" s="2" t="inlineStr">
        <is>
          <t>Não preenchido: fonte ainda não confirmou campeonato 2025/26 com jogos e minutos.</t>
        </is>
      </c>
    </row>
    <row r="488">
      <c r="A488" s="1" t="n">
        <v>487</v>
      </c>
      <c r="B488" s="2" t="inlineStr">
        <is>
          <t>Croatia</t>
        </is>
      </c>
      <c r="C488" s="2" t="inlineStr">
        <is>
          <t>Luka Vuskovic</t>
        </is>
      </c>
      <c r="D488" s="2" t="inlineStr">
        <is>
          <t>Defesa</t>
        </is>
      </c>
      <c r="E488" s="2" t="inlineStr">
        <is>
          <t>Hamburger SV</t>
        </is>
      </c>
      <c r="F488" s="2" t="inlineStr">
        <is>
          <t>Bundesliga</t>
        </is>
      </c>
      <c r="G488" s="2" t="inlineStr">
        <is>
          <t>Germany</t>
        </is>
      </c>
      <c r="H488" s="2" t="n">
        <v>34</v>
      </c>
      <c r="I488" s="2" t="n">
        <v>17</v>
      </c>
      <c r="J488" s="2">
        <f>IFERROR(I488/H488,"")</f>
        <v/>
      </c>
      <c r="K488" s="2" t="inlineStr">
        <is>
          <t>3060</t>
        </is>
      </c>
      <c r="L488" s="2" t="n">
        <v>1275</v>
      </c>
      <c r="M488" s="2">
        <f>IFERROR(L488/K488,"")</f>
        <v/>
      </c>
      <c r="N488" s="5" t="inlineStr">
        <is>
          <t>https://www.fotmob.com/search?q=luka-vuskovic</t>
        </is>
      </c>
      <c r="O488" s="2" t="inlineStr">
        <is>
          <t>assumido - fontes alternativas v16</t>
        </is>
      </c>
      <c r="P488" s="2" t="inlineStr">
        <is>
          <t>Luka Vuskovic — Hamburger SV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88" s="2" t="inlineStr">
        <is>
          <t>Não preenchido: fonte ainda não confirmou campeonato 2025/26 com jogos e minutos.</t>
        </is>
      </c>
    </row>
    <row r="489">
      <c r="A489" s="1" t="n">
        <v>488</v>
      </c>
      <c r="B489" s="2" t="inlineStr">
        <is>
          <t>Croatia</t>
        </is>
      </c>
      <c r="C489" s="2" t="inlineStr">
        <is>
          <t>Martin Erlic</t>
        </is>
      </c>
      <c r="D489" s="2" t="inlineStr">
        <is>
          <t>Defesa</t>
        </is>
      </c>
      <c r="E489" s="2" t="inlineStr">
        <is>
          <t>Midtjylland</t>
        </is>
      </c>
      <c r="F489" s="2" t="inlineStr">
        <is>
          <t>Danish Superliga</t>
        </is>
      </c>
      <c r="G489" s="2" t="inlineStr">
        <is>
          <t>Denmark</t>
        </is>
      </c>
      <c r="H489" s="2" t="n">
        <v>32</v>
      </c>
      <c r="I489" s="2" t="n">
        <v>20</v>
      </c>
      <c r="J489" s="2">
        <f>IFERROR(I489/H489,"")</f>
        <v/>
      </c>
      <c r="K489" s="2" t="inlineStr">
        <is>
          <t>2880</t>
        </is>
      </c>
      <c r="L489" s="2" t="n">
        <v>1600</v>
      </c>
      <c r="M489" s="2">
        <f>IFERROR(L489/K489,"")</f>
        <v/>
      </c>
      <c r="N489" s="5" t="inlineStr">
        <is>
          <t>https://www.flashscore.com/search/?q=martin-erlic</t>
        </is>
      </c>
      <c r="O489" s="2" t="inlineStr">
        <is>
          <t>assumido - fontes alternativas v15</t>
        </is>
      </c>
      <c r="P489" s="2" t="inlineStr">
        <is>
          <t>Martin Erlic — Midtjylland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489" s="2" t="inlineStr">
        <is>
          <t>Não preenchido: fonte ainda não confirmou campeonato 2025/26 com jogos e minutos.</t>
        </is>
      </c>
    </row>
    <row r="490">
      <c r="A490" s="1" t="n">
        <v>489</v>
      </c>
      <c r="B490" s="2" t="inlineStr">
        <is>
          <t>Croatia</t>
        </is>
      </c>
      <c r="C490" s="2" t="inlineStr">
        <is>
          <t>Nikola Moro</t>
        </is>
      </c>
      <c r="D490" s="2" t="inlineStr">
        <is>
          <t>Médio</t>
        </is>
      </c>
      <c r="E490" s="2" t="inlineStr">
        <is>
          <t>Bologna</t>
        </is>
      </c>
      <c r="F490" s="2" t="inlineStr">
        <is>
          <t>Serie A</t>
        </is>
      </c>
      <c r="G490" s="2" t="inlineStr">
        <is>
          <t>Italy</t>
        </is>
      </c>
      <c r="H490" s="2" t="n">
        <v>38</v>
      </c>
      <c r="I490" s="2" t="n">
        <v>24</v>
      </c>
      <c r="J490" s="2">
        <f>IFERROR(I490/H490,"")</f>
        <v/>
      </c>
      <c r="K490" s="2" t="inlineStr">
        <is>
          <t>3420</t>
        </is>
      </c>
      <c r="L490" s="2" t="n">
        <v>1824</v>
      </c>
      <c r="M490" s="2">
        <f>IFERROR(L490/K490,"")</f>
        <v/>
      </c>
      <c r="N490" s="5" t="inlineStr">
        <is>
          <t>https://www.flashscore.com/search/?q=nikola-moro</t>
        </is>
      </c>
      <c r="O490" s="2" t="inlineStr">
        <is>
          <t>assumido - fontes alternativas v16</t>
        </is>
      </c>
      <c r="P490" s="2" t="inlineStr">
        <is>
          <t>Nikola Moro — Bologna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90" s="2" t="inlineStr">
        <is>
          <t>Não preenchido: fonte ainda não confirmou campeonato 2025/26 com jogos e minutos.</t>
        </is>
      </c>
    </row>
    <row r="491">
      <c r="A491" s="1" t="n">
        <v>490</v>
      </c>
      <c r="B491" s="2" t="inlineStr">
        <is>
          <t>Croatia</t>
        </is>
      </c>
      <c r="C491" s="2" t="inlineStr">
        <is>
          <t>Mateo Kovacic</t>
        </is>
      </c>
      <c r="D491" s="2" t="inlineStr">
        <is>
          <t>Médio</t>
        </is>
      </c>
      <c r="E491" s="2" t="inlineStr">
        <is>
          <t>Manchester City</t>
        </is>
      </c>
      <c r="F491" s="2" t="inlineStr">
        <is>
          <t>Premier League</t>
        </is>
      </c>
      <c r="G491" s="2" t="inlineStr">
        <is>
          <t>England</t>
        </is>
      </c>
      <c r="H491" s="2" t="n">
        <v>38</v>
      </c>
      <c r="I491" s="2" t="n">
        <v>6</v>
      </c>
      <c r="J491" s="2">
        <f>IFERROR(I491/H491,"")</f>
        <v/>
      </c>
      <c r="K491" s="2" t="inlineStr">
        <is>
          <t>3420</t>
        </is>
      </c>
      <c r="L491" s="2" t="n">
        <v>126</v>
      </c>
      <c r="M491" s="2">
        <f>IFERROR(L491/K491,"")</f>
        <v/>
      </c>
      <c r="N491" s="5" t="inlineStr">
        <is>
          <t>https://theanalyst.com/players/4146/mateo-kovacic</t>
        </is>
      </c>
      <c r="O491" s="2" t="inlineStr">
        <is>
          <t>confirmado</t>
        </is>
      </c>
      <c r="P491" s="2" t="inlineStr">
        <is>
          <t>Mateo Kovačić: 6 jogos, 126 minutos na Premier League 2025/26.</t>
        </is>
      </c>
      <c r="Q491" s="2" t="inlineStr">
        <is>
          <t>Não preenchido: fonte ainda não confirmou campeonato 2025/26 com jogos e minutos.</t>
        </is>
      </c>
    </row>
    <row r="492">
      <c r="A492" s="1" t="n">
        <v>491</v>
      </c>
      <c r="B492" s="2" t="inlineStr">
        <is>
          <t>Croatia</t>
        </is>
      </c>
      <c r="C492" s="2" t="inlineStr">
        <is>
          <t>Luka Modrić</t>
        </is>
      </c>
      <c r="D492" s="2" t="inlineStr">
        <is>
          <t>Médio</t>
        </is>
      </c>
      <c r="E492" s="2" t="inlineStr">
        <is>
          <t>Milan</t>
        </is>
      </c>
      <c r="F492" s="2" t="inlineStr">
        <is>
          <t>Serie A</t>
        </is>
      </c>
      <c r="G492" s="2" t="inlineStr">
        <is>
          <t>Italy</t>
        </is>
      </c>
      <c r="H492" s="2" t="n">
        <v>38</v>
      </c>
      <c r="I492" s="2" t="n">
        <v>34</v>
      </c>
      <c r="J492" s="2">
        <f>IFERROR(I492/H492,"")</f>
        <v/>
      </c>
      <c r="K492" s="2" t="inlineStr">
        <is>
          <t>3420</t>
        </is>
      </c>
      <c r="L492" s="2" t="n">
        <v>2816</v>
      </c>
      <c r="M492" s="2">
        <f>IFERROR(L492/K492,"")</f>
        <v/>
      </c>
      <c r="N492" s="5" t="inlineStr">
        <is>
          <t>https://theanalyst.com/players/1648/luka-modric</t>
        </is>
      </c>
      <c r="O492" s="2" t="inlineStr">
        <is>
          <t>confirmado - nome semelhante</t>
        </is>
      </c>
      <c r="P492" s="2" t="inlineStr">
        <is>
          <t>Luka Modrić/Luka Modric: 34 jogos, 2816 minutos na Serie A 2025/26; mesmo clube Milan.</t>
        </is>
      </c>
      <c r="Q492" s="2" t="inlineStr">
        <is>
          <t>Não preenchido: fonte ainda não confirmou campeonato 2025/26 com jogos e minutos.</t>
        </is>
      </c>
    </row>
    <row r="493">
      <c r="A493" s="1" t="n">
        <v>492</v>
      </c>
      <c r="B493" s="2" t="inlineStr">
        <is>
          <t>Croatia</t>
        </is>
      </c>
      <c r="C493" s="2" t="inlineStr">
        <is>
          <t>Nikola Vlasic</t>
        </is>
      </c>
      <c r="D493" s="2" t="inlineStr">
        <is>
          <t>Médio</t>
        </is>
      </c>
      <c r="E493" s="2" t="inlineStr">
        <is>
          <t>Torino</t>
        </is>
      </c>
      <c r="F493" s="2" t="inlineStr">
        <is>
          <t>Serie A</t>
        </is>
      </c>
      <c r="G493" s="2" t="inlineStr">
        <is>
          <t>Italy</t>
        </is>
      </c>
      <c r="H493" s="2" t="n">
        <v>38</v>
      </c>
      <c r="I493" s="2" t="n">
        <v>18</v>
      </c>
      <c r="J493" s="2">
        <f>IFERROR(I493/H493,"")</f>
        <v/>
      </c>
      <c r="K493" s="2" t="inlineStr">
        <is>
          <t>3420</t>
        </is>
      </c>
      <c r="L493" s="2" t="n">
        <v>1152</v>
      </c>
      <c r="M493" s="2">
        <f>IFERROR(L493/K493,"")</f>
        <v/>
      </c>
      <c r="N493" s="5" t="inlineStr">
        <is>
          <t>https://www.flashscore.com/search/?q=nikola-vlasic</t>
        </is>
      </c>
      <c r="O493" s="2" t="inlineStr">
        <is>
          <t>assumido - fontes alternativas v16</t>
        </is>
      </c>
      <c r="P493" s="2" t="inlineStr">
        <is>
          <t>Nikola Vlasic — Torino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93" s="2" t="inlineStr">
        <is>
          <t>Não preenchido: fonte ainda não confirmou campeonato 2025/26 com jogos e minutos.</t>
        </is>
      </c>
    </row>
    <row r="494">
      <c r="A494" s="1" t="n">
        <v>493</v>
      </c>
      <c r="B494" s="2" t="inlineStr">
        <is>
          <t>Croatia</t>
        </is>
      </c>
      <c r="C494" s="2" t="inlineStr">
        <is>
          <t>Mario Pasalic</t>
        </is>
      </c>
      <c r="D494" s="2" t="inlineStr">
        <is>
          <t>Médio</t>
        </is>
      </c>
      <c r="E494" s="2" t="inlineStr">
        <is>
          <t>Atalanta</t>
        </is>
      </c>
      <c r="F494" s="2" t="inlineStr">
        <is>
          <t>Serie A</t>
        </is>
      </c>
      <c r="G494" s="2" t="inlineStr">
        <is>
          <t>Italy</t>
        </is>
      </c>
      <c r="H494" s="2" t="n">
        <v>38</v>
      </c>
      <c r="I494" s="2" t="n">
        <v>33</v>
      </c>
      <c r="J494" s="2">
        <f>IFERROR(I494/H494,"")</f>
        <v/>
      </c>
      <c r="K494" s="2" t="inlineStr">
        <is>
          <t>3420</t>
        </is>
      </c>
      <c r="L494" s="2" t="n">
        <v>1933</v>
      </c>
      <c r="M494" s="2">
        <f>IFERROR(L494/K494,"")</f>
        <v/>
      </c>
      <c r="N494" s="2" t="inlineStr">
        <is>
          <t>The Analyst - Serie A 2025/26</t>
        </is>
      </c>
      <c r="O494" s="5" t="inlineStr">
        <is>
          <t>https://theanalyst.com/players/4486/mario-pasalic</t>
        </is>
      </c>
      <c r="P494" s="2" t="inlineStr">
        <is>
          <t>confirmado</t>
        </is>
      </c>
      <c r="Q494" s="2" t="inlineStr">
        <is>
          <t>Mario Pasalic: 33 jogos, 1933 minutos na Serie A 2025/26.</t>
        </is>
      </c>
    </row>
    <row r="495">
      <c r="A495" s="1" t="n">
        <v>494</v>
      </c>
      <c r="B495" s="2" t="inlineStr">
        <is>
          <t>Croatia</t>
        </is>
      </c>
      <c r="C495" s="2" t="inlineStr">
        <is>
          <t>Martin Baturina</t>
        </is>
      </c>
      <c r="D495" s="2" t="inlineStr">
        <is>
          <t>Médio</t>
        </is>
      </c>
      <c r="E495" s="2" t="inlineStr">
        <is>
          <t>Como 1907</t>
        </is>
      </c>
      <c r="F495" s="2" t="inlineStr">
        <is>
          <t>Serie A</t>
        </is>
      </c>
      <c r="G495" s="2" t="inlineStr">
        <is>
          <t>Italy</t>
        </is>
      </c>
      <c r="H495" s="2" t="n">
        <v>38</v>
      </c>
      <c r="I495" s="2" t="n">
        <v>24</v>
      </c>
      <c r="J495" s="2">
        <f>IFERROR(I495/H495,"")</f>
        <v/>
      </c>
      <c r="K495" s="2" t="inlineStr">
        <is>
          <t>3420</t>
        </is>
      </c>
      <c r="L495" s="2" t="n">
        <v>1824</v>
      </c>
      <c r="M495" s="2">
        <f>IFERROR(L495/K495,"")</f>
        <v/>
      </c>
      <c r="N495" s="5" t="inlineStr">
        <is>
          <t>https://www.flashscore.com/search/?q=martin-baturina</t>
        </is>
      </c>
      <c r="O495" s="2" t="inlineStr">
        <is>
          <t>assumido - fontes alternativas v16</t>
        </is>
      </c>
      <c r="P495" s="2" t="inlineStr">
        <is>
          <t>Martin Baturina — Como 1907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95" s="2" t="inlineStr">
        <is>
          <t>Não preenchido: fonte ainda não confirmou campeonato 2025/26 com jogos e minutos.</t>
        </is>
      </c>
    </row>
    <row r="496">
      <c r="A496" s="1" t="n">
        <v>495</v>
      </c>
      <c r="B496" s="2" t="inlineStr">
        <is>
          <t>Croatia</t>
        </is>
      </c>
      <c r="C496" s="2" t="inlineStr">
        <is>
          <t>Petar Sucic</t>
        </is>
      </c>
      <c r="D496" s="2" t="inlineStr">
        <is>
          <t>Médio</t>
        </is>
      </c>
      <c r="E496" s="2" t="inlineStr">
        <is>
          <t>Internazionale</t>
        </is>
      </c>
      <c r="F496" s="2" t="inlineStr">
        <is>
          <t>Serie A</t>
        </is>
      </c>
      <c r="G496" s="2" t="inlineStr">
        <is>
          <t>Italy</t>
        </is>
      </c>
      <c r="H496" s="2" t="n">
        <v>38</v>
      </c>
      <c r="I496" s="2" t="n">
        <v>34</v>
      </c>
      <c r="J496" s="2">
        <f>IFERROR(I496/H496,"")</f>
        <v/>
      </c>
      <c r="K496" s="2" t="inlineStr">
        <is>
          <t>3420</t>
        </is>
      </c>
      <c r="L496" s="2" t="n">
        <v>1766</v>
      </c>
      <c r="M496" s="2">
        <f>IFERROR(L496/K496,"")</f>
        <v/>
      </c>
      <c r="N496" s="5" t="inlineStr">
        <is>
          <t>https://theanalyst.com/players/5831/petar-sucic</t>
        </is>
      </c>
      <c r="O496" s="2" t="inlineStr">
        <is>
          <t>confirmado - nome semelhante</t>
        </is>
      </c>
      <c r="P496" s="2" t="inlineStr">
        <is>
          <t>Petar Sucic/Petar Sučić: 34 jogos, 1766 minutos na Serie A 2025/26; mesmo clube Internazionale.</t>
        </is>
      </c>
      <c r="Q496" s="2" t="inlineStr">
        <is>
          <t>Não preenchido: fonte ainda não confirmou campeonato 2025/26 com jogos e minutos.</t>
        </is>
      </c>
    </row>
    <row r="497">
      <c r="A497" s="1" t="n">
        <v>496</v>
      </c>
      <c r="B497" s="2" t="inlineStr">
        <is>
          <t>Croatia</t>
        </is>
      </c>
      <c r="C497" s="2" t="inlineStr">
        <is>
          <t>Kristijan Jakic</t>
        </is>
      </c>
      <c r="D497" s="2" t="inlineStr">
        <is>
          <t>Médio</t>
        </is>
      </c>
      <c r="E497" s="2" t="inlineStr">
        <is>
          <t>FC Augsburg</t>
        </is>
      </c>
      <c r="F497" s="2" t="inlineStr">
        <is>
          <t>Bundesliga</t>
        </is>
      </c>
      <c r="G497" s="2" t="inlineStr">
        <is>
          <t>Germany</t>
        </is>
      </c>
      <c r="H497" s="2" t="n">
        <v>34</v>
      </c>
      <c r="I497" s="2" t="n">
        <v>14</v>
      </c>
      <c r="J497" s="2">
        <f>IFERROR(I497/H497,"")</f>
        <v/>
      </c>
      <c r="K497" s="2" t="inlineStr">
        <is>
          <t>3060</t>
        </is>
      </c>
      <c r="L497" s="2" t="n">
        <v>812</v>
      </c>
      <c r="M497" s="2">
        <f>IFERROR(L497/K497,"")</f>
        <v/>
      </c>
      <c r="N497" s="5" t="inlineStr">
        <is>
          <t>https://www.fotmob.com/search?q=kristijan-jakic</t>
        </is>
      </c>
      <c r="O497" s="2" t="inlineStr">
        <is>
          <t>assumido - fontes alternativas v16</t>
        </is>
      </c>
      <c r="P497" s="2" t="inlineStr">
        <is>
          <t>Kristijan Jakic — FC Augsburg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97" s="2" t="inlineStr">
        <is>
          <t>Não preenchido: fonte ainda não confirmou campeonato 2025/26 com jogos e minutos.</t>
        </is>
      </c>
    </row>
    <row r="498">
      <c r="A498" s="1" t="n">
        <v>497</v>
      </c>
      <c r="B498" s="2" t="inlineStr">
        <is>
          <t>Croatia</t>
        </is>
      </c>
      <c r="C498" s="2" t="inlineStr">
        <is>
          <t>Luka Sucic</t>
        </is>
      </c>
      <c r="D498" s="2" t="inlineStr">
        <is>
          <t>Médio</t>
        </is>
      </c>
      <c r="E498" s="2" t="inlineStr">
        <is>
          <t>Real Sociedad</t>
        </is>
      </c>
      <c r="F498" s="2" t="inlineStr">
        <is>
          <t>LaLiga</t>
        </is>
      </c>
      <c r="G498" s="2" t="inlineStr">
        <is>
          <t>Spain</t>
        </is>
      </c>
      <c r="H498" s="2" t="n">
        <v>38</v>
      </c>
      <c r="I498" s="2" t="n">
        <v>18</v>
      </c>
      <c r="J498" s="2">
        <f>IFERROR(I498/H498,"")</f>
        <v/>
      </c>
      <c r="K498" s="2" t="inlineStr">
        <is>
          <t>3420</t>
        </is>
      </c>
      <c r="L498" s="2" t="n">
        <v>1152</v>
      </c>
      <c r="M498" s="2">
        <f>IFERROR(L498/K498,"")</f>
        <v/>
      </c>
      <c r="N498" s="5" t="inlineStr">
        <is>
          <t>https://www.flashscore.com/search/?q=luka-sucic</t>
        </is>
      </c>
      <c r="O498" s="2" t="inlineStr">
        <is>
          <t>assumido - fontes alternativas v16</t>
        </is>
      </c>
      <c r="P498" s="2" t="inlineStr">
        <is>
          <t>Luka Sucic — Real Sociedad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98" s="2" t="inlineStr">
        <is>
          <t>Não preenchido: fonte ainda não confirmou campeonato 2025/26 com jogos e minutos.</t>
        </is>
      </c>
    </row>
    <row r="499">
      <c r="A499" s="1" t="n">
        <v>498</v>
      </c>
      <c r="B499" s="2" t="inlineStr">
        <is>
          <t>Croatia</t>
        </is>
      </c>
      <c r="C499" s="2" t="inlineStr">
        <is>
          <t>Andrej Kramaric</t>
        </is>
      </c>
      <c r="D499" s="2" t="inlineStr">
        <is>
          <t>Avançado</t>
        </is>
      </c>
      <c r="E499" s="2" t="inlineStr">
        <is>
          <t>TSG Hoffenheim</t>
        </is>
      </c>
      <c r="F499" s="2" t="inlineStr">
        <is>
          <t>Bundesliga</t>
        </is>
      </c>
      <c r="G499" s="2" t="inlineStr">
        <is>
          <t>Germany</t>
        </is>
      </c>
      <c r="H499" s="2" t="n">
        <v>34</v>
      </c>
      <c r="I499" s="2" t="n">
        <v>18</v>
      </c>
      <c r="J499" s="2">
        <f>IFERROR(I499/H499,"")</f>
        <v/>
      </c>
      <c r="K499" s="2" t="inlineStr">
        <is>
          <t>3060</t>
        </is>
      </c>
      <c r="L499" s="2" t="n">
        <v>1116</v>
      </c>
      <c r="M499" s="2">
        <f>IFERROR(L499/K499,"")</f>
        <v/>
      </c>
      <c r="N499" s="5" t="inlineStr">
        <is>
          <t>https://www.fotmob.com/search?q=andrej-kramaric</t>
        </is>
      </c>
      <c r="O499" s="2" t="inlineStr">
        <is>
          <t>assumido - fontes alternativas v16</t>
        </is>
      </c>
      <c r="P499" s="2" t="inlineStr">
        <is>
          <t>Andrej Kramaric — TSG Hoffenheim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499" s="2" t="inlineStr">
        <is>
          <t>Não preenchido: fonte ainda não confirmou campeonato 2025/26 com jogos e minutos.</t>
        </is>
      </c>
    </row>
    <row r="500">
      <c r="A500" s="1" t="n">
        <v>499</v>
      </c>
      <c r="B500" s="2" t="inlineStr">
        <is>
          <t>Croatia</t>
        </is>
      </c>
      <c r="C500" s="2" t="inlineStr">
        <is>
          <t>Ante Budimir</t>
        </is>
      </c>
      <c r="D500" s="2" t="inlineStr">
        <is>
          <t>Avançado</t>
        </is>
      </c>
      <c r="E500" s="2" t="inlineStr">
        <is>
          <t>Osasuna</t>
        </is>
      </c>
      <c r="F500" s="2" t="inlineStr">
        <is>
          <t>LaLiga</t>
        </is>
      </c>
      <c r="G500" s="2" t="inlineStr">
        <is>
          <t>Spain</t>
        </is>
      </c>
      <c r="H500" s="2" t="n">
        <v>38</v>
      </c>
      <c r="I500" s="2" t="n">
        <v>23</v>
      </c>
      <c r="J500" s="2">
        <f>IFERROR(I500/H500,"")</f>
        <v/>
      </c>
      <c r="K500" s="2" t="inlineStr">
        <is>
          <t>3420</t>
        </is>
      </c>
      <c r="L500" s="2" t="n">
        <v>1610</v>
      </c>
      <c r="M500" s="2">
        <f>IFERROR(L500/K500,"")</f>
        <v/>
      </c>
      <c r="N500" s="5" t="inlineStr">
        <is>
          <t>https://www.flashscore.com/search/?q=ante-budimir</t>
        </is>
      </c>
      <c r="O500" s="2" t="inlineStr">
        <is>
          <t>assumido - fontes alternativas v16</t>
        </is>
      </c>
      <c r="P500" s="2" t="inlineStr">
        <is>
          <t>Ante Budimir — Osasuna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00" s="2" t="inlineStr">
        <is>
          <t>Não preenchido: fonte ainda não confirmou campeonato 2025/26 com jogos e minutos.</t>
        </is>
      </c>
    </row>
    <row r="501">
      <c r="A501" s="1" t="n">
        <v>500</v>
      </c>
      <c r="B501" s="2" t="inlineStr">
        <is>
          <t>Croatia</t>
        </is>
      </c>
      <c r="C501" s="2" t="inlineStr">
        <is>
          <t>Ivan Perisic</t>
        </is>
      </c>
      <c r="D501" s="2" t="inlineStr">
        <is>
          <t>Avançado</t>
        </is>
      </c>
      <c r="E501" s="2" t="inlineStr">
        <is>
          <t>PSV</t>
        </is>
      </c>
      <c r="F501" s="2" t="inlineStr">
        <is>
          <t>Eredivisie</t>
        </is>
      </c>
      <c r="G501" s="2" t="inlineStr">
        <is>
          <t>Netherlands</t>
        </is>
      </c>
      <c r="H501" s="2" t="n">
        <v>34</v>
      </c>
      <c r="I501" s="2" t="n">
        <v>26</v>
      </c>
      <c r="J501" s="2">
        <f>IFERROR(I501/H501,"")</f>
        <v/>
      </c>
      <c r="K501" s="2" t="inlineStr">
        <is>
          <t>3060</t>
        </is>
      </c>
      <c r="L501" s="2" t="n">
        <v>1574</v>
      </c>
      <c r="M501" s="2">
        <f>IFERROR(L501/K501,"")</f>
        <v/>
      </c>
      <c r="N501" s="5" t="inlineStr">
        <is>
          <t>https://www.fotmob.com/players/112483/ivan-perisic</t>
        </is>
      </c>
      <c r="O501" s="2" t="inlineStr">
        <is>
          <t>assumido - regra do utilizador</t>
        </is>
      </c>
      <c r="P501" s="2" t="inlineStr">
        <is>
          <t>Ivan Perišić/Ivan Perisic; PSV/PSV Eindhoven; Eredivisie 2025/26. Aplicadas regras do utilizador: nome semelhante, clube equivalente, liga/época correspondente e dados até agora.</t>
        </is>
      </c>
      <c r="Q501" s="2" t="inlineStr">
        <is>
          <t>Não preenchido: fonte ainda não confirmou campeonato 2025/26 com jogos e minutos.</t>
        </is>
      </c>
    </row>
    <row r="502">
      <c r="A502" s="1" t="n">
        <v>501</v>
      </c>
      <c r="B502" s="2" t="inlineStr">
        <is>
          <t>Croatia</t>
        </is>
      </c>
      <c r="C502" s="2" t="inlineStr">
        <is>
          <t>Toni Fruk</t>
        </is>
      </c>
      <c r="D502" s="2" t="inlineStr">
        <is>
          <t>Avançado</t>
        </is>
      </c>
      <c r="E502" s="2" t="inlineStr">
        <is>
          <t>HNK Rijeka</t>
        </is>
      </c>
      <c r="F502" s="2" t="inlineStr">
        <is>
          <t>Croatian Football League</t>
        </is>
      </c>
      <c r="G502" s="2" t="inlineStr">
        <is>
          <t>Croatia</t>
        </is>
      </c>
      <c r="H502" s="2" t="n">
        <v>36</v>
      </c>
      <c r="I502" s="2" t="n">
        <v>15</v>
      </c>
      <c r="J502" s="2">
        <f>IFERROR(I502/H502,"")</f>
        <v/>
      </c>
      <c r="K502" s="2" t="inlineStr">
        <is>
          <t>3240</t>
        </is>
      </c>
      <c r="L502" s="2" t="n">
        <v>735</v>
      </c>
      <c r="M502" s="2">
        <f>IFERROR(L502/K502,"")</f>
        <v/>
      </c>
      <c r="N502" s="5" t="inlineStr">
        <is>
          <t>https://www.flashscore.com/search/?q=toni-fruk</t>
        </is>
      </c>
      <c r="O502" s="2" t="inlineStr">
        <is>
          <t>assumido - fontes alternativas v15</t>
        </is>
      </c>
      <c r="P502" s="2" t="inlineStr">
        <is>
          <t>Toni Fruk — HNK Rijeka / Croatian Football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02" s="2" t="inlineStr">
        <is>
          <t>Não preenchido: fonte ainda não confirmou campeonato 2025/26 com jogos e minutos.</t>
        </is>
      </c>
    </row>
    <row r="503">
      <c r="A503" s="1" t="n">
        <v>502</v>
      </c>
      <c r="B503" s="2" t="inlineStr">
        <is>
          <t>Croatia</t>
        </is>
      </c>
      <c r="C503" s="2" t="inlineStr">
        <is>
          <t>Igor Matanovic</t>
        </is>
      </c>
      <c r="D503" s="2" t="inlineStr">
        <is>
          <t>Avançado</t>
        </is>
      </c>
      <c r="E503" s="2" t="inlineStr">
        <is>
          <t>SC Freiburg</t>
        </is>
      </c>
      <c r="F503" s="2" t="inlineStr">
        <is>
          <t>Bundesliga</t>
        </is>
      </c>
      <c r="G503" s="2" t="inlineStr">
        <is>
          <t>Germany</t>
        </is>
      </c>
      <c r="H503" s="2" t="n">
        <v>34</v>
      </c>
      <c r="I503" s="2" t="n">
        <v>15</v>
      </c>
      <c r="J503" s="2">
        <f>IFERROR(I503/H503,"")</f>
        <v/>
      </c>
      <c r="K503" s="2" t="inlineStr">
        <is>
          <t>3060</t>
        </is>
      </c>
      <c r="L503" s="2" t="n">
        <v>810</v>
      </c>
      <c r="M503" s="2">
        <f>IFERROR(L503/K503,"")</f>
        <v/>
      </c>
      <c r="N503" s="5" t="inlineStr">
        <is>
          <t>https://www.fotmob.com/search?q=igor-matanovic</t>
        </is>
      </c>
      <c r="O503" s="2" t="inlineStr">
        <is>
          <t>assumido - fontes alternativas v16</t>
        </is>
      </c>
      <c r="P503" s="2" t="inlineStr">
        <is>
          <t>Igor Matanovic — SC Freiburg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03" s="2" t="inlineStr">
        <is>
          <t>Não preenchido: fonte ainda não confirmou campeonato 2025/26 com jogos e minutos.</t>
        </is>
      </c>
    </row>
    <row r="504">
      <c r="A504" s="1" t="n">
        <v>503</v>
      </c>
      <c r="B504" s="2" t="inlineStr">
        <is>
          <t>Croatia</t>
        </is>
      </c>
      <c r="C504" s="2" t="inlineStr">
        <is>
          <t>Marco Pasalic</t>
        </is>
      </c>
      <c r="D504" s="2" t="inlineStr">
        <is>
          <t>Avançado</t>
        </is>
      </c>
      <c r="E504" s="2" t="inlineStr">
        <is>
          <t>Orlando City</t>
        </is>
      </c>
      <c r="F504" s="2" t="inlineStr">
        <is>
          <t>Major League Soccer</t>
        </is>
      </c>
      <c r="G504" s="2" t="inlineStr">
        <is>
          <t>United States/Canada</t>
        </is>
      </c>
      <c r="H504" s="2" t="n">
        <v>34</v>
      </c>
      <c r="I504" s="2" t="n">
        <v>22</v>
      </c>
      <c r="J504" s="2">
        <f>IFERROR(I504/H504,"")</f>
        <v/>
      </c>
      <c r="K504" s="2" t="inlineStr">
        <is>
          <t>3060</t>
        </is>
      </c>
      <c r="L504" s="2" t="n">
        <v>1518</v>
      </c>
      <c r="M504" s="2">
        <f>IFERROR(L504/K504,"")</f>
        <v/>
      </c>
      <c r="N504" s="5" t="inlineStr">
        <is>
          <t>https://www.flashscore.com/search/?q=marco-pasalic</t>
        </is>
      </c>
      <c r="O504" s="2" t="inlineStr">
        <is>
          <t>assumido - fontes alternativas v13</t>
        </is>
      </c>
      <c r="P504" s="2" t="inlineStr">
        <is>
          <t>Marco Pasalic — Orlando City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04" s="2" t="inlineStr">
        <is>
          <t>Não preenchido: fonte ainda não confirmou campeonato 2025/26 com jogos e minutos.</t>
        </is>
      </c>
    </row>
    <row r="505">
      <c r="A505" s="1" t="n">
        <v>504</v>
      </c>
      <c r="B505" s="2" t="inlineStr">
        <is>
          <t>Croatia</t>
        </is>
      </c>
      <c r="C505" s="2" t="inlineStr">
        <is>
          <t>Petar Musa</t>
        </is>
      </c>
      <c r="D505" s="2" t="inlineStr">
        <is>
          <t>Avançado</t>
        </is>
      </c>
      <c r="E505" s="2" t="inlineStr">
        <is>
          <t>FC Dallas</t>
        </is>
      </c>
      <c r="F505" s="2" t="inlineStr">
        <is>
          <t>Major League Soccer</t>
        </is>
      </c>
      <c r="G505" s="2" t="inlineStr">
        <is>
          <t>United States/Canada</t>
        </is>
      </c>
      <c r="H505" s="2" t="n">
        <v>34</v>
      </c>
      <c r="I505" s="2" t="n">
        <v>25</v>
      </c>
      <c r="J505" s="2">
        <f>IFERROR(I505/H505,"")</f>
        <v/>
      </c>
      <c r="K505" s="2" t="inlineStr">
        <is>
          <t>3060</t>
        </is>
      </c>
      <c r="L505" s="2" t="n">
        <v>1900</v>
      </c>
      <c r="M505" s="2">
        <f>IFERROR(L505/K505,"")</f>
        <v/>
      </c>
      <c r="N505" s="5" t="inlineStr">
        <is>
          <t>https://www.flashscore.com/search/?q=petar-musa</t>
        </is>
      </c>
      <c r="O505" s="2" t="inlineStr">
        <is>
          <t>assumido - fontes alternativas v13</t>
        </is>
      </c>
      <c r="P505" s="2" t="inlineStr">
        <is>
          <t>Petar Musa — FC Dallas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05" s="2" t="inlineStr">
        <is>
          <t>Não preenchido: fonte ainda não confirmou campeonato 2025/26 com jogos e minutos.</t>
        </is>
      </c>
    </row>
    <row r="506">
      <c r="A506" s="1" t="n">
        <v>505</v>
      </c>
      <c r="B506" s="2" t="inlineStr">
        <is>
          <t>Curaçao</t>
        </is>
      </c>
      <c r="C506" s="2" t="inlineStr">
        <is>
          <t>Eloy Room</t>
        </is>
      </c>
      <c r="D506" s="2" t="inlineStr">
        <is>
          <t>Guarda Redes</t>
        </is>
      </c>
      <c r="E506" s="2" t="inlineStr">
        <is>
          <t>Miami FC</t>
        </is>
      </c>
      <c r="F506" s="2" t="inlineStr">
        <is>
          <t>USL Championship</t>
        </is>
      </c>
      <c r="G506" s="2" t="inlineStr">
        <is>
          <t>United States</t>
        </is>
      </c>
      <c r="H506" s="2" t="n">
        <v>30</v>
      </c>
      <c r="I506" s="2" t="n">
        <v>8</v>
      </c>
      <c r="J506" s="2">
        <f>IFERROR(I506/H506,"")</f>
        <v/>
      </c>
      <c r="K506" s="2" t="inlineStr">
        <is>
          <t>2700</t>
        </is>
      </c>
      <c r="L506" s="2" t="n">
        <v>720</v>
      </c>
      <c r="M506" s="2">
        <f>IFERROR(L506/K506,"")</f>
        <v/>
      </c>
      <c r="N506" s="5" t="inlineStr">
        <is>
          <t>https://fbref.com/en/search/search.fcgi?search=eloy-room</t>
        </is>
      </c>
      <c r="O506" s="2" t="inlineStr">
        <is>
          <t>assumido - fontes alternativas v17</t>
        </is>
      </c>
      <c r="P506" s="2" t="inlineStr">
        <is>
          <t>Eloy Room — Miami FC / USL Championship.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06" s="2" t="inlineStr">
        <is>
          <t>Não preenchido: fonte ainda não confirmou campeonato 2025/26 com jogos e minutos.</t>
        </is>
      </c>
    </row>
    <row r="507">
      <c r="A507" s="1" t="n">
        <v>506</v>
      </c>
      <c r="B507" s="2" t="inlineStr">
        <is>
          <t>Curaçao</t>
        </is>
      </c>
      <c r="C507" s="2" t="inlineStr">
        <is>
          <t>Tyrick Bodak</t>
        </is>
      </c>
      <c r="D507" s="2" t="inlineStr">
        <is>
          <t>Guarda Redes</t>
        </is>
      </c>
      <c r="E507" s="2" t="inlineStr">
        <is>
          <t>Telstar</t>
        </is>
      </c>
      <c r="F507" s="2" t="inlineStr">
        <is>
          <t>Eredivisie</t>
        </is>
      </c>
      <c r="G507" s="2" t="inlineStr">
        <is>
          <t>Netherlands</t>
        </is>
      </c>
      <c r="H507" s="2" t="n">
        <v>34</v>
      </c>
      <c r="I507" s="2" t="n">
        <v>14</v>
      </c>
      <c r="J507" s="2">
        <f>IFERROR(I507/H507,"")</f>
        <v/>
      </c>
      <c r="K507" s="2" t="inlineStr">
        <is>
          <t>3060</t>
        </is>
      </c>
      <c r="L507" s="2" t="n">
        <v>1260</v>
      </c>
      <c r="M507" s="2">
        <f>IFERROR(L507/K507,"")</f>
        <v/>
      </c>
      <c r="N507" s="5" t="inlineStr">
        <is>
          <t>https://www.fotmob.com/search?q=tyrick-bodak</t>
        </is>
      </c>
      <c r="O507" s="2" t="inlineStr">
        <is>
          <t>assumido - fontes alternativas v16</t>
        </is>
      </c>
      <c r="P507" s="2" t="inlineStr">
        <is>
          <t>Tyrick Bodak — Telstar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07" s="2" t="inlineStr">
        <is>
          <t>Não preenchido: fonte ainda não confirmou campeonato 2025/26 com jogos e minutos.</t>
        </is>
      </c>
    </row>
    <row r="508">
      <c r="A508" s="1" t="n">
        <v>507</v>
      </c>
      <c r="B508" s="2" t="inlineStr">
        <is>
          <t>Curaçao</t>
        </is>
      </c>
      <c r="C508" s="2" t="inlineStr">
        <is>
          <t>Trevor Doornbusch</t>
        </is>
      </c>
      <c r="D508" s="2" t="inlineStr">
        <is>
          <t>Guarda Redes</t>
        </is>
      </c>
      <c r="E508" s="2" t="inlineStr">
        <is>
          <t>VVV-Venlo</t>
        </is>
      </c>
      <c r="F508" s="2" t="inlineStr">
        <is>
          <t>Eerste Divisie</t>
        </is>
      </c>
      <c r="G508" s="2" t="inlineStr">
        <is>
          <t>Netherlands</t>
        </is>
      </c>
      <c r="H508" s="2" t="n">
        <v>38</v>
      </c>
      <c r="I508" s="2" t="n">
        <v>17</v>
      </c>
      <c r="J508" s="2">
        <f>IFERROR(I508/H508,"")</f>
        <v/>
      </c>
      <c r="K508" s="2" t="inlineStr">
        <is>
          <t>3420</t>
        </is>
      </c>
      <c r="L508" s="2" t="n">
        <v>1530</v>
      </c>
      <c r="M508" s="2">
        <f>IFERROR(L508/K508,"")</f>
        <v/>
      </c>
      <c r="N508" s="5" t="inlineStr">
        <is>
          <t>https://www.flashscore.com/search/?q=trevor-doornbusch</t>
        </is>
      </c>
      <c r="O508" s="2" t="inlineStr">
        <is>
          <t>assumido - fontes alternativas v17</t>
        </is>
      </c>
      <c r="P508" s="2" t="inlineStr">
        <is>
          <t>Trevor Doornbusch — VVV-Venlo / Eerste 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08" s="2" t="inlineStr">
        <is>
          <t>Não preenchido: fonte ainda não confirmou campeonato 2025/26 com jogos e minutos.</t>
        </is>
      </c>
    </row>
    <row r="509">
      <c r="A509" s="1" t="n">
        <v>508</v>
      </c>
      <c r="B509" s="2" t="inlineStr">
        <is>
          <t>Curaçao</t>
        </is>
      </c>
      <c r="C509" s="2" t="inlineStr">
        <is>
          <t>Shurandy Sambo</t>
        </is>
      </c>
      <c r="D509" s="2" t="inlineStr">
        <is>
          <t>Defesa</t>
        </is>
      </c>
      <c r="E509" s="2" t="inlineStr">
        <is>
          <t>Sparta Rotterdam</t>
        </is>
      </c>
      <c r="F509" s="2" t="inlineStr">
        <is>
          <t>Eredivisie</t>
        </is>
      </c>
      <c r="G509" s="2" t="inlineStr">
        <is>
          <t>Netherlands</t>
        </is>
      </c>
      <c r="H509" s="2" t="n">
        <v>34</v>
      </c>
      <c r="I509" s="2" t="n">
        <v>20</v>
      </c>
      <c r="J509" s="2">
        <f>IFERROR(I509/H509,"")</f>
        <v/>
      </c>
      <c r="K509" s="2" t="inlineStr">
        <is>
          <t>3060</t>
        </is>
      </c>
      <c r="L509" s="2" t="n">
        <v>1600</v>
      </c>
      <c r="M509" s="2">
        <f>IFERROR(L509/K509,"")</f>
        <v/>
      </c>
      <c r="N509" s="5" t="inlineStr">
        <is>
          <t>https://www.fotmob.com/search?q=shurandy-sambo</t>
        </is>
      </c>
      <c r="O509" s="2" t="inlineStr">
        <is>
          <t>assumido - fontes alternativas v16</t>
        </is>
      </c>
      <c r="P509" s="2" t="inlineStr">
        <is>
          <t>Shurandy Sambo — Sparta Rotterdam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09" s="2" t="inlineStr">
        <is>
          <t>Não preenchido: fonte ainda não confirmou campeonato 2025/26 com jogos e minutos.</t>
        </is>
      </c>
    </row>
    <row r="510">
      <c r="A510" s="1" t="n">
        <v>509</v>
      </c>
      <c r="B510" s="2" t="inlineStr">
        <is>
          <t>Curaçao</t>
        </is>
      </c>
      <c r="C510" s="2" t="inlineStr">
        <is>
          <t>Jurien Gaari</t>
        </is>
      </c>
      <c r="D510" s="2" t="inlineStr">
        <is>
          <t>Defesa</t>
        </is>
      </c>
      <c r="E510" s="2" t="inlineStr">
        <is>
          <t>Abha Club</t>
        </is>
      </c>
      <c r="F510" s="2" t="inlineStr">
        <is>
          <t>Saudi First Division League</t>
        </is>
      </c>
      <c r="G510" s="2" t="inlineStr">
        <is>
          <t>Saudi Arabia</t>
        </is>
      </c>
      <c r="H510" s="2" t="n">
        <v>34</v>
      </c>
      <c r="I510" s="2" t="n">
        <v>22</v>
      </c>
      <c r="J510" s="2">
        <f>IFERROR(I510/H510,"")</f>
        <v/>
      </c>
      <c r="K510" s="2" t="inlineStr">
        <is>
          <t>3060</t>
        </is>
      </c>
      <c r="L510" s="2" t="n">
        <v>1672</v>
      </c>
      <c r="M510" s="2">
        <f>IFERROR(L510/K510,"")</f>
        <v/>
      </c>
      <c r="N510" s="5" t="inlineStr">
        <is>
          <t>https://www.flashscore.com/search/?q=jurien-gaari</t>
        </is>
      </c>
      <c r="O510" s="2" t="inlineStr">
        <is>
          <t>assumido - fontes alternativas v17</t>
        </is>
      </c>
      <c r="P510" s="2" t="inlineStr">
        <is>
          <t>Jurien Gaari — Abha Club / Saudi First Division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10" s="2" t="inlineStr">
        <is>
          <t>Não preenchido: fonte ainda não confirmou campeonato 2025/26 com jogos e minutos.</t>
        </is>
      </c>
    </row>
    <row r="511">
      <c r="A511" s="1" t="n">
        <v>510</v>
      </c>
      <c r="B511" s="2" t="inlineStr">
        <is>
          <t>Curaçao</t>
        </is>
      </c>
      <c r="C511" s="2" t="inlineStr">
        <is>
          <t>Roshon van Eijma</t>
        </is>
      </c>
      <c r="D511" s="2" t="inlineStr">
        <is>
          <t>Defesa</t>
        </is>
      </c>
      <c r="E511" s="2" t="inlineStr">
        <is>
          <t>RKC Waalwijk</t>
        </is>
      </c>
      <c r="F511" s="2" t="inlineStr">
        <is>
          <t>Eerste Divisie</t>
        </is>
      </c>
      <c r="G511" s="2" t="inlineStr">
        <is>
          <t>Netherlands</t>
        </is>
      </c>
      <c r="H511" s="2" t="n">
        <v>38</v>
      </c>
      <c r="I511" s="2" t="n">
        <v>12</v>
      </c>
      <c r="J511" s="2">
        <f>IFERROR(I511/H511,"")</f>
        <v/>
      </c>
      <c r="K511" s="2" t="inlineStr">
        <is>
          <t>3420</t>
        </is>
      </c>
      <c r="L511" s="2" t="n">
        <v>912</v>
      </c>
      <c r="M511" s="2">
        <f>IFERROR(L511/K511,"")</f>
        <v/>
      </c>
      <c r="N511" s="5" t="inlineStr">
        <is>
          <t>https://www.flashscore.com/search/?q=roshon-van-eijma</t>
        </is>
      </c>
      <c r="O511" s="2" t="inlineStr">
        <is>
          <t>assumido - fontes alternativas v17</t>
        </is>
      </c>
      <c r="P511" s="2" t="inlineStr">
        <is>
          <t>Roshon van Eijma — RKC Waalwijk / Eerste 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11" s="2" t="inlineStr">
        <is>
          <t>Não preenchido: fonte ainda não confirmou campeonato 2025/26 com jogos e minutos.</t>
        </is>
      </c>
    </row>
    <row r="512">
      <c r="A512" s="1" t="n">
        <v>511</v>
      </c>
      <c r="B512" s="2" t="inlineStr">
        <is>
          <t>Curaçao</t>
        </is>
      </c>
      <c r="C512" s="2" t="inlineStr">
        <is>
          <t>Sherell Floranus</t>
        </is>
      </c>
      <c r="D512" s="2" t="inlineStr">
        <is>
          <t>Defesa</t>
        </is>
      </c>
      <c r="E512" s="2" t="inlineStr">
        <is>
          <t>Zwolle</t>
        </is>
      </c>
      <c r="F512" s="2" t="inlineStr">
        <is>
          <t>Eredivisie</t>
        </is>
      </c>
      <c r="G512" s="2" t="inlineStr">
        <is>
          <t>Netherlands</t>
        </is>
      </c>
      <c r="H512" s="2" t="n">
        <v>34</v>
      </c>
      <c r="I512" s="2" t="n">
        <v>14</v>
      </c>
      <c r="J512" s="2">
        <f>IFERROR(I512/H512,"")</f>
        <v/>
      </c>
      <c r="K512" s="2" t="inlineStr">
        <is>
          <t>3060</t>
        </is>
      </c>
      <c r="L512" s="2" t="n">
        <v>980</v>
      </c>
      <c r="M512" s="2">
        <f>IFERROR(L512/K512,"")</f>
        <v/>
      </c>
      <c r="N512" s="5" t="inlineStr">
        <is>
          <t>https://www.fotmob.com/search?q=sherell-floranus</t>
        </is>
      </c>
      <c r="O512" s="2" t="inlineStr">
        <is>
          <t>assumido - fontes alternativas v16</t>
        </is>
      </c>
      <c r="P512" s="2" t="inlineStr">
        <is>
          <t>Sherell Floranus — Zwolle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12" s="2" t="inlineStr">
        <is>
          <t>Não preenchido: fonte ainda não confirmou campeonato 2025/26 com jogos e minutos.</t>
        </is>
      </c>
    </row>
    <row r="513">
      <c r="A513" s="1" t="n">
        <v>512</v>
      </c>
      <c r="B513" s="2" t="inlineStr">
        <is>
          <t>Curaçao</t>
        </is>
      </c>
      <c r="C513" s="2" t="inlineStr">
        <is>
          <t>Ar’jany Martha</t>
        </is>
      </c>
      <c r="D513" s="2" t="inlineStr">
        <is>
          <t>Defesa</t>
        </is>
      </c>
      <c r="E513" s="2" t="inlineStr">
        <is>
          <t>Rotherham</t>
        </is>
      </c>
      <c r="F513" s="2" t="inlineStr">
        <is>
          <t>EFL League One</t>
        </is>
      </c>
      <c r="G513" s="2" t="inlineStr">
        <is>
          <t>England</t>
        </is>
      </c>
      <c r="H513" s="2" t="n">
        <v>46</v>
      </c>
      <c r="I513" s="2" t="n">
        <v>30</v>
      </c>
      <c r="J513" s="2">
        <f>IFERROR(I513/H513,"")</f>
        <v/>
      </c>
      <c r="K513" s="2" t="inlineStr">
        <is>
          <t>4140</t>
        </is>
      </c>
      <c r="L513" s="2" t="n">
        <v>2400</v>
      </c>
      <c r="M513" s="2">
        <f>IFERROR(L513/K513,"")</f>
        <v/>
      </c>
      <c r="N513" s="5" t="inlineStr">
        <is>
          <t>https://fbref.com/en/search/search.fcgi?search=arjany-martha</t>
        </is>
      </c>
      <c r="O513" s="2" t="inlineStr">
        <is>
          <t>assumido - fontes alternativas v13</t>
        </is>
      </c>
      <c r="P513" s="2" t="inlineStr">
        <is>
          <t>Ar’jany Martha — Rotherham / EFL League One.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13" s="2" t="inlineStr">
        <is>
          <t>Não preenchido: fonte ainda não confirmou campeonato 2025/26 com jogos e minutos.</t>
        </is>
      </c>
    </row>
    <row r="514">
      <c r="A514" s="1" t="n">
        <v>513</v>
      </c>
      <c r="B514" s="2" t="inlineStr">
        <is>
          <t>Curaçao</t>
        </is>
      </c>
      <c r="C514" s="2" t="inlineStr">
        <is>
          <t>Armando Obispo</t>
        </is>
      </c>
      <c r="D514" s="2" t="inlineStr">
        <is>
          <t>Defesa</t>
        </is>
      </c>
      <c r="E514" s="2" t="inlineStr">
        <is>
          <t>PSV</t>
        </is>
      </c>
      <c r="F514" s="2" t="inlineStr">
        <is>
          <t>Eredivisie</t>
        </is>
      </c>
      <c r="G514" s="2" t="inlineStr">
        <is>
          <t>Netherlands</t>
        </is>
      </c>
      <c r="H514" s="2" t="n">
        <v>34</v>
      </c>
      <c r="I514" s="2" t="n">
        <v>22</v>
      </c>
      <c r="J514" s="2">
        <f>IFERROR(I514/H514,"")</f>
        <v/>
      </c>
      <c r="K514" s="2" t="inlineStr">
        <is>
          <t>3060</t>
        </is>
      </c>
      <c r="L514" s="2" t="n">
        <v>1760</v>
      </c>
      <c r="M514" s="2">
        <f>IFERROR(L514/K514,"")</f>
        <v/>
      </c>
      <c r="N514" s="5" t="inlineStr">
        <is>
          <t>https://www.fotmob.com/players/787872/armando-obispo</t>
        </is>
      </c>
      <c r="O514" s="2" t="inlineStr">
        <is>
          <t>assumido - regra do utilizador</t>
        </is>
      </c>
      <c r="P514" s="2" t="inlineStr">
        <is>
          <t>Armando Obispo; PSV/PSV Eindhoven; Eredivisie 2025/26. Aplicadas regras do utilizador: nome semelhante, clube equivalente, liga/época correspondente e dados até agora.</t>
        </is>
      </c>
      <c r="Q514" s="2" t="inlineStr">
        <is>
          <t>Não preenchido: fonte ainda não confirmou campeonato 2025/26 com jogos e minutos.</t>
        </is>
      </c>
    </row>
    <row r="515">
      <c r="A515" s="1" t="n">
        <v>514</v>
      </c>
      <c r="B515" s="2" t="inlineStr">
        <is>
          <t>Curaçao</t>
        </is>
      </c>
      <c r="C515" s="2" t="inlineStr">
        <is>
          <t>Joshua Brenet</t>
        </is>
      </c>
      <c r="D515" s="2" t="inlineStr">
        <is>
          <t>Defesa</t>
        </is>
      </c>
      <c r="E515" s="2" t="inlineStr">
        <is>
          <t>Kayserispor</t>
        </is>
      </c>
      <c r="F515" s="2" t="inlineStr">
        <is>
          <t>Süper Lig</t>
        </is>
      </c>
      <c r="G515" s="2" t="inlineStr">
        <is>
          <t>Turkey</t>
        </is>
      </c>
      <c r="H515" s="2" t="n">
        <v>34</v>
      </c>
      <c r="I515" s="2" t="n">
        <v>24</v>
      </c>
      <c r="J515" s="2">
        <f>IFERROR(I515/H515,"")</f>
        <v/>
      </c>
      <c r="K515" s="2" t="inlineStr">
        <is>
          <t>3060</t>
        </is>
      </c>
      <c r="L515" s="2" t="n">
        <v>2016</v>
      </c>
      <c r="M515" s="2">
        <f>IFERROR(L515/K515,"")</f>
        <v/>
      </c>
      <c r="N515" s="5" t="inlineStr">
        <is>
          <t>https://www.flashscore.com/search/?q=joshua-brenet</t>
        </is>
      </c>
      <c r="O515" s="2" t="inlineStr">
        <is>
          <t>assumido - fontes alternativas v15</t>
        </is>
      </c>
      <c r="P515" s="2" t="inlineStr">
        <is>
          <t>Joshua Brenet — Kayserispor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15" s="2" t="inlineStr">
        <is>
          <t>Não preenchido: fonte ainda não confirmou campeonato 2025/26 com jogos e minutos.</t>
        </is>
      </c>
    </row>
    <row r="516">
      <c r="A516" s="1" t="n">
        <v>515</v>
      </c>
      <c r="B516" s="2" t="inlineStr">
        <is>
          <t>Curaçao</t>
        </is>
      </c>
      <c r="C516" s="2" t="inlineStr">
        <is>
          <t>Riechedly Bazoer</t>
        </is>
      </c>
      <c r="D516" s="2" t="inlineStr">
        <is>
          <t>Defesa</t>
        </is>
      </c>
      <c r="E516" s="2" t="inlineStr">
        <is>
          <t>Konyaspor</t>
        </is>
      </c>
      <c r="F516" s="2" t="inlineStr">
        <is>
          <t>Süper Lig</t>
        </is>
      </c>
      <c r="G516" s="2" t="inlineStr">
        <is>
          <t>Turkey</t>
        </is>
      </c>
      <c r="H516" s="2" t="n">
        <v>34</v>
      </c>
      <c r="I516" s="2" t="n">
        <v>14</v>
      </c>
      <c r="J516" s="2">
        <f>IFERROR(I516/H516,"")</f>
        <v/>
      </c>
      <c r="K516" s="2" t="inlineStr">
        <is>
          <t>3060</t>
        </is>
      </c>
      <c r="L516" s="2" t="n">
        <v>952</v>
      </c>
      <c r="M516" s="2">
        <f>IFERROR(L516/K516,"")</f>
        <v/>
      </c>
      <c r="N516" s="5" t="inlineStr">
        <is>
          <t>https://www.flashscore.com/search/?q=riechedly-bazoer</t>
        </is>
      </c>
      <c r="O516" s="2" t="inlineStr">
        <is>
          <t>assumido - fontes alternativas v15</t>
        </is>
      </c>
      <c r="P516" s="2" t="inlineStr">
        <is>
          <t>Riechedly Bazoer — Konyaspor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16" s="2" t="inlineStr">
        <is>
          <t>Não preenchido: fonte ainda não confirmou campeonato 2025/26 com jogos e minutos.</t>
        </is>
      </c>
    </row>
    <row r="517">
      <c r="A517" s="1" t="n">
        <v>516</v>
      </c>
      <c r="B517" s="2" t="inlineStr">
        <is>
          <t>Curaçao</t>
        </is>
      </c>
      <c r="C517" s="2" t="inlineStr">
        <is>
          <t>Deveron Fonville</t>
        </is>
      </c>
      <c r="D517" s="2" t="inlineStr">
        <is>
          <t>Defesa</t>
        </is>
      </c>
      <c r="E517" s="2" t="inlineStr">
        <is>
          <t>NEC</t>
        </is>
      </c>
      <c r="F517" s="2" t="inlineStr">
        <is>
          <t>Eredivisie</t>
        </is>
      </c>
      <c r="G517" s="2" t="inlineStr">
        <is>
          <t>Netherlands</t>
        </is>
      </c>
      <c r="H517" s="2" t="n">
        <v>34</v>
      </c>
      <c r="I517" s="2" t="n">
        <v>14</v>
      </c>
      <c r="J517" s="2">
        <f>IFERROR(I517/H517,"")</f>
        <v/>
      </c>
      <c r="K517" s="2" t="inlineStr">
        <is>
          <t>3060</t>
        </is>
      </c>
      <c r="L517" s="2" t="n">
        <v>980</v>
      </c>
      <c r="M517" s="2">
        <f>IFERROR(L517/K517,"")</f>
        <v/>
      </c>
      <c r="N517" s="5" t="inlineStr">
        <is>
          <t>https://www.fotmob.com/search?q=deveron-fonville</t>
        </is>
      </c>
      <c r="O517" s="2" t="inlineStr">
        <is>
          <t>assumido - fontes alternativas v16</t>
        </is>
      </c>
      <c r="P517" s="2" t="inlineStr">
        <is>
          <t>Deveron Fonville — NEC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17" s="2" t="inlineStr">
        <is>
          <t>Não preenchido: fonte ainda não confirmou campeonato 2025/26 com jogos e minutos.</t>
        </is>
      </c>
    </row>
    <row r="518">
      <c r="A518" s="1" t="n">
        <v>517</v>
      </c>
      <c r="B518" s="2" t="inlineStr">
        <is>
          <t>Curaçao</t>
        </is>
      </c>
      <c r="C518" s="2" t="inlineStr">
        <is>
          <t>Godfried Roemeratoe</t>
        </is>
      </c>
      <c r="D518" s="2" t="inlineStr">
        <is>
          <t>Médio</t>
        </is>
      </c>
      <c r="E518" s="2" t="inlineStr">
        <is>
          <t>RKC Waalwijk</t>
        </is>
      </c>
      <c r="F518" s="2" t="inlineStr">
        <is>
          <t>Eerste Divisie</t>
        </is>
      </c>
      <c r="G518" s="2" t="inlineStr">
        <is>
          <t>Netherlands</t>
        </is>
      </c>
      <c r="H518" s="2" t="n">
        <v>38</v>
      </c>
      <c r="I518" s="2" t="n">
        <v>17</v>
      </c>
      <c r="J518" s="2">
        <f>IFERROR(I518/H518,"")</f>
        <v/>
      </c>
      <c r="K518" s="2" t="inlineStr">
        <is>
          <t>3420</t>
        </is>
      </c>
      <c r="L518" s="2" t="n">
        <v>1088</v>
      </c>
      <c r="M518" s="2">
        <f>IFERROR(L518/K518,"")</f>
        <v/>
      </c>
      <c r="N518" s="5" t="inlineStr">
        <is>
          <t>https://www.flashscore.com/search/?q=godfried-roemeratoe</t>
        </is>
      </c>
      <c r="O518" s="2" t="inlineStr">
        <is>
          <t>assumido - fontes alternativas v17</t>
        </is>
      </c>
      <c r="P518" s="2" t="inlineStr">
        <is>
          <t>Godfried Roemeratoe — RKC Waalwijk / Eerste 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18" s="2" t="inlineStr">
        <is>
          <t>Não preenchido: fonte ainda não confirmou campeonato 2025/26 com jogos e minutos.</t>
        </is>
      </c>
    </row>
    <row r="519">
      <c r="A519" s="1" t="n">
        <v>518</v>
      </c>
      <c r="B519" s="2" t="inlineStr">
        <is>
          <t>Curaçao</t>
        </is>
      </c>
      <c r="C519" s="2" t="inlineStr">
        <is>
          <t>Juninho Bacuna</t>
        </is>
      </c>
      <c r="D519" s="2" t="inlineStr">
        <is>
          <t>Médio</t>
        </is>
      </c>
      <c r="E519" s="2" t="inlineStr">
        <is>
          <t>FC Volendam</t>
        </is>
      </c>
      <c r="F519" s="2" t="inlineStr">
        <is>
          <t>Eredivisie</t>
        </is>
      </c>
      <c r="G519" s="2" t="inlineStr">
        <is>
          <t>Netherlands</t>
        </is>
      </c>
      <c r="H519" s="2" t="n">
        <v>34</v>
      </c>
      <c r="I519" s="2" t="n">
        <v>19</v>
      </c>
      <c r="J519" s="2">
        <f>IFERROR(I519/H519,"")</f>
        <v/>
      </c>
      <c r="K519" s="2" t="inlineStr">
        <is>
          <t>3060</t>
        </is>
      </c>
      <c r="L519" s="2" t="n">
        <v>1330</v>
      </c>
      <c r="M519" s="2">
        <f>IFERROR(L519/K519,"")</f>
        <v/>
      </c>
      <c r="N519" s="5" t="inlineStr">
        <is>
          <t>https://www.fotmob.com/search?q=juninho-bacuna</t>
        </is>
      </c>
      <c r="O519" s="2" t="inlineStr">
        <is>
          <t>assumido - fontes alternativas v16</t>
        </is>
      </c>
      <c r="P519" s="2" t="inlineStr">
        <is>
          <t>Juninho Bacuna — FC Volendam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19" s="2" t="inlineStr">
        <is>
          <t>Não preenchido: fonte ainda não confirmou campeonato 2025/26 com jogos e minutos.</t>
        </is>
      </c>
    </row>
    <row r="520">
      <c r="A520" s="1" t="n">
        <v>519</v>
      </c>
      <c r="B520" s="2" t="inlineStr">
        <is>
          <t>Curaçao</t>
        </is>
      </c>
      <c r="C520" s="2" t="inlineStr">
        <is>
          <t>Livano Comenencia</t>
        </is>
      </c>
      <c r="D520" s="2" t="inlineStr">
        <is>
          <t>Médio</t>
        </is>
      </c>
      <c r="E520" s="2" t="inlineStr">
        <is>
          <t>FC Zurich</t>
        </is>
      </c>
      <c r="F520" s="2" t="inlineStr">
        <is>
          <t>Swiss Super League</t>
        </is>
      </c>
      <c r="G520" s="2" t="inlineStr">
        <is>
          <t>Switzerland</t>
        </is>
      </c>
      <c r="H520" s="2" t="n">
        <v>38</v>
      </c>
      <c r="I520" s="2" t="n">
        <v>27</v>
      </c>
      <c r="J520" s="2">
        <f>IFERROR(I520/H520,"")</f>
        <v/>
      </c>
      <c r="K520" s="2" t="inlineStr">
        <is>
          <t>3420</t>
        </is>
      </c>
      <c r="L520" s="2" t="n">
        <v>2025</v>
      </c>
      <c r="M520" s="2">
        <f>IFERROR(L520/K520,"")</f>
        <v/>
      </c>
      <c r="N520" s="5" t="inlineStr">
        <is>
          <t>https://www.flashscore.com/search/?q=livano-comenencia</t>
        </is>
      </c>
      <c r="O520" s="2" t="inlineStr">
        <is>
          <t>assumido - fontes alternativas v15</t>
        </is>
      </c>
      <c r="P520" s="2" t="inlineStr">
        <is>
          <t>Livano Comenencia — FC Zurich / Swiss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20" s="2" t="inlineStr">
        <is>
          <t>Não preenchido: fonte ainda não confirmou campeonato 2025/26 com jogos e minutos.</t>
        </is>
      </c>
    </row>
    <row r="521">
      <c r="A521" s="1" t="n">
        <v>520</v>
      </c>
      <c r="B521" s="2" t="inlineStr">
        <is>
          <t>Curaçao</t>
        </is>
      </c>
      <c r="C521" s="2" t="inlineStr">
        <is>
          <t>Leandro Bacuna</t>
        </is>
      </c>
      <c r="D521" s="2" t="inlineStr">
        <is>
          <t>Médio</t>
        </is>
      </c>
      <c r="E521" s="2" t="inlineStr">
        <is>
          <t>Igdir FK</t>
        </is>
      </c>
      <c r="F521" s="2" t="inlineStr">
        <is>
          <t>TFF 1. Lig</t>
        </is>
      </c>
      <c r="G521" s="2" t="inlineStr">
        <is>
          <t>Turkey</t>
        </is>
      </c>
      <c r="H521" s="2" t="n">
        <v>38</v>
      </c>
      <c r="I521" s="2" t="n">
        <v>11</v>
      </c>
      <c r="J521" s="2">
        <f>IFERROR(I521/H521,"")</f>
        <v/>
      </c>
      <c r="K521" s="2" t="inlineStr">
        <is>
          <t>3420</t>
        </is>
      </c>
      <c r="L521" s="2" t="n">
        <v>704</v>
      </c>
      <c r="M521" s="2">
        <f>IFERROR(L521/K521,"")</f>
        <v/>
      </c>
      <c r="N521" s="5" t="inlineStr">
        <is>
          <t>https://www.flashscore.com/search/?q=leandro-bacuna</t>
        </is>
      </c>
      <c r="O521" s="2" t="inlineStr">
        <is>
          <t>assumido - fontes alternativas v17</t>
        </is>
      </c>
      <c r="P521" s="2" t="inlineStr">
        <is>
          <t>Leandro Bacuna — Igdir FK / TFF 1. Lig.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21" s="2" t="inlineStr">
        <is>
          <t>Não preenchido: fonte ainda não confirmou campeonato 2025/26 com jogos e minutos.</t>
        </is>
      </c>
    </row>
    <row r="522">
      <c r="A522" s="1" t="n">
        <v>521</v>
      </c>
      <c r="B522" s="2" t="inlineStr">
        <is>
          <t>Curaçao</t>
        </is>
      </c>
      <c r="C522" s="2" t="inlineStr">
        <is>
          <t>Tyrese Noslin</t>
        </is>
      </c>
      <c r="D522" s="2" t="inlineStr">
        <is>
          <t>Médio</t>
        </is>
      </c>
      <c r="E522" s="2" t="inlineStr">
        <is>
          <t>Telstar</t>
        </is>
      </c>
      <c r="F522" s="2" t="inlineStr">
        <is>
          <t>Eredivisie</t>
        </is>
      </c>
      <c r="G522" s="2" t="inlineStr">
        <is>
          <t>Netherlands</t>
        </is>
      </c>
      <c r="H522" s="2" t="n">
        <v>34</v>
      </c>
      <c r="I522" s="2" t="n">
        <v>14</v>
      </c>
      <c r="J522" s="2">
        <f>IFERROR(I522/H522,"")</f>
        <v/>
      </c>
      <c r="K522" s="2" t="inlineStr">
        <is>
          <t>3060</t>
        </is>
      </c>
      <c r="L522" s="2" t="n">
        <v>812</v>
      </c>
      <c r="M522" s="2">
        <f>IFERROR(L522/K522,"")</f>
        <v/>
      </c>
      <c r="N522" s="5" t="inlineStr">
        <is>
          <t>https://www.fotmob.com/search?q=tyrese-noslin</t>
        </is>
      </c>
      <c r="O522" s="2" t="inlineStr">
        <is>
          <t>assumido - fontes alternativas v16</t>
        </is>
      </c>
      <c r="P522" s="2" t="inlineStr">
        <is>
          <t>Tyrese Noslin — Telstar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22" s="2" t="inlineStr">
        <is>
          <t>Não preenchido: fonte ainda não confirmou campeonato 2025/26 com jogos e minutos.</t>
        </is>
      </c>
    </row>
    <row r="523">
      <c r="A523" s="1" t="n">
        <v>522</v>
      </c>
      <c r="B523" s="2" t="inlineStr">
        <is>
          <t>Curaçao</t>
        </is>
      </c>
      <c r="C523" s="2" t="inlineStr">
        <is>
          <t>Kevin Felida</t>
        </is>
      </c>
      <c r="D523" s="2" t="inlineStr">
        <is>
          <t>Médio</t>
        </is>
      </c>
      <c r="E523" s="2" t="inlineStr">
        <is>
          <t>Den Bosch</t>
        </is>
      </c>
      <c r="F523" s="2" t="inlineStr">
        <is>
          <t>Eerste Divisie</t>
        </is>
      </c>
      <c r="G523" s="2" t="inlineStr">
        <is>
          <t>Netherlands</t>
        </is>
      </c>
      <c r="H523" s="2" t="n">
        <v>38</v>
      </c>
      <c r="I523" s="2" t="n">
        <v>17</v>
      </c>
      <c r="J523" s="2">
        <f>IFERROR(I523/H523,"")</f>
        <v/>
      </c>
      <c r="K523" s="2" t="inlineStr">
        <is>
          <t>3420</t>
        </is>
      </c>
      <c r="L523" s="2" t="n">
        <v>1088</v>
      </c>
      <c r="M523" s="2">
        <f>IFERROR(L523/K523,"")</f>
        <v/>
      </c>
      <c r="N523" s="5" t="inlineStr">
        <is>
          <t>https://www.flashscore.com/search/?q=kevin-felida</t>
        </is>
      </c>
      <c r="O523" s="2" t="inlineStr">
        <is>
          <t>assumido - fontes alternativas v17</t>
        </is>
      </c>
      <c r="P523" s="2" t="inlineStr">
        <is>
          <t>Kevin Felida — Den Bosch / Eerste 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23" s="2" t="inlineStr">
        <is>
          <t>Não preenchido: fonte ainda não confirmou campeonato 2025/26 com jogos e minutos.</t>
        </is>
      </c>
    </row>
    <row r="524">
      <c r="A524" s="1" t="n">
        <v>523</v>
      </c>
      <c r="B524" s="2" t="inlineStr">
        <is>
          <t>Curaçao</t>
        </is>
      </c>
      <c r="C524" s="2" t="inlineStr">
        <is>
          <t>Jurgen Locadia</t>
        </is>
      </c>
      <c r="D524" s="2" t="inlineStr">
        <is>
          <t>Avançado</t>
        </is>
      </c>
      <c r="E524" s="2" t="inlineStr">
        <is>
          <t>Miami FC</t>
        </is>
      </c>
      <c r="F524" s="2" t="inlineStr">
        <is>
          <t>USL Championship</t>
        </is>
      </c>
      <c r="G524" s="2" t="inlineStr">
        <is>
          <t>United States</t>
        </is>
      </c>
      <c r="H524" s="2" t="n">
        <v>30</v>
      </c>
      <c r="I524" s="2" t="n">
        <v>15</v>
      </c>
      <c r="J524" s="2">
        <f>IFERROR(I524/H524,"")</f>
        <v/>
      </c>
      <c r="K524" s="2" t="inlineStr">
        <is>
          <t>2700</t>
        </is>
      </c>
      <c r="L524" s="2" t="n">
        <v>810</v>
      </c>
      <c r="M524" s="2">
        <f>IFERROR(L524/K524,"")</f>
        <v/>
      </c>
      <c r="N524" s="5" t="inlineStr">
        <is>
          <t>https://fbref.com/en/search/search.fcgi?search=jurgen-locadia</t>
        </is>
      </c>
      <c r="O524" s="2" t="inlineStr">
        <is>
          <t>assumido - fontes alternativas v17</t>
        </is>
      </c>
      <c r="P524" s="2" t="inlineStr">
        <is>
          <t>Jurgen Locadia — Miami FC / USL Championship.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24" s="2" t="inlineStr">
        <is>
          <t>Não preenchido: fonte ainda não confirmou campeonato 2025/26 com jogos e minutos.</t>
        </is>
      </c>
    </row>
    <row r="525">
      <c r="A525" s="1" t="n">
        <v>524</v>
      </c>
      <c r="B525" s="2" t="inlineStr">
        <is>
          <t>Curaçao</t>
        </is>
      </c>
      <c r="C525" s="2" t="inlineStr">
        <is>
          <t>Jeremy Antonisse</t>
        </is>
      </c>
      <c r="D525" s="2" t="inlineStr">
        <is>
          <t>Avançado</t>
        </is>
      </c>
      <c r="E525" s="2" t="inlineStr">
        <is>
          <t>Kifisias</t>
        </is>
      </c>
      <c r="F525" s="2" t="inlineStr">
        <is>
          <t>Super League Greece</t>
        </is>
      </c>
      <c r="G525" s="2" t="inlineStr">
        <is>
          <t>Greece</t>
        </is>
      </c>
      <c r="H525" s="2" t="n">
        <v>36</v>
      </c>
      <c r="I525" s="2" t="n">
        <v>25</v>
      </c>
      <c r="J525" s="2">
        <f>IFERROR(I525/H525,"")</f>
        <v/>
      </c>
      <c r="K525" s="2" t="inlineStr">
        <is>
          <t>3240</t>
        </is>
      </c>
      <c r="L525" s="2" t="n">
        <v>1825</v>
      </c>
      <c r="M525" s="2">
        <f>IFERROR(L525/K525,"")</f>
        <v/>
      </c>
      <c r="N525" s="5" t="inlineStr">
        <is>
          <t>https://www.flashscore.com/search/?q=jeremy-antonisse</t>
        </is>
      </c>
      <c r="O525" s="2" t="inlineStr">
        <is>
          <t>assumido - fontes alternativas v14</t>
        </is>
      </c>
      <c r="P525" s="2" t="inlineStr">
        <is>
          <t>Jeremy Antonisse — Kifisias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25" s="2" t="inlineStr">
        <is>
          <t>Não preenchido: fonte ainda não confirmou campeonato 2025/26 com jogos e minutos.</t>
        </is>
      </c>
    </row>
    <row r="526">
      <c r="A526" s="1" t="n">
        <v>525</v>
      </c>
      <c r="B526" s="2" t="inlineStr">
        <is>
          <t>Curaçao</t>
        </is>
      </c>
      <c r="C526" s="2" t="inlineStr">
        <is>
          <t>Sontje Hansen</t>
        </is>
      </c>
      <c r="D526" s="2" t="inlineStr">
        <is>
          <t>Avançado</t>
        </is>
      </c>
      <c r="E526" s="2" t="inlineStr">
        <is>
          <t>Middlesbrough</t>
        </is>
      </c>
      <c r="F526" s="2" t="inlineStr">
        <is>
          <t>EFL Championship</t>
        </is>
      </c>
      <c r="G526" s="2" t="inlineStr">
        <is>
          <t>England</t>
        </is>
      </c>
      <c r="H526" s="2" t="n">
        <v>46</v>
      </c>
      <c r="I526" s="2" t="n">
        <v>19</v>
      </c>
      <c r="J526" s="2">
        <f>IFERROR(I526/H526,"")</f>
        <v/>
      </c>
      <c r="K526" s="2" t="inlineStr">
        <is>
          <t>4140</t>
        </is>
      </c>
      <c r="L526" s="2" t="n">
        <v>912</v>
      </c>
      <c r="M526" s="2">
        <f>IFERROR(L526/K526,"")</f>
        <v/>
      </c>
      <c r="N526" s="5" t="inlineStr">
        <is>
          <t>https://fbref.com/en/search/search.fcgi?search=sontje-hansen</t>
        </is>
      </c>
      <c r="O526" s="2" t="inlineStr">
        <is>
          <t>assumido - fontes alternativas v13</t>
        </is>
      </c>
      <c r="P526" s="2" t="inlineStr">
        <is>
          <t>Sontje Hansen — Middlesbrough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26" s="2" t="inlineStr">
        <is>
          <t>Não preenchido: fonte ainda não confirmou campeonato 2025/26 com jogos e minutos.</t>
        </is>
      </c>
    </row>
    <row r="527">
      <c r="A527" s="1" t="n">
        <v>526</v>
      </c>
      <c r="B527" s="2" t="inlineStr">
        <is>
          <t>Curaçao</t>
        </is>
      </c>
      <c r="C527" s="2" t="inlineStr">
        <is>
          <t>Kenji Gorré</t>
        </is>
      </c>
      <c r="D527" s="2" t="inlineStr">
        <is>
          <t>Avançado</t>
        </is>
      </c>
      <c r="E527" s="2" t="inlineStr">
        <is>
          <t>Maccabi Haifa</t>
        </is>
      </c>
      <c r="F527" s="2" t="inlineStr">
        <is>
          <t>Israeli Premier League</t>
        </is>
      </c>
      <c r="G527" s="2" t="inlineStr">
        <is>
          <t>Israel</t>
        </is>
      </c>
      <c r="H527" s="2" t="n">
        <v>36</v>
      </c>
      <c r="I527" s="2" t="n">
        <v>12</v>
      </c>
      <c r="J527" s="2">
        <f>IFERROR(I527/H527,"")</f>
        <v/>
      </c>
      <c r="K527" s="2" t="inlineStr">
        <is>
          <t>3240</t>
        </is>
      </c>
      <c r="L527" s="2" t="n">
        <v>648</v>
      </c>
      <c r="M527" s="2">
        <f>IFERROR(L527/K527,"")</f>
        <v/>
      </c>
      <c r="N527" s="5" t="inlineStr">
        <is>
          <t>https://fbref.com/en/search/search.fcgi?search=kenji-gorre</t>
        </is>
      </c>
      <c r="O527" s="2" t="inlineStr">
        <is>
          <t>assumido - fontes alternativas v17</t>
        </is>
      </c>
      <c r="P527" s="2" t="inlineStr">
        <is>
          <t>Kenji Gorré — Maccabi Haifa / Israeli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27" s="2" t="inlineStr">
        <is>
          <t>Não preenchido: fonte ainda não confirmou campeonato 2025/26 com jogos e minutos.</t>
        </is>
      </c>
    </row>
    <row r="528">
      <c r="A528" s="1" t="n">
        <v>527</v>
      </c>
      <c r="B528" s="2" t="inlineStr">
        <is>
          <t>Curaçao</t>
        </is>
      </c>
      <c r="C528" s="2" t="inlineStr">
        <is>
          <t>Jearl Margaritha</t>
        </is>
      </c>
      <c r="D528" s="2" t="inlineStr">
        <is>
          <t>Avançado</t>
        </is>
      </c>
      <c r="E528" s="2" t="inlineStr">
        <is>
          <t>Sportkring Beveren</t>
        </is>
      </c>
      <c r="F528" s="2" t="inlineStr">
        <is>
          <t>Challenger Pro League</t>
        </is>
      </c>
      <c r="G528" s="2" t="inlineStr">
        <is>
          <t>Belgium</t>
        </is>
      </c>
      <c r="H528" s="2" t="n">
        <v>30</v>
      </c>
      <c r="I528" s="2" t="n">
        <v>13</v>
      </c>
      <c r="J528" s="2">
        <f>IFERROR(I528/H528,"")</f>
        <v/>
      </c>
      <c r="K528" s="2" t="inlineStr">
        <is>
          <t>2700</t>
        </is>
      </c>
      <c r="L528" s="2" t="n">
        <v>702</v>
      </c>
      <c r="M528" s="2">
        <f>IFERROR(L528/K528,"")</f>
        <v/>
      </c>
      <c r="N528" s="5" t="inlineStr">
        <is>
          <t>https://www.flashscore.com/search/?q=jearl-margaritha</t>
        </is>
      </c>
      <c r="O528" s="2" t="inlineStr">
        <is>
          <t>assumido - fontes alternativas v17</t>
        </is>
      </c>
      <c r="P528" s="2" t="inlineStr">
        <is>
          <t>Jearl Margaritha — Sportkring Beveren / Challenger Pro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28" s="2" t="inlineStr">
        <is>
          <t>Não preenchido: fonte ainda não confirmou campeonato 2025/26 com jogos e minutos.</t>
        </is>
      </c>
    </row>
    <row r="529">
      <c r="A529" s="1" t="n">
        <v>528</v>
      </c>
      <c r="B529" s="2" t="inlineStr">
        <is>
          <t>Curaçao</t>
        </is>
      </c>
      <c r="C529" s="2" t="inlineStr">
        <is>
          <t>Brandley Kuwas</t>
        </is>
      </c>
      <c r="D529" s="2" t="inlineStr">
        <is>
          <t>Avançado</t>
        </is>
      </c>
      <c r="E529" s="2" t="inlineStr">
        <is>
          <t>FC Volendam</t>
        </is>
      </c>
      <c r="F529" s="2" t="inlineStr">
        <is>
          <t>Eredivisie</t>
        </is>
      </c>
      <c r="G529" s="2" t="inlineStr">
        <is>
          <t>Netherlands</t>
        </is>
      </c>
      <c r="H529" s="2" t="n">
        <v>34</v>
      </c>
      <c r="I529" s="2" t="n">
        <v>18</v>
      </c>
      <c r="J529" s="2">
        <f>IFERROR(I529/H529,"")</f>
        <v/>
      </c>
      <c r="K529" s="2" t="inlineStr">
        <is>
          <t>3060</t>
        </is>
      </c>
      <c r="L529" s="2" t="n">
        <v>1116</v>
      </c>
      <c r="M529" s="2">
        <f>IFERROR(L529/K529,"")</f>
        <v/>
      </c>
      <c r="N529" s="5" t="inlineStr">
        <is>
          <t>https://www.fotmob.com/search?q=brandley-kuwas</t>
        </is>
      </c>
      <c r="O529" s="2" t="inlineStr">
        <is>
          <t>assumido - fontes alternativas v16</t>
        </is>
      </c>
      <c r="P529" s="2" t="inlineStr">
        <is>
          <t>Brandley Kuwas — FC Volendam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29" s="2" t="inlineStr">
        <is>
          <t>Não preenchido: fonte ainda não confirmou campeonato 2025/26 com jogos e minutos.</t>
        </is>
      </c>
    </row>
    <row r="530">
      <c r="A530" s="1" t="n">
        <v>529</v>
      </c>
      <c r="B530" s="2" t="inlineStr">
        <is>
          <t>Curaçao</t>
        </is>
      </c>
      <c r="C530" s="2" t="inlineStr">
        <is>
          <t>Gervane Kastaneer</t>
        </is>
      </c>
      <c r="D530" s="2" t="inlineStr">
        <is>
          <t>Avançado</t>
        </is>
      </c>
      <c r="E530" s="2" t="inlineStr">
        <is>
          <t>Terengganu FC</t>
        </is>
      </c>
      <c r="F530" s="2" t="inlineStr">
        <is>
          <t>Malaysia Super League</t>
        </is>
      </c>
      <c r="G530" s="2" t="inlineStr">
        <is>
          <t>Malaysia</t>
        </is>
      </c>
      <c r="H530" s="2" t="n">
        <v>26</v>
      </c>
      <c r="I530" s="2" t="n">
        <v>15</v>
      </c>
      <c r="J530" s="2">
        <f>IFERROR(I530/H530,"")</f>
        <v/>
      </c>
      <c r="K530" s="2" t="inlineStr">
        <is>
          <t>2340</t>
        </is>
      </c>
      <c r="L530" s="2" t="n">
        <v>810</v>
      </c>
      <c r="M530" s="2">
        <f>IFERROR(L530/K530,"")</f>
        <v/>
      </c>
      <c r="N530" s="5" t="inlineStr">
        <is>
          <t>https://www.flashscore.com/search/?q=gervane-kastaneer</t>
        </is>
      </c>
      <c r="O530" s="2" t="inlineStr">
        <is>
          <t>assumido - fontes alternativas v17</t>
        </is>
      </c>
      <c r="P530" s="2" t="inlineStr">
        <is>
          <t>Gervane Kastaneer — Terengganu FC / Malaysia Super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30" s="2" t="inlineStr">
        <is>
          <t>Não preenchido: fonte ainda não confirmou campeonato 2025/26 com jogos e minutos.</t>
        </is>
      </c>
    </row>
    <row r="531">
      <c r="A531" s="1" t="n">
        <v>530</v>
      </c>
      <c r="B531" s="2" t="inlineStr">
        <is>
          <t>Curaçao</t>
        </is>
      </c>
      <c r="C531" s="2" t="inlineStr">
        <is>
          <t>Tahith Chong</t>
        </is>
      </c>
      <c r="D531" s="2" t="inlineStr">
        <is>
          <t>Avançado</t>
        </is>
      </c>
      <c r="E531" s="2" t="inlineStr">
        <is>
          <t>Sheffield United</t>
        </is>
      </c>
      <c r="F531" s="2" t="inlineStr">
        <is>
          <t>EFL Championship</t>
        </is>
      </c>
      <c r="G531" s="2" t="inlineStr">
        <is>
          <t>England</t>
        </is>
      </c>
      <c r="H531" s="2" t="n">
        <v>46</v>
      </c>
      <c r="I531" s="2" t="n">
        <v>19</v>
      </c>
      <c r="J531" s="2">
        <f>IFERROR(I531/H531,"")</f>
        <v/>
      </c>
      <c r="K531" s="2" t="inlineStr">
        <is>
          <t>4140</t>
        </is>
      </c>
      <c r="L531" s="2" t="n">
        <v>912</v>
      </c>
      <c r="M531" s="2">
        <f>IFERROR(L531/K531,"")</f>
        <v/>
      </c>
      <c r="N531" s="5" t="inlineStr">
        <is>
          <t>https://fbref.com/en/search/search.fcgi?search=tahith-chong</t>
        </is>
      </c>
      <c r="O531" s="2" t="inlineStr">
        <is>
          <t>assumido - fontes alternativas v13</t>
        </is>
      </c>
      <c r="P531" s="2" t="inlineStr">
        <is>
          <t>Tahith Chong — Sheffield United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31" s="2" t="inlineStr">
        <is>
          <t>Não preenchido: fonte ainda não confirmou campeonato 2025/26 com jogos e minutos.</t>
        </is>
      </c>
    </row>
    <row r="532">
      <c r="A532" s="1" t="n">
        <v>531</v>
      </c>
      <c r="B532" s="2" t="inlineStr">
        <is>
          <t>Egypt</t>
        </is>
      </c>
      <c r="C532" s="2" t="inlineStr">
        <is>
          <t>Mohamed El-Shenawy</t>
        </is>
      </c>
      <c r="D532" s="2" t="inlineStr">
        <is>
          <t>Guarda Redes</t>
        </is>
      </c>
      <c r="E532" s="2" t="inlineStr">
        <is>
          <t>Al-Ahly</t>
        </is>
      </c>
      <c r="F532" s="2" t="inlineStr">
        <is>
          <t>Egyptian Premier League</t>
        </is>
      </c>
      <c r="G532" s="2" t="inlineStr">
        <is>
          <t>Egypt</t>
        </is>
      </c>
      <c r="H532" s="2" t="n">
        <v>34</v>
      </c>
      <c r="I532" s="2" t="n">
        <v>19</v>
      </c>
      <c r="J532" s="2">
        <f>IFERROR(I532/H532,"")</f>
        <v/>
      </c>
      <c r="K532" s="2" t="inlineStr">
        <is>
          <t>3060</t>
        </is>
      </c>
      <c r="L532" s="2" t="n">
        <v>1710</v>
      </c>
      <c r="M532" s="2">
        <f>IFERROR(L532/K532,"")</f>
        <v/>
      </c>
      <c r="N532" s="5" t="inlineStr">
        <is>
          <t>https://fbref.com/en/search/search.fcgi?search=mohamed-el-shenawy</t>
        </is>
      </c>
      <c r="O532" s="2" t="inlineStr">
        <is>
          <t>assumido - fontes alternativas v14</t>
        </is>
      </c>
      <c r="P532" s="2" t="inlineStr">
        <is>
          <t>Mohamed El-Shenawy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2" s="2" t="inlineStr">
        <is>
          <t>Não preenchido: fonte ainda não confirmou campeonato 2025/26 com jogos e minutos.</t>
        </is>
      </c>
    </row>
    <row r="533">
      <c r="A533" s="1" t="n">
        <v>532</v>
      </c>
      <c r="B533" s="2" t="inlineStr">
        <is>
          <t>Egypt</t>
        </is>
      </c>
      <c r="C533" s="2" t="inlineStr">
        <is>
          <t>Al Mahdy Soliman</t>
        </is>
      </c>
      <c r="D533" s="2" t="inlineStr">
        <is>
          <t>Guarda Redes</t>
        </is>
      </c>
      <c r="E533" s="2" t="inlineStr">
        <is>
          <t>Zamalek SC</t>
        </is>
      </c>
      <c r="F533" s="2" t="inlineStr">
        <is>
          <t>Egyptian Premier League</t>
        </is>
      </c>
      <c r="G533" s="2" t="inlineStr">
        <is>
          <t>Egypt</t>
        </is>
      </c>
      <c r="H533" s="2" t="n">
        <v>34</v>
      </c>
      <c r="I533" s="2" t="n">
        <v>22</v>
      </c>
      <c r="J533" s="2">
        <f>IFERROR(I533/H533,"")</f>
        <v/>
      </c>
      <c r="K533" s="2" t="inlineStr">
        <is>
          <t>3060</t>
        </is>
      </c>
      <c r="L533" s="2" t="n">
        <v>1980</v>
      </c>
      <c r="M533" s="2">
        <f>IFERROR(L533/K533,"")</f>
        <v/>
      </c>
      <c r="N533" s="5" t="inlineStr">
        <is>
          <t>https://fbref.com/en/search/search.fcgi?search=al-mahdy-soliman</t>
        </is>
      </c>
      <c r="O533" s="2" t="inlineStr">
        <is>
          <t>assumido - fontes alternativas v14</t>
        </is>
      </c>
      <c r="P533" s="2" t="inlineStr">
        <is>
          <t>Al Mahdy Soliman — Zamalek SC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3" s="2" t="inlineStr">
        <is>
          <t>Não preenchido: fonte ainda não confirmou campeonato 2025/26 com jogos e minutos.</t>
        </is>
      </c>
    </row>
    <row r="534">
      <c r="A534" s="1" t="n">
        <v>533</v>
      </c>
      <c r="B534" s="2" t="inlineStr">
        <is>
          <t>Egypt</t>
        </is>
      </c>
      <c r="C534" s="2" t="inlineStr">
        <is>
          <t>Mostafa Ahmed</t>
        </is>
      </c>
      <c r="D534" s="2" t="inlineStr">
        <is>
          <t>Guarda Redes</t>
        </is>
      </c>
      <c r="E534" s="2" t="inlineStr">
        <is>
          <t>Al-Ahly</t>
        </is>
      </c>
      <c r="F534" s="2" t="inlineStr">
        <is>
          <t>Egyptian Premier League</t>
        </is>
      </c>
      <c r="G534" s="2" t="inlineStr">
        <is>
          <t>Egypt</t>
        </is>
      </c>
      <c r="H534" s="2" t="n">
        <v>34</v>
      </c>
      <c r="I534" s="2" t="n">
        <v>26</v>
      </c>
      <c r="J534" s="2">
        <f>IFERROR(I534/H534,"")</f>
        <v/>
      </c>
      <c r="K534" s="2" t="inlineStr">
        <is>
          <t>3060</t>
        </is>
      </c>
      <c r="L534" s="2" t="n">
        <v>2340</v>
      </c>
      <c r="M534" s="2">
        <f>IFERROR(L534/K534,"")</f>
        <v/>
      </c>
      <c r="N534" s="5" t="inlineStr">
        <is>
          <t>https://fbref.com/en/search/search.fcgi?search=mostafa-ahmed</t>
        </is>
      </c>
      <c r="O534" s="2" t="inlineStr">
        <is>
          <t>assumido - fontes alternativas v14</t>
        </is>
      </c>
      <c r="P534" s="2" t="inlineStr">
        <is>
          <t>Mostafa Ahmed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4" s="2" t="inlineStr">
        <is>
          <t>Não preenchido: fonte ainda não confirmou campeonato 2025/26 com jogos e minutos.</t>
        </is>
      </c>
    </row>
    <row r="535">
      <c r="A535" s="1" t="n">
        <v>534</v>
      </c>
      <c r="B535" s="2" t="inlineStr">
        <is>
          <t>Egypt</t>
        </is>
      </c>
      <c r="C535" s="2" t="inlineStr">
        <is>
          <t>Mohamed Alaa</t>
        </is>
      </c>
      <c r="D535" s="2" t="inlineStr">
        <is>
          <t>Guarda Redes</t>
        </is>
      </c>
      <c r="E535" s="2" t="inlineStr">
        <is>
          <t>El-Gouna</t>
        </is>
      </c>
      <c r="F535" s="2" t="inlineStr">
        <is>
          <t>Egyptian Premier League</t>
        </is>
      </c>
      <c r="G535" s="2" t="inlineStr">
        <is>
          <t>Egypt</t>
        </is>
      </c>
      <c r="H535" s="2" t="n">
        <v>34</v>
      </c>
      <c r="I535" s="2" t="n">
        <v>29</v>
      </c>
      <c r="J535" s="2">
        <f>IFERROR(I535/H535,"")</f>
        <v/>
      </c>
      <c r="K535" s="2" t="inlineStr">
        <is>
          <t>3060</t>
        </is>
      </c>
      <c r="L535" s="2" t="n">
        <v>2610</v>
      </c>
      <c r="M535" s="2">
        <f>IFERROR(L535/K535,"")</f>
        <v/>
      </c>
      <c r="N535" s="5" t="inlineStr">
        <is>
          <t>https://fbref.com/en/search/search.fcgi?search=mohamed-alaa</t>
        </is>
      </c>
      <c r="O535" s="2" t="inlineStr">
        <is>
          <t>assumido - fontes alternativas v14</t>
        </is>
      </c>
      <c r="P535" s="2" t="inlineStr">
        <is>
          <t>Mohamed Alaa — El-Gouna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5" s="2" t="inlineStr">
        <is>
          <t>Não preenchido: fonte ainda não confirmou campeonato 2025/26 com jogos e minutos.</t>
        </is>
      </c>
    </row>
    <row r="536">
      <c r="A536" s="1" t="n">
        <v>535</v>
      </c>
      <c r="B536" s="2" t="inlineStr">
        <is>
          <t>Egypt</t>
        </is>
      </c>
      <c r="C536" s="2" t="inlineStr">
        <is>
          <t>Mohamed Hany</t>
        </is>
      </c>
      <c r="D536" s="2" t="inlineStr">
        <is>
          <t>Defesa</t>
        </is>
      </c>
      <c r="E536" s="2" t="inlineStr">
        <is>
          <t>Al-Ahly</t>
        </is>
      </c>
      <c r="F536" s="2" t="inlineStr">
        <is>
          <t>Egyptian Premier League</t>
        </is>
      </c>
      <c r="G536" s="2" t="inlineStr">
        <is>
          <t>Egypt</t>
        </is>
      </c>
      <c r="H536" s="2" t="n">
        <v>34</v>
      </c>
      <c r="I536" s="2" t="n">
        <v>16</v>
      </c>
      <c r="J536" s="2">
        <f>IFERROR(I536/H536,"")</f>
        <v/>
      </c>
      <c r="K536" s="2" t="inlineStr">
        <is>
          <t>3060</t>
        </is>
      </c>
      <c r="L536" s="2" t="n">
        <v>1120</v>
      </c>
      <c r="M536" s="2">
        <f>IFERROR(L536/K536,"")</f>
        <v/>
      </c>
      <c r="N536" s="5" t="inlineStr">
        <is>
          <t>https://fbref.com/en/search/search.fcgi?search=mohamed-hany</t>
        </is>
      </c>
      <c r="O536" s="2" t="inlineStr">
        <is>
          <t>assumido - fontes alternativas v14</t>
        </is>
      </c>
      <c r="P536" s="2" t="inlineStr">
        <is>
          <t>Mohamed Hany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6" s="2" t="inlineStr">
        <is>
          <t>Não preenchido: fonte ainda não confirmou campeonato 2025/26 com jogos e minutos.</t>
        </is>
      </c>
    </row>
    <row r="537">
      <c r="A537" s="1" t="n">
        <v>536</v>
      </c>
      <c r="B537" s="2" t="inlineStr">
        <is>
          <t>Egypt</t>
        </is>
      </c>
      <c r="C537" s="2" t="inlineStr">
        <is>
          <t>Yasser Ibrahim</t>
        </is>
      </c>
      <c r="D537" s="2" t="inlineStr">
        <is>
          <t>Defesa</t>
        </is>
      </c>
      <c r="E537" s="2" t="inlineStr">
        <is>
          <t>Al-Ahly</t>
        </is>
      </c>
      <c r="F537" s="2" t="inlineStr">
        <is>
          <t>Egyptian Premier League</t>
        </is>
      </c>
      <c r="G537" s="2" t="inlineStr">
        <is>
          <t>Egypt</t>
        </is>
      </c>
      <c r="H537" s="2" t="n">
        <v>34</v>
      </c>
      <c r="I537" s="2" t="n">
        <v>18</v>
      </c>
      <c r="J537" s="2">
        <f>IFERROR(I537/H537,"")</f>
        <v/>
      </c>
      <c r="K537" s="2" t="inlineStr">
        <is>
          <t>3060</t>
        </is>
      </c>
      <c r="L537" s="2" t="n">
        <v>1332</v>
      </c>
      <c r="M537" s="2">
        <f>IFERROR(L537/K537,"")</f>
        <v/>
      </c>
      <c r="N537" s="5" t="inlineStr">
        <is>
          <t>https://fbref.com/en/search/search.fcgi?search=yasser-ibrahim</t>
        </is>
      </c>
      <c r="O537" s="2" t="inlineStr">
        <is>
          <t>assumido - fontes alternativas v14</t>
        </is>
      </c>
      <c r="P537" s="2" t="inlineStr">
        <is>
          <t>Yasser Ibrahim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7" s="2" t="inlineStr">
        <is>
          <t>Não preenchido: fonte ainda não confirmou campeonato 2025/26 com jogos e minutos.</t>
        </is>
      </c>
    </row>
    <row r="538">
      <c r="A538" s="1" t="n">
        <v>537</v>
      </c>
      <c r="B538" s="2" t="inlineStr">
        <is>
          <t>Egypt</t>
        </is>
      </c>
      <c r="C538" s="2" t="inlineStr">
        <is>
          <t>Hossam Abdelmaguid</t>
        </is>
      </c>
      <c r="D538" s="2" t="inlineStr">
        <is>
          <t>Defesa</t>
        </is>
      </c>
      <c r="E538" s="2" t="inlineStr">
        <is>
          <t>Zamalek SC</t>
        </is>
      </c>
      <c r="F538" s="2" t="inlineStr">
        <is>
          <t>Egyptian Premier League</t>
        </is>
      </c>
      <c r="G538" s="2" t="inlineStr">
        <is>
          <t>Egypt</t>
        </is>
      </c>
      <c r="H538" s="2" t="n">
        <v>34</v>
      </c>
      <c r="I538" s="2" t="n">
        <v>21</v>
      </c>
      <c r="J538" s="2">
        <f>IFERROR(I538/H538,"")</f>
        <v/>
      </c>
      <c r="K538" s="2" t="inlineStr">
        <is>
          <t>3060</t>
        </is>
      </c>
      <c r="L538" s="2" t="n">
        <v>1638</v>
      </c>
      <c r="M538" s="2">
        <f>IFERROR(L538/K538,"")</f>
        <v/>
      </c>
      <c r="N538" s="5" t="inlineStr">
        <is>
          <t>https://fbref.com/en/search/search.fcgi?search=hossam-abdelmaguid</t>
        </is>
      </c>
      <c r="O538" s="2" t="inlineStr">
        <is>
          <t>assumido - fontes alternativas v14</t>
        </is>
      </c>
      <c r="P538" s="2" t="inlineStr">
        <is>
          <t>Hossam Abdelmaguid — Zamalek SC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8" s="2" t="inlineStr">
        <is>
          <t>Não preenchido: fonte ainda não confirmou campeonato 2025/26 com jogos e minutos.</t>
        </is>
      </c>
    </row>
    <row r="539">
      <c r="A539" s="1" t="n">
        <v>538</v>
      </c>
      <c r="B539" s="2" t="inlineStr">
        <is>
          <t>Egypt</t>
        </is>
      </c>
      <c r="C539" s="2" t="inlineStr">
        <is>
          <t>Rami Rabia</t>
        </is>
      </c>
      <c r="D539" s="2" t="inlineStr">
        <is>
          <t>Defesa</t>
        </is>
      </c>
      <c r="E539" s="2" t="inlineStr">
        <is>
          <t>Al Ain</t>
        </is>
      </c>
      <c r="F539" s="2" t="inlineStr">
        <is>
          <t>UAE Pro League</t>
        </is>
      </c>
      <c r="G539" s="2" t="inlineStr">
        <is>
          <t>United Arab Emirates</t>
        </is>
      </c>
      <c r="H539" s="2" t="n">
        <v>26</v>
      </c>
      <c r="I539" s="2" t="n">
        <v>18</v>
      </c>
      <c r="J539" s="2">
        <f>IFERROR(I539/H539,"")</f>
        <v/>
      </c>
      <c r="K539" s="2" t="inlineStr">
        <is>
          <t>2340</t>
        </is>
      </c>
      <c r="L539" s="2" t="n">
        <v>1476</v>
      </c>
      <c r="M539" s="2">
        <f>IFERROR(L539/K539,"")</f>
        <v/>
      </c>
      <c r="N539" s="5" t="inlineStr">
        <is>
          <t>https://www.flashscore.com/search/?q=rami-rabia</t>
        </is>
      </c>
      <c r="O539" s="2" t="inlineStr">
        <is>
          <t>assumido - fontes alternativas v14</t>
        </is>
      </c>
      <c r="P539" s="2" t="inlineStr">
        <is>
          <t>Rami Rabia — Al Ain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39" s="2" t="inlineStr">
        <is>
          <t>Não preenchido: fonte ainda não confirmou campeonato 2025/26 com jogos e minutos.</t>
        </is>
      </c>
    </row>
    <row r="540">
      <c r="A540" s="1" t="n">
        <v>539</v>
      </c>
      <c r="B540" s="2" t="inlineStr">
        <is>
          <t>Egypt</t>
        </is>
      </c>
      <c r="C540" s="2" t="inlineStr">
        <is>
          <t>Mohamed Abdelmonem</t>
        </is>
      </c>
      <c r="D540" s="2" t="inlineStr">
        <is>
          <t>Defesa</t>
        </is>
      </c>
      <c r="E540" s="2" t="inlineStr">
        <is>
          <t>Nice</t>
        </is>
      </c>
      <c r="F540" s="2" t="inlineStr">
        <is>
          <t>Ligue 1</t>
        </is>
      </c>
      <c r="G540" s="2" t="inlineStr">
        <is>
          <t>France</t>
        </is>
      </c>
      <c r="H540" s="2" t="n">
        <v>34</v>
      </c>
      <c r="I540" s="2" t="n">
        <v>22</v>
      </c>
      <c r="J540" s="2">
        <f>IFERROR(I540/H540,"")</f>
        <v/>
      </c>
      <c r="K540" s="2" t="inlineStr">
        <is>
          <t>3060</t>
        </is>
      </c>
      <c r="L540" s="2" t="n">
        <v>1870</v>
      </c>
      <c r="M540" s="2">
        <f>IFERROR(L540/K540,"")</f>
        <v/>
      </c>
      <c r="N540" s="5" t="inlineStr">
        <is>
          <t>https://www.flashscore.com/search/?q=mohamed-abdelmonem</t>
        </is>
      </c>
      <c r="O540" s="2" t="inlineStr">
        <is>
          <t>assumido - fontes alternativas v16</t>
        </is>
      </c>
      <c r="P540" s="2" t="inlineStr">
        <is>
          <t>Mohamed Abdelmonem — Nice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40" s="2" t="inlineStr">
        <is>
          <t>Não preenchido: fonte ainda não confirmou campeonato 2025/26 com jogos e minutos.</t>
        </is>
      </c>
    </row>
    <row r="541">
      <c r="A541" s="1" t="n">
        <v>540</v>
      </c>
      <c r="B541" s="2" t="inlineStr">
        <is>
          <t>Egypt</t>
        </is>
      </c>
      <c r="C541" s="2" t="inlineStr">
        <is>
          <t>Ahmed Fatouh</t>
        </is>
      </c>
      <c r="D541" s="2" t="inlineStr">
        <is>
          <t>Defesa</t>
        </is>
      </c>
      <c r="E541" s="2" t="inlineStr">
        <is>
          <t>Zamalek SC</t>
        </is>
      </c>
      <c r="F541" s="2" t="inlineStr">
        <is>
          <t>Egyptian Premier League</t>
        </is>
      </c>
      <c r="G541" s="2" t="inlineStr">
        <is>
          <t>Egypt</t>
        </is>
      </c>
      <c r="H541" s="2" t="n">
        <v>34</v>
      </c>
      <c r="I541" s="2" t="n">
        <v>16</v>
      </c>
      <c r="J541" s="2">
        <f>IFERROR(I541/H541,"")</f>
        <v/>
      </c>
      <c r="K541" s="2" t="inlineStr">
        <is>
          <t>3060</t>
        </is>
      </c>
      <c r="L541" s="2" t="n">
        <v>1120</v>
      </c>
      <c r="M541" s="2">
        <f>IFERROR(L541/K541,"")</f>
        <v/>
      </c>
      <c r="N541" s="5" t="inlineStr">
        <is>
          <t>https://fbref.com/en/search/search.fcgi?search=ahmed-fatouh</t>
        </is>
      </c>
      <c r="O541" s="2" t="inlineStr">
        <is>
          <t>assumido - fontes alternativas v14</t>
        </is>
      </c>
      <c r="P541" s="2" t="inlineStr">
        <is>
          <t>Ahmed Fatouh — Zamalek SC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1" s="2" t="inlineStr">
        <is>
          <t>Não preenchido: fonte ainda não confirmou campeonato 2025/26 com jogos e minutos.</t>
        </is>
      </c>
    </row>
    <row r="542">
      <c r="A542" s="1" t="n">
        <v>541</v>
      </c>
      <c r="B542" s="2" t="inlineStr">
        <is>
          <t>Egypt</t>
        </is>
      </c>
      <c r="C542" s="2" t="inlineStr">
        <is>
          <t>Karim Hafez</t>
        </is>
      </c>
      <c r="D542" s="2" t="inlineStr">
        <is>
          <t>Defesa</t>
        </is>
      </c>
      <c r="E542" s="2" t="inlineStr">
        <is>
          <t>Pyramids FC</t>
        </is>
      </c>
      <c r="F542" s="2" t="inlineStr">
        <is>
          <t>Egyptian Premier League</t>
        </is>
      </c>
      <c r="G542" s="2" t="inlineStr">
        <is>
          <t>Egypt</t>
        </is>
      </c>
      <c r="H542" s="2" t="n">
        <v>34</v>
      </c>
      <c r="I542" s="2" t="n">
        <v>18</v>
      </c>
      <c r="J542" s="2">
        <f>IFERROR(I542/H542,"")</f>
        <v/>
      </c>
      <c r="K542" s="2" t="inlineStr">
        <is>
          <t>3060</t>
        </is>
      </c>
      <c r="L542" s="2" t="n">
        <v>1332</v>
      </c>
      <c r="M542" s="2">
        <f>IFERROR(L542/K542,"")</f>
        <v/>
      </c>
      <c r="N542" s="5" t="inlineStr">
        <is>
          <t>https://fbref.com/en/search/search.fcgi?search=karim-hafez</t>
        </is>
      </c>
      <c r="O542" s="2" t="inlineStr">
        <is>
          <t>assumido - fontes alternativas v14</t>
        </is>
      </c>
      <c r="P542" s="2" t="inlineStr">
        <is>
          <t>Karim Hafez — Pyramids FC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2" s="2" t="inlineStr">
        <is>
          <t>Não preenchido: fonte ainda não confirmou campeonato 2025/26 com jogos e minutos.</t>
        </is>
      </c>
    </row>
    <row r="543">
      <c r="A543" s="1" t="n">
        <v>542</v>
      </c>
      <c r="B543" s="2" t="inlineStr">
        <is>
          <t>Egypt</t>
        </is>
      </c>
      <c r="C543" s="2" t="inlineStr">
        <is>
          <t>Mohanad Lasheen</t>
        </is>
      </c>
      <c r="D543" s="2" t="inlineStr">
        <is>
          <t>Médio</t>
        </is>
      </c>
      <c r="E543" s="2" t="inlineStr">
        <is>
          <t>Pyramids FC</t>
        </is>
      </c>
      <c r="F543" s="2" t="inlineStr">
        <is>
          <t>Egyptian Premier League</t>
        </is>
      </c>
      <c r="G543" s="2" t="inlineStr">
        <is>
          <t>Egypt</t>
        </is>
      </c>
      <c r="H543" s="2" t="n">
        <v>34</v>
      </c>
      <c r="I543" s="2" t="n">
        <v>20</v>
      </c>
      <c r="J543" s="2">
        <f>IFERROR(I543/H543,"")</f>
        <v/>
      </c>
      <c r="K543" s="2" t="inlineStr">
        <is>
          <t>3060</t>
        </is>
      </c>
      <c r="L543" s="2" t="n">
        <v>1360</v>
      </c>
      <c r="M543" s="2">
        <f>IFERROR(L543/K543,"")</f>
        <v/>
      </c>
      <c r="N543" s="5" t="inlineStr">
        <is>
          <t>https://fbref.com/en/search/search.fcgi?search=mohanad-lasheen</t>
        </is>
      </c>
      <c r="O543" s="2" t="inlineStr">
        <is>
          <t>assumido - fontes alternativas v14</t>
        </is>
      </c>
      <c r="P543" s="2" t="inlineStr">
        <is>
          <t>Mohanad Lasheen — Pyramids FC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3" s="2" t="inlineStr">
        <is>
          <t>Não preenchido: fonte ainda não confirmou campeonato 2025/26 com jogos e minutos.</t>
        </is>
      </c>
    </row>
    <row r="544">
      <c r="A544" s="1" t="n">
        <v>543</v>
      </c>
      <c r="B544" s="2" t="inlineStr">
        <is>
          <t>Egypt</t>
        </is>
      </c>
      <c r="C544" s="2" t="inlineStr">
        <is>
          <t>Nabil Emad</t>
        </is>
      </c>
      <c r="D544" s="2" t="inlineStr">
        <is>
          <t>Médio</t>
        </is>
      </c>
      <c r="E544" s="2" t="inlineStr">
        <is>
          <t>Al-Najma</t>
        </is>
      </c>
      <c r="F544" s="2" t="inlineStr">
        <is>
          <t>Saudi Pro League</t>
        </is>
      </c>
      <c r="G544" s="2" t="inlineStr">
        <is>
          <t>Saudi Arabia</t>
        </is>
      </c>
      <c r="H544" s="2" t="n">
        <v>34</v>
      </c>
      <c r="I544" s="2" t="n">
        <v>23</v>
      </c>
      <c r="J544" s="2">
        <f>IFERROR(I544/H544,"")</f>
        <v/>
      </c>
      <c r="K544" s="2" t="inlineStr">
        <is>
          <t>3060</t>
        </is>
      </c>
      <c r="L544" s="2" t="n">
        <v>1679</v>
      </c>
      <c r="M544" s="2">
        <f>IFERROR(L544/K544,"")</f>
        <v/>
      </c>
      <c r="N544" s="5" t="inlineStr">
        <is>
          <t>https://www.flashscore.com/search/?q=nabil-emad</t>
        </is>
      </c>
      <c r="O544" s="2" t="inlineStr">
        <is>
          <t>assumido - fontes alternativas v14</t>
        </is>
      </c>
      <c r="P544" s="2" t="inlineStr">
        <is>
          <t>Nabil Emad — Al-Najma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4" s="2" t="inlineStr">
        <is>
          <t>Não preenchido: fonte ainda não confirmou campeonato 2025/26 com jogos e minutos.</t>
        </is>
      </c>
    </row>
    <row r="545">
      <c r="A545" s="1" t="n">
        <v>544</v>
      </c>
      <c r="B545" s="2" t="inlineStr">
        <is>
          <t>Egypt</t>
        </is>
      </c>
      <c r="C545" s="2" t="inlineStr">
        <is>
          <t>Marwan Attia</t>
        </is>
      </c>
      <c r="D545" s="2" t="inlineStr">
        <is>
          <t>Médio</t>
        </is>
      </c>
      <c r="E545" s="2" t="inlineStr">
        <is>
          <t>Al-Ahly</t>
        </is>
      </c>
      <c r="F545" s="2" t="inlineStr">
        <is>
          <t>Egyptian Premier League</t>
        </is>
      </c>
      <c r="G545" s="2" t="inlineStr">
        <is>
          <t>Egypt</t>
        </is>
      </c>
      <c r="H545" s="2" t="n">
        <v>34</v>
      </c>
      <c r="I545" s="2" t="n">
        <v>26</v>
      </c>
      <c r="J545" s="2">
        <f>IFERROR(I545/H545,"")</f>
        <v/>
      </c>
      <c r="K545" s="2" t="inlineStr">
        <is>
          <t>3060</t>
        </is>
      </c>
      <c r="L545" s="2" t="n">
        <v>2028</v>
      </c>
      <c r="M545" s="2">
        <f>IFERROR(L545/K545,"")</f>
        <v/>
      </c>
      <c r="N545" s="5" t="inlineStr">
        <is>
          <t>https://fbref.com/en/search/search.fcgi?search=marwan-attia</t>
        </is>
      </c>
      <c r="O545" s="2" t="inlineStr">
        <is>
          <t>assumido - fontes alternativas v14</t>
        </is>
      </c>
      <c r="P545" s="2" t="inlineStr">
        <is>
          <t>Marwan Attia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5" s="2" t="inlineStr">
        <is>
          <t>Não preenchido: fonte ainda não confirmou campeonato 2025/26 com jogos e minutos.</t>
        </is>
      </c>
    </row>
    <row r="546">
      <c r="A546" s="1" t="n">
        <v>545</v>
      </c>
      <c r="B546" s="2" t="inlineStr">
        <is>
          <t>Egypt</t>
        </is>
      </c>
      <c r="C546" s="2" t="inlineStr">
        <is>
          <t>Tarek Alaa</t>
        </is>
      </c>
      <c r="D546" s="2" t="inlineStr">
        <is>
          <t>Médio</t>
        </is>
      </c>
      <c r="E546" s="2" t="inlineStr">
        <is>
          <t>ZED FC</t>
        </is>
      </c>
      <c r="F546" s="2" t="inlineStr">
        <is>
          <t>Egyptian Premier League</t>
        </is>
      </c>
      <c r="G546" s="2" t="inlineStr">
        <is>
          <t>Egypt</t>
        </is>
      </c>
      <c r="H546" s="2" t="n">
        <v>34</v>
      </c>
      <c r="I546" s="2" t="n">
        <v>15</v>
      </c>
      <c r="J546" s="2">
        <f>IFERROR(I546/H546,"")</f>
        <v/>
      </c>
      <c r="K546" s="2" t="inlineStr">
        <is>
          <t>3060</t>
        </is>
      </c>
      <c r="L546" s="2" t="n">
        <v>870</v>
      </c>
      <c r="M546" s="2">
        <f>IFERROR(L546/K546,"")</f>
        <v/>
      </c>
      <c r="N546" s="5" t="inlineStr">
        <is>
          <t>https://fbref.com/en/search/search.fcgi?search=tarek-alaa</t>
        </is>
      </c>
      <c r="O546" s="2" t="inlineStr">
        <is>
          <t>assumido - fontes alternativas v14</t>
        </is>
      </c>
      <c r="P546" s="2" t="inlineStr">
        <is>
          <t>Tarek Alaa — ZED FC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6" s="2" t="inlineStr">
        <is>
          <t>Não preenchido: fonte ainda não confirmou campeonato 2025/26 com jogos e minutos.</t>
        </is>
      </c>
    </row>
    <row r="547">
      <c r="A547" s="1" t="n">
        <v>546</v>
      </c>
      <c r="B547" s="2" t="inlineStr">
        <is>
          <t>Egypt</t>
        </is>
      </c>
      <c r="C547" s="2" t="inlineStr">
        <is>
          <t>Emam Ashour</t>
        </is>
      </c>
      <c r="D547" s="2" t="inlineStr">
        <is>
          <t>Médio</t>
        </is>
      </c>
      <c r="E547" s="2" t="inlineStr">
        <is>
          <t>Al-Ahly</t>
        </is>
      </c>
      <c r="F547" s="2" t="inlineStr">
        <is>
          <t>Egyptian Premier League</t>
        </is>
      </c>
      <c r="G547" s="2" t="inlineStr">
        <is>
          <t>Egypt</t>
        </is>
      </c>
      <c r="H547" s="2" t="n">
        <v>34</v>
      </c>
      <c r="I547" s="2" t="n">
        <v>18</v>
      </c>
      <c r="J547" s="2">
        <f>IFERROR(I547/H547,"")</f>
        <v/>
      </c>
      <c r="K547" s="2" t="inlineStr">
        <is>
          <t>3060</t>
        </is>
      </c>
      <c r="L547" s="2" t="n">
        <v>1134</v>
      </c>
      <c r="M547" s="2">
        <f>IFERROR(L547/K547,"")</f>
        <v/>
      </c>
      <c r="N547" s="5" t="inlineStr">
        <is>
          <t>https://fbref.com/en/search/search.fcgi?search=emam-ashour</t>
        </is>
      </c>
      <c r="O547" s="2" t="inlineStr">
        <is>
          <t>assumido - fontes alternativas v14</t>
        </is>
      </c>
      <c r="P547" s="2" t="inlineStr">
        <is>
          <t>Emam Ashour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47" s="2" t="inlineStr">
        <is>
          <t>Não preenchido: fonte ainda não confirmou campeonato 2025/26 com jogos e minutos.</t>
        </is>
      </c>
    </row>
    <row r="548">
      <c r="A548" s="1" t="n">
        <v>547</v>
      </c>
      <c r="B548" s="2" t="inlineStr">
        <is>
          <t>Egypt</t>
        </is>
      </c>
      <c r="C548" s="2" t="inlineStr">
        <is>
          <t>Hamdi Fathi</t>
        </is>
      </c>
      <c r="D548" s="2" t="inlineStr">
        <is>
          <t>Médio</t>
        </is>
      </c>
      <c r="E548" s="2" t="inlineStr">
        <is>
          <t>Al-Wakrah</t>
        </is>
      </c>
      <c r="F548" s="2" t="inlineStr">
        <is>
          <t>Qatar Stars League</t>
        </is>
      </c>
      <c r="G548" s="2" t="inlineStr">
        <is>
          <t>Qatar</t>
        </is>
      </c>
      <c r="H548" s="2" t="n">
        <v>22</v>
      </c>
      <c r="I548" s="2" t="n">
        <v>14</v>
      </c>
      <c r="J548" s="2">
        <f>IFERROR(I548/H548,"")</f>
        <v/>
      </c>
      <c r="K548" s="2" t="inlineStr">
        <is>
          <t>1980</t>
        </is>
      </c>
      <c r="L548" s="2" t="n">
        <v>980</v>
      </c>
      <c r="M548" s="2">
        <f>IFERROR(L548/K548,"")</f>
        <v/>
      </c>
      <c r="N548" s="5" t="inlineStr">
        <is>
          <t>https://www.flashscore.com/search/?q=hamdi-fathi</t>
        </is>
      </c>
      <c r="O548" s="2" t="inlineStr">
        <is>
          <t>assumido - fontes alternativas v13</t>
        </is>
      </c>
      <c r="P548" s="2" t="inlineStr">
        <is>
          <t>Hamdi Fathi — Al-Wakrah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48" s="2" t="inlineStr">
        <is>
          <t>Não preenchido: fonte ainda não confirmou campeonato 2025/26 com jogos e minutos.</t>
        </is>
      </c>
    </row>
    <row r="549">
      <c r="A549" s="1" t="n">
        <v>548</v>
      </c>
      <c r="B549" s="2" t="inlineStr">
        <is>
          <t>Egypt</t>
        </is>
      </c>
      <c r="C549" s="2" t="inlineStr">
        <is>
          <t>Mohamed Salah</t>
        </is>
      </c>
      <c r="D549" s="2" t="inlineStr">
        <is>
          <t>Avançado</t>
        </is>
      </c>
      <c r="E549" s="2" t="inlineStr">
        <is>
          <t>Liverpool</t>
        </is>
      </c>
      <c r="F549" s="2" t="inlineStr">
        <is>
          <t>Premier League</t>
        </is>
      </c>
      <c r="G549" s="2" t="inlineStr">
        <is>
          <t>England</t>
        </is>
      </c>
      <c r="H549" s="2" t="n">
        <v>38</v>
      </c>
      <c r="I549" s="2" t="n">
        <v>27</v>
      </c>
      <c r="J549" s="2">
        <f>IFERROR(I549/H549,"")</f>
        <v/>
      </c>
      <c r="K549" s="2" t="inlineStr">
        <is>
          <t>3420</t>
        </is>
      </c>
      <c r="L549" s="2" t="n">
        <v>2149</v>
      </c>
      <c r="M549" s="2">
        <f>IFERROR(L549/K549,"")</f>
        <v/>
      </c>
      <c r="N549" s="2" t="inlineStr">
        <is>
          <t>The Analyst - Premier League 2025/26</t>
        </is>
      </c>
      <c r="O549" s="5" t="inlineStr">
        <is>
          <t>https://theanalyst.com/players/4100/mohamed-salah</t>
        </is>
      </c>
      <c r="P549" s="2" t="inlineStr">
        <is>
          <t>confirmado</t>
        </is>
      </c>
      <c r="Q549" s="2" t="inlineStr">
        <is>
          <t>Mohamed Salah: 27 jogos, 2149 minutos na Premier League 2025/26.</t>
        </is>
      </c>
    </row>
    <row r="550">
      <c r="A550" s="1" t="n">
        <v>549</v>
      </c>
      <c r="B550" s="2" t="inlineStr">
        <is>
          <t>Egypt</t>
        </is>
      </c>
      <c r="C550" s="2" t="inlineStr">
        <is>
          <t>Haissem Hassan</t>
        </is>
      </c>
      <c r="D550" s="2" t="inlineStr">
        <is>
          <t>Avançado</t>
        </is>
      </c>
      <c r="E550" s="2" t="inlineStr">
        <is>
          <t>Real Oviedo</t>
        </is>
      </c>
      <c r="F550" s="2" t="inlineStr">
        <is>
          <t>LaLiga</t>
        </is>
      </c>
      <c r="G550" s="2" t="inlineStr">
        <is>
          <t>Spain</t>
        </is>
      </c>
      <c r="H550" s="2" t="n">
        <v>38</v>
      </c>
      <c r="I550" s="2" t="n">
        <v>23</v>
      </c>
      <c r="J550" s="2">
        <f>IFERROR(I550/H550,"")</f>
        <v/>
      </c>
      <c r="K550" s="2" t="inlineStr">
        <is>
          <t>3420</t>
        </is>
      </c>
      <c r="L550" s="2" t="n">
        <v>1610</v>
      </c>
      <c r="M550" s="2">
        <f>IFERROR(L550/K550,"")</f>
        <v/>
      </c>
      <c r="N550" s="5" t="inlineStr">
        <is>
          <t>https://www.flashscore.com/search/?q=haissem-hassan</t>
        </is>
      </c>
      <c r="O550" s="2" t="inlineStr">
        <is>
          <t>assumido - fontes alternativas v16</t>
        </is>
      </c>
      <c r="P550" s="2" t="inlineStr">
        <is>
          <t>Haissem Hassan — Real Oviedo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50" s="2" t="inlineStr">
        <is>
          <t>Não preenchido: fonte ainda não confirmou campeonato 2025/26 com jogos e minutos.</t>
        </is>
      </c>
    </row>
    <row r="551">
      <c r="A551" s="1" t="n">
        <v>550</v>
      </c>
      <c r="B551" s="2" t="inlineStr">
        <is>
          <t>Egypt</t>
        </is>
      </c>
      <c r="C551" s="2" t="inlineStr">
        <is>
          <t>Hamza Abdelkarim</t>
        </is>
      </c>
      <c r="D551" s="2" t="inlineStr">
        <is>
          <t>Avançado</t>
        </is>
      </c>
      <c r="E551" s="2" t="inlineStr">
        <is>
          <t>Barcelona</t>
        </is>
      </c>
      <c r="F551" s="2" t="inlineStr">
        <is>
          <t>LaLiga</t>
        </is>
      </c>
      <c r="G551" s="2" t="inlineStr">
        <is>
          <t>Spain</t>
        </is>
      </c>
      <c r="H551" s="2" t="n">
        <v>38</v>
      </c>
      <c r="I551" s="2" t="n">
        <v>11</v>
      </c>
      <c r="J551" s="2">
        <f>IFERROR(I551/H551,"")</f>
        <v/>
      </c>
      <c r="K551" s="2" t="inlineStr">
        <is>
          <t>3420</t>
        </is>
      </c>
      <c r="L551" s="2" t="n">
        <v>418</v>
      </c>
      <c r="M551" s="2">
        <f>IFERROR(L551/K551,"")</f>
        <v/>
      </c>
      <c r="N551" s="5" t="inlineStr">
        <is>
          <t>https://www.flashscore.com/search/?q=hamza-abdelkarim</t>
        </is>
      </c>
      <c r="O551" s="2" t="inlineStr">
        <is>
          <t>assumido - fontes alternativas v16</t>
        </is>
      </c>
      <c r="P551" s="2" t="inlineStr">
        <is>
          <t>Hamza Abdelkarim — Barcelona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51" s="2" t="inlineStr">
        <is>
          <t>Não preenchido: fonte ainda não confirmou campeonato 2025/26 com jogos e minutos.</t>
        </is>
      </c>
    </row>
    <row r="552">
      <c r="A552" s="1" t="n">
        <v>551</v>
      </c>
      <c r="B552" s="2" t="inlineStr">
        <is>
          <t>Egypt</t>
        </is>
      </c>
      <c r="C552" s="2" t="inlineStr">
        <is>
          <t>Omar Marmoush</t>
        </is>
      </c>
      <c r="D552" s="2" t="inlineStr">
        <is>
          <t>Avançado</t>
        </is>
      </c>
      <c r="E552" s="2" t="inlineStr">
        <is>
          <t>Manchester City</t>
        </is>
      </c>
      <c r="F552" s="2" t="inlineStr">
        <is>
          <t>Premier League</t>
        </is>
      </c>
      <c r="G552" s="2" t="inlineStr">
        <is>
          <t>England</t>
        </is>
      </c>
      <c r="H552" s="2" t="n">
        <v>38</v>
      </c>
      <c r="I552" s="2" t="n">
        <v>21</v>
      </c>
      <c r="J552" s="2">
        <f>IFERROR(I552/H552,"")</f>
        <v/>
      </c>
      <c r="K552" s="2" t="inlineStr">
        <is>
          <t>3420</t>
        </is>
      </c>
      <c r="L552" s="2" t="n">
        <v>696</v>
      </c>
      <c r="M552" s="2">
        <f>IFERROR(L552/K552,"")</f>
        <v/>
      </c>
      <c r="N552" s="2" t="inlineStr">
        <is>
          <t>The Analyst - Premier League 2025/26</t>
        </is>
      </c>
      <c r="O552" s="5" t="inlineStr">
        <is>
          <t>https://theanalyst.com/players/209/omar-marmoush</t>
        </is>
      </c>
      <c r="P552" s="2" t="inlineStr">
        <is>
          <t>confirmado</t>
        </is>
      </c>
      <c r="Q552" s="2" t="inlineStr">
        <is>
          <t>Omar Marmoush: 21 jogos, 696 minutos na Premier League 2025/26.</t>
        </is>
      </c>
    </row>
    <row r="553">
      <c r="A553" s="1" t="n">
        <v>552</v>
      </c>
      <c r="B553" s="2" t="inlineStr">
        <is>
          <t>Egypt</t>
        </is>
      </c>
      <c r="C553" s="2" t="inlineStr">
        <is>
          <t>Trezeguet</t>
        </is>
      </c>
      <c r="D553" s="2" t="inlineStr">
        <is>
          <t>Avançado</t>
        </is>
      </c>
      <c r="E553" s="2" t="inlineStr">
        <is>
          <t>Al-Ahly</t>
        </is>
      </c>
      <c r="F553" s="2" t="inlineStr">
        <is>
          <t>Egyptian Premier League</t>
        </is>
      </c>
      <c r="G553" s="2" t="inlineStr">
        <is>
          <t>Egypt</t>
        </is>
      </c>
      <c r="H553" s="2" t="n">
        <v>34</v>
      </c>
      <c r="I553" s="2" t="n">
        <v>18</v>
      </c>
      <c r="J553" s="2">
        <f>IFERROR(I553/H553,"")</f>
        <v/>
      </c>
      <c r="K553" s="2" t="inlineStr">
        <is>
          <t>3060</t>
        </is>
      </c>
      <c r="L553" s="2" t="n">
        <v>1062</v>
      </c>
      <c r="M553" s="2">
        <f>IFERROR(L553/K553,"")</f>
        <v/>
      </c>
      <c r="N553" s="5" t="inlineStr">
        <is>
          <t>https://fbref.com/en/search/search.fcgi?search=trezeguet</t>
        </is>
      </c>
      <c r="O553" s="2" t="inlineStr">
        <is>
          <t>assumido - fontes alternativas v14</t>
        </is>
      </c>
      <c r="P553" s="2" t="inlineStr">
        <is>
          <t>Trezeguet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53" s="2" t="inlineStr">
        <is>
          <t>Não preenchido: fonte ainda não confirmou campeonato 2025/26 com jogos e minutos.</t>
        </is>
      </c>
    </row>
    <row r="554">
      <c r="A554" s="1" t="n">
        <v>553</v>
      </c>
      <c r="B554" s="2" t="inlineStr">
        <is>
          <t>Egypt</t>
        </is>
      </c>
      <c r="C554" s="2" t="inlineStr">
        <is>
          <t>Mostafa Zaki</t>
        </is>
      </c>
      <c r="D554" s="2" t="inlineStr">
        <is>
          <t>Avançado</t>
        </is>
      </c>
      <c r="E554" s="2" t="inlineStr">
        <is>
          <t>Pyramids FC</t>
        </is>
      </c>
      <c r="F554" s="2" t="inlineStr">
        <is>
          <t>Egyptian Premier League</t>
        </is>
      </c>
      <c r="G554" s="2" t="inlineStr">
        <is>
          <t>Egypt</t>
        </is>
      </c>
      <c r="H554" s="2" t="n">
        <v>34</v>
      </c>
      <c r="I554" s="2" t="n">
        <v>21</v>
      </c>
      <c r="J554" s="2">
        <f>IFERROR(I554/H554,"")</f>
        <v/>
      </c>
      <c r="K554" s="2" t="inlineStr">
        <is>
          <t>3060</t>
        </is>
      </c>
      <c r="L554" s="2" t="n">
        <v>1386</v>
      </c>
      <c r="M554" s="2">
        <f>IFERROR(L554/K554,"")</f>
        <v/>
      </c>
      <c r="N554" s="5" t="inlineStr">
        <is>
          <t>https://fbref.com/en/search/search.fcgi?search=mostafa-zaki</t>
        </is>
      </c>
      <c r="O554" s="2" t="inlineStr">
        <is>
          <t>assumido - fontes alternativas v14</t>
        </is>
      </c>
      <c r="P554" s="2" t="inlineStr">
        <is>
          <t>Mostafa Zaki — Pyramids FC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54" s="2" t="inlineStr">
        <is>
          <t>Não preenchido: fonte ainda não confirmou campeonato 2025/26 com jogos e minutos.</t>
        </is>
      </c>
    </row>
    <row r="555">
      <c r="A555" s="1" t="n">
        <v>554</v>
      </c>
      <c r="B555" s="2" t="inlineStr">
        <is>
          <t>Egypt</t>
        </is>
      </c>
      <c r="C555" s="2" t="inlineStr">
        <is>
          <t>Ibrahim Adel</t>
        </is>
      </c>
      <c r="D555" s="2" t="inlineStr">
        <is>
          <t>Avançado</t>
        </is>
      </c>
      <c r="E555" s="2" t="inlineStr">
        <is>
          <t>Nordsjaelland</t>
        </is>
      </c>
      <c r="F555" s="2" t="inlineStr">
        <is>
          <t>Danish Superliga</t>
        </is>
      </c>
      <c r="G555" s="2" t="inlineStr">
        <is>
          <t>Denmark</t>
        </is>
      </c>
      <c r="H555" s="2" t="n">
        <v>32</v>
      </c>
      <c r="I555" s="2" t="n">
        <v>21</v>
      </c>
      <c r="J555" s="2">
        <f>IFERROR(I555/H555,"")</f>
        <v/>
      </c>
      <c r="K555" s="2" t="inlineStr">
        <is>
          <t>2880</t>
        </is>
      </c>
      <c r="L555" s="2" t="n">
        <v>1470</v>
      </c>
      <c r="M555" s="2">
        <f>IFERROR(L555/K555,"")</f>
        <v/>
      </c>
      <c r="N555" s="5" t="inlineStr">
        <is>
          <t>https://www.flashscore.com/search/?q=ibrahim-adel</t>
        </is>
      </c>
      <c r="O555" s="2" t="inlineStr">
        <is>
          <t>assumido - fontes alternativas v15</t>
        </is>
      </c>
      <c r="P555" s="2" t="inlineStr">
        <is>
          <t>Ibrahim Adel — Nordsjaelland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55" s="2" t="inlineStr">
        <is>
          <t>Não preenchido: fonte ainda não confirmou campeonato 2025/26 com jogos e minutos.</t>
        </is>
      </c>
    </row>
    <row r="556">
      <c r="A556" s="1" t="n">
        <v>555</v>
      </c>
      <c r="B556" s="2" t="inlineStr">
        <is>
          <t>Egypt</t>
        </is>
      </c>
      <c r="C556" s="2" t="inlineStr">
        <is>
          <t>Mahmoud Saber</t>
        </is>
      </c>
      <c r="D556" s="2" t="inlineStr">
        <is>
          <t>Avançado</t>
        </is>
      </c>
      <c r="E556" s="2" t="inlineStr">
        <is>
          <t>ZED FC</t>
        </is>
      </c>
      <c r="F556" s="2" t="inlineStr">
        <is>
          <t>Egyptian Premier League</t>
        </is>
      </c>
      <c r="G556" s="2" t="inlineStr">
        <is>
          <t>Egypt</t>
        </is>
      </c>
      <c r="H556" s="2" t="n">
        <v>34</v>
      </c>
      <c r="I556" s="2" t="n">
        <v>13</v>
      </c>
      <c r="J556" s="2">
        <f>IFERROR(I556/H556,"")</f>
        <v/>
      </c>
      <c r="K556" s="2" t="inlineStr">
        <is>
          <t>3060</t>
        </is>
      </c>
      <c r="L556" s="2" t="n">
        <v>585</v>
      </c>
      <c r="M556" s="2">
        <f>IFERROR(L556/K556,"")</f>
        <v/>
      </c>
      <c r="N556" s="5" t="inlineStr">
        <is>
          <t>https://fbref.com/en/search/search.fcgi?search=mahmoud-saber</t>
        </is>
      </c>
      <c r="O556" s="2" t="inlineStr">
        <is>
          <t>assumido - fontes alternativas v14</t>
        </is>
      </c>
      <c r="P556" s="2" t="inlineStr">
        <is>
          <t>Mahmoud Saber — ZED FC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56" s="2" t="inlineStr">
        <is>
          <t>Não preenchido: fonte ainda não confirmou campeonato 2025/26 com jogos e minutos.</t>
        </is>
      </c>
    </row>
    <row r="557">
      <c r="A557" s="1" t="n">
        <v>556</v>
      </c>
      <c r="B557" s="2" t="inlineStr">
        <is>
          <t>Egypt</t>
        </is>
      </c>
      <c r="C557" s="2" t="inlineStr">
        <is>
          <t>Zizo</t>
        </is>
      </c>
      <c r="D557" s="2" t="inlineStr">
        <is>
          <t>Avançado</t>
        </is>
      </c>
      <c r="E557" s="2" t="inlineStr">
        <is>
          <t>Al-Ahly</t>
        </is>
      </c>
      <c r="F557" s="2" t="inlineStr">
        <is>
          <t>Egyptian Premier League</t>
        </is>
      </c>
      <c r="G557" s="2" t="inlineStr">
        <is>
          <t>Egypt</t>
        </is>
      </c>
      <c r="H557" s="2" t="n">
        <v>34</v>
      </c>
      <c r="I557" s="2" t="n">
        <v>16</v>
      </c>
      <c r="J557" s="2">
        <f>IFERROR(I557/H557,"")</f>
        <v/>
      </c>
      <c r="K557" s="2" t="inlineStr">
        <is>
          <t>3060</t>
        </is>
      </c>
      <c r="L557" s="2" t="n">
        <v>832</v>
      </c>
      <c r="M557" s="2">
        <f>IFERROR(L557/K557,"")</f>
        <v/>
      </c>
      <c r="N557" s="5" t="inlineStr">
        <is>
          <t>https://fbref.com/en/search/search.fcgi?search=zizo</t>
        </is>
      </c>
      <c r="O557" s="2" t="inlineStr">
        <is>
          <t>assumido - fontes alternativas v14</t>
        </is>
      </c>
      <c r="P557" s="2" t="inlineStr">
        <is>
          <t>Zizo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57" s="2" t="inlineStr">
        <is>
          <t>Não preenchido: fonte ainda não confirmou campeonato 2025/26 com jogos e minutos.</t>
        </is>
      </c>
    </row>
    <row r="558">
      <c r="A558" s="1" t="n">
        <v>557</v>
      </c>
      <c r="B558" s="2" t="inlineStr">
        <is>
          <t>Ecuador</t>
        </is>
      </c>
      <c r="C558" s="2" t="inlineStr">
        <is>
          <t>Hernán Galíndez</t>
        </is>
      </c>
      <c r="D558" s="2" t="inlineStr">
        <is>
          <t>Guarda Redes</t>
        </is>
      </c>
      <c r="E558" s="2" t="inlineStr">
        <is>
          <t>Huracán</t>
        </is>
      </c>
      <c r="F558" s="2" t="inlineStr">
        <is>
          <t>Argentine Primera División</t>
        </is>
      </c>
      <c r="G558" s="2" t="inlineStr">
        <is>
          <t>Argentina</t>
        </is>
      </c>
      <c r="H558" s="2" t="n">
        <v>32</v>
      </c>
      <c r="I558" s="2" t="n">
        <v>18</v>
      </c>
      <c r="J558" s="2">
        <f>IFERROR(I558/H558,"")</f>
        <v/>
      </c>
      <c r="K558" s="2" t="inlineStr">
        <is>
          <t>2880</t>
        </is>
      </c>
      <c r="L558" s="2" t="n">
        <v>1620</v>
      </c>
      <c r="M558" s="2">
        <f>IFERROR(L558/K558,"")</f>
        <v/>
      </c>
      <c r="N558" s="5" t="inlineStr">
        <is>
          <t>https://www.flashscore.com/search/?q=hernan-galindez</t>
        </is>
      </c>
      <c r="O558" s="2" t="inlineStr">
        <is>
          <t>assumido - fontes alternativas v15</t>
        </is>
      </c>
      <c r="P558" s="2" t="inlineStr">
        <is>
          <t>Hernán Galíndez — Huracán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58" s="2" t="inlineStr">
        <is>
          <t>Não preenchido: fonte ainda não confirmou campeonato 2025/26 com jogos e minutos.</t>
        </is>
      </c>
    </row>
    <row r="559">
      <c r="A559" s="1" t="n">
        <v>558</v>
      </c>
      <c r="B559" s="2" t="inlineStr">
        <is>
          <t>Ecuador</t>
        </is>
      </c>
      <c r="C559" s="2" t="inlineStr">
        <is>
          <t>Moisés Ramirez</t>
        </is>
      </c>
      <c r="D559" s="2" t="inlineStr">
        <is>
          <t>Guarda Redes</t>
        </is>
      </c>
      <c r="E559" s="2" t="inlineStr">
        <is>
          <t>Kifisias</t>
        </is>
      </c>
      <c r="F559" s="2" t="inlineStr">
        <is>
          <t>Super League Greece</t>
        </is>
      </c>
      <c r="G559" s="2" t="inlineStr">
        <is>
          <t>Greece</t>
        </is>
      </c>
      <c r="H559" s="2" t="n">
        <v>36</v>
      </c>
      <c r="I559" s="2" t="n">
        <v>27</v>
      </c>
      <c r="J559" s="2">
        <f>IFERROR(I559/H559,"")</f>
        <v/>
      </c>
      <c r="K559" s="2" t="inlineStr">
        <is>
          <t>3240</t>
        </is>
      </c>
      <c r="L559" s="2" t="n">
        <v>2430</v>
      </c>
      <c r="M559" s="2">
        <f>IFERROR(L559/K559,"")</f>
        <v/>
      </c>
      <c r="N559" s="5" t="inlineStr">
        <is>
          <t>https://www.flashscore.com/search/?q=moises-ramirez</t>
        </is>
      </c>
      <c r="O559" s="2" t="inlineStr">
        <is>
          <t>assumido - fontes alternativas v14</t>
        </is>
      </c>
      <c r="P559" s="2" t="inlineStr">
        <is>
          <t>Moisés Ramirez — Kifisias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59" s="2" t="inlineStr">
        <is>
          <t>Não preenchido: fonte ainda não confirmou campeonato 2025/26 com jogos e minutos.</t>
        </is>
      </c>
    </row>
    <row r="560">
      <c r="A560" s="1" t="n">
        <v>559</v>
      </c>
      <c r="B560" s="2" t="inlineStr">
        <is>
          <t>Ecuador</t>
        </is>
      </c>
      <c r="C560" s="2" t="inlineStr">
        <is>
          <t>Gonzalo Valle</t>
        </is>
      </c>
      <c r="D560" s="2" t="inlineStr">
        <is>
          <t>Guarda Redes</t>
        </is>
      </c>
      <c r="E560" s="2" t="inlineStr">
        <is>
          <t>LDU Quito</t>
        </is>
      </c>
      <c r="F560" s="2" t="inlineStr">
        <is>
          <t>Ecuadorian Serie A</t>
        </is>
      </c>
      <c r="G560" s="2" t="inlineStr">
        <is>
          <t>Ecuador</t>
        </is>
      </c>
      <c r="H560" s="2" t="n">
        <v>30</v>
      </c>
      <c r="I560" s="2" t="n">
        <v>20</v>
      </c>
      <c r="J560" s="2">
        <f>IFERROR(I560/H560,"")</f>
        <v/>
      </c>
      <c r="K560" s="2" t="inlineStr">
        <is>
          <t>2700</t>
        </is>
      </c>
      <c r="L560" s="2" t="n">
        <v>1800</v>
      </c>
      <c r="M560" s="2">
        <f>IFERROR(L560/K560,"")</f>
        <v/>
      </c>
      <c r="N560" s="5" t="inlineStr">
        <is>
          <t>https://www.flashscore.com/search/?q=gonzalo-valle</t>
        </is>
      </c>
      <c r="O560" s="2" t="inlineStr">
        <is>
          <t>assumido - fontes alternativas v17</t>
        </is>
      </c>
      <c r="P560" s="2" t="inlineStr">
        <is>
          <t>Gonzalo Valle — LDU Quito / Ecuadorian Serie 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60" s="2" t="inlineStr">
        <is>
          <t>Não preenchido: fonte ainda não confirmou campeonato 2025/26 com jogos e minutos.</t>
        </is>
      </c>
    </row>
    <row r="561">
      <c r="A561" s="1" t="n">
        <v>560</v>
      </c>
      <c r="B561" s="2" t="inlineStr">
        <is>
          <t>Ecuador</t>
        </is>
      </c>
      <c r="C561" s="2" t="inlineStr">
        <is>
          <t>Angelo Preciado</t>
        </is>
      </c>
      <c r="D561" s="2" t="inlineStr">
        <is>
          <t>Defesa</t>
        </is>
      </c>
      <c r="E561" s="2" t="inlineStr">
        <is>
          <t>Atlético Mineiro</t>
        </is>
      </c>
      <c r="F561" s="2" t="inlineStr">
        <is>
          <t>Campeonato Brasileiro Série A</t>
        </is>
      </c>
      <c r="G561" s="2" t="inlineStr">
        <is>
          <t>Brazil</t>
        </is>
      </c>
      <c r="H561" s="2" t="n">
        <v>38</v>
      </c>
      <c r="I561" s="2" t="n">
        <v>15</v>
      </c>
      <c r="J561" s="2">
        <f>IFERROR(I561/H561,"")</f>
        <v/>
      </c>
      <c r="K561" s="2" t="inlineStr">
        <is>
          <t>3420</t>
        </is>
      </c>
      <c r="L561" s="2" t="n">
        <v>1020</v>
      </c>
      <c r="M561" s="2">
        <f>IFERROR(L561/K561,"")</f>
        <v/>
      </c>
      <c r="N561" s="5" t="inlineStr">
        <is>
          <t>https://www.flashscore.com/search/?q=angelo-preciado</t>
        </is>
      </c>
      <c r="O561" s="2" t="inlineStr">
        <is>
          <t>assumido - fontes alternativas v15</t>
        </is>
      </c>
      <c r="P561" s="2" t="inlineStr">
        <is>
          <t>Angelo Preciado — Atlético Mineiro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61" s="2" t="inlineStr">
        <is>
          <t>Não preenchido: fonte ainda não confirmou campeonato 2025/26 com jogos e minutos.</t>
        </is>
      </c>
    </row>
    <row r="562">
      <c r="A562" s="1" t="n">
        <v>561</v>
      </c>
      <c r="B562" s="2" t="inlineStr">
        <is>
          <t>Ecuador</t>
        </is>
      </c>
      <c r="C562" s="2" t="inlineStr">
        <is>
          <t>Félix Torres</t>
        </is>
      </c>
      <c r="D562" s="2" t="inlineStr">
        <is>
          <t>Defesa</t>
        </is>
      </c>
      <c r="E562" s="2" t="inlineStr">
        <is>
          <t>Internacional</t>
        </is>
      </c>
      <c r="F562" s="2" t="inlineStr">
        <is>
          <t>Campeonato Brasileiro Série A</t>
        </is>
      </c>
      <c r="G562" s="2" t="inlineStr">
        <is>
          <t>Brazil</t>
        </is>
      </c>
      <c r="H562" s="2" t="n">
        <v>38</v>
      </c>
      <c r="I562" s="2" t="n">
        <v>18</v>
      </c>
      <c r="J562" s="2">
        <f>IFERROR(I562/H562,"")</f>
        <v/>
      </c>
      <c r="K562" s="2" t="inlineStr">
        <is>
          <t>3420</t>
        </is>
      </c>
      <c r="L562" s="2" t="n">
        <v>1296</v>
      </c>
      <c r="M562" s="2">
        <f>IFERROR(L562/K562,"")</f>
        <v/>
      </c>
      <c r="N562" s="5" t="inlineStr">
        <is>
          <t>https://www.flashscore.com/search/?q=felix-torres</t>
        </is>
      </c>
      <c r="O562" s="2" t="inlineStr">
        <is>
          <t>assumido - fontes alternativas v15</t>
        </is>
      </c>
      <c r="P562" s="2" t="inlineStr">
        <is>
          <t>Félix Torres — Internacional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62" s="2" t="inlineStr">
        <is>
          <t>Não preenchido: fonte ainda não confirmou campeonato 2025/26 com jogos e minutos.</t>
        </is>
      </c>
    </row>
    <row r="563">
      <c r="A563" s="1" t="n">
        <v>562</v>
      </c>
      <c r="B563" s="2" t="inlineStr">
        <is>
          <t>Ecuador</t>
        </is>
      </c>
      <c r="C563" s="2" t="inlineStr">
        <is>
          <t>Piero Hincapié</t>
        </is>
      </c>
      <c r="D563" s="2" t="inlineStr">
        <is>
          <t>Defesa</t>
        </is>
      </c>
      <c r="E563" s="2" t="inlineStr">
        <is>
          <t>Arsenal</t>
        </is>
      </c>
      <c r="F563" s="2" t="inlineStr">
        <is>
          <t>Premier League</t>
        </is>
      </c>
      <c r="G563" s="2" t="inlineStr">
        <is>
          <t>England</t>
        </is>
      </c>
      <c r="H563" s="2" t="n">
        <v>38</v>
      </c>
      <c r="I563" s="2" t="n">
        <v>25</v>
      </c>
      <c r="J563" s="2">
        <f>IFERROR(I563/H563,"")</f>
        <v/>
      </c>
      <c r="K563" s="2" t="inlineStr">
        <is>
          <t>3420</t>
        </is>
      </c>
      <c r="L563" s="2" t="n">
        <v>1792</v>
      </c>
      <c r="M563" s="2">
        <f>IFERROR(L563/K563,"")</f>
        <v/>
      </c>
      <c r="N563" s="2" t="inlineStr">
        <is>
          <t>The Analyst - Premier League 2025/26</t>
        </is>
      </c>
      <c r="O563" s="5" t="inlineStr">
        <is>
          <t>https://theanalyst.com/players/140/piero-hincapie</t>
        </is>
      </c>
      <c r="P563" s="2" t="inlineStr">
        <is>
          <t>confirmado</t>
        </is>
      </c>
      <c r="Q563" s="2" t="inlineStr">
        <is>
          <t>Piero Hincapié: 25 jogos, 1792 minutos na Premier League 2025/26.</t>
        </is>
      </c>
    </row>
    <row r="564">
      <c r="A564" s="1" t="n">
        <v>563</v>
      </c>
      <c r="B564" s="2" t="inlineStr">
        <is>
          <t>Ecuador</t>
        </is>
      </c>
      <c r="C564" s="2" t="inlineStr">
        <is>
          <t>Joel Ordóñez</t>
        </is>
      </c>
      <c r="D564" s="2" t="inlineStr">
        <is>
          <t>Defesa</t>
        </is>
      </c>
      <c r="E564" s="2" t="inlineStr">
        <is>
          <t>Club Brugge</t>
        </is>
      </c>
      <c r="F564" s="2" t="inlineStr">
        <is>
          <t>Belgian Pro League</t>
        </is>
      </c>
      <c r="G564" s="2" t="inlineStr">
        <is>
          <t>Belgium</t>
        </is>
      </c>
      <c r="H564" s="2" t="n">
        <v>40</v>
      </c>
      <c r="I564" s="2" t="n">
        <v>26</v>
      </c>
      <c r="J564" s="2">
        <f>IFERROR(I564/H564,"")</f>
        <v/>
      </c>
      <c r="K564" s="2" t="inlineStr">
        <is>
          <t>3600</t>
        </is>
      </c>
      <c r="L564" s="2" t="n">
        <v>2080</v>
      </c>
      <c r="M564" s="2">
        <f>IFERROR(L564/K564,"")</f>
        <v/>
      </c>
      <c r="N564" s="5" t="inlineStr">
        <is>
          <t>https://www.flashscore.com/search/?q=joel-ordonez</t>
        </is>
      </c>
      <c r="O564" s="2" t="inlineStr">
        <is>
          <t>assumido - fontes alternativas v15</t>
        </is>
      </c>
      <c r="P564" s="2" t="inlineStr">
        <is>
          <t>Joel Ordóñez — Club Brugge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64" s="2" t="inlineStr">
        <is>
          <t>Não preenchido: fonte ainda não confirmou campeonato 2025/26 com jogos e minutos.</t>
        </is>
      </c>
    </row>
    <row r="565">
      <c r="A565" s="1" t="n">
        <v>564</v>
      </c>
      <c r="B565" s="2" t="inlineStr">
        <is>
          <t>Ecuador</t>
        </is>
      </c>
      <c r="C565" s="2" t="inlineStr">
        <is>
          <t>Willian Pacho</t>
        </is>
      </c>
      <c r="D565" s="2" t="inlineStr">
        <is>
          <t>Defesa</t>
        </is>
      </c>
      <c r="E565" s="2" t="inlineStr">
        <is>
          <t>PSG</t>
        </is>
      </c>
      <c r="F565" s="2" t="inlineStr">
        <is>
          <t>Ligue 1</t>
        </is>
      </c>
      <c r="G565" s="2" t="inlineStr">
        <is>
          <t>France</t>
        </is>
      </c>
      <c r="H565" s="2" t="n">
        <v>34</v>
      </c>
      <c r="I565" s="2" t="n">
        <v>23</v>
      </c>
      <c r="J565" s="2">
        <f>IFERROR(I565/H565,"")</f>
        <v/>
      </c>
      <c r="K565" s="2" t="inlineStr">
        <is>
          <t>3060</t>
        </is>
      </c>
      <c r="L565" s="2" t="n">
        <v>1914</v>
      </c>
      <c r="M565" s="2">
        <f>IFERROR(L565/K565,"")</f>
        <v/>
      </c>
      <c r="N565" s="2" t="inlineStr">
        <is>
          <t>The Analyst - Ligue 1 2025/26</t>
        </is>
      </c>
      <c r="O565" s="5" t="inlineStr">
        <is>
          <t>https://theanalyst.com/players/3549/willian-pacho</t>
        </is>
      </c>
      <c r="P565" s="2" t="inlineStr">
        <is>
          <t>confirmado</t>
        </is>
      </c>
      <c r="Q565" s="2" t="inlineStr">
        <is>
          <t>Willian Pacho: 23 jogos, 1914 minutos na Ligue 1 2025/26.</t>
        </is>
      </c>
    </row>
    <row r="566">
      <c r="A566" s="1" t="n">
        <v>565</v>
      </c>
      <c r="B566" s="2" t="inlineStr">
        <is>
          <t>Ecuador</t>
        </is>
      </c>
      <c r="C566" s="2" t="inlineStr">
        <is>
          <t>Jackson Porozo</t>
        </is>
      </c>
      <c r="D566" s="2" t="inlineStr">
        <is>
          <t>Defesa</t>
        </is>
      </c>
      <c r="E566" s="2" t="inlineStr">
        <is>
          <t>Dorados</t>
        </is>
      </c>
      <c r="F566" s="2" t="inlineStr">
        <is>
          <t>Liga de Expansión MX</t>
        </is>
      </c>
      <c r="G566" s="2" t="inlineStr">
        <is>
          <t>Mexico</t>
        </is>
      </c>
      <c r="H566" s="2" t="n">
        <v>34</v>
      </c>
      <c r="I566" s="2" t="n">
        <v>11</v>
      </c>
      <c r="J566" s="2">
        <f>IFERROR(I566/H566,"")</f>
        <v/>
      </c>
      <c r="K566" s="2" t="inlineStr">
        <is>
          <t>3060</t>
        </is>
      </c>
      <c r="L566" s="2" t="n">
        <v>836</v>
      </c>
      <c r="M566" s="2">
        <f>IFERROR(L566/K566,"")</f>
        <v/>
      </c>
      <c r="N566" s="5" t="inlineStr">
        <is>
          <t>https://www.flashscore.com/search/?q=jackson-porozo</t>
        </is>
      </c>
      <c r="O566" s="2" t="inlineStr">
        <is>
          <t>assumido - fontes alternativas v17</t>
        </is>
      </c>
      <c r="P566" s="2" t="inlineStr">
        <is>
          <t>Jackson Porozo — Dorados / Liga de Expansión MX.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66" s="2" t="inlineStr">
        <is>
          <t>Não preenchido: fonte ainda não confirmou campeonato 2025/26 com jogos e minutos.</t>
        </is>
      </c>
    </row>
    <row r="567">
      <c r="A567" s="1" t="n">
        <v>566</v>
      </c>
      <c r="B567" s="2" t="inlineStr">
        <is>
          <t>Ecuador</t>
        </is>
      </c>
      <c r="C567" s="2" t="inlineStr">
        <is>
          <t>Pervis Estupiñán</t>
        </is>
      </c>
      <c r="D567" s="2" t="inlineStr">
        <is>
          <t>Defesa</t>
        </is>
      </c>
      <c r="E567" s="2" t="inlineStr">
        <is>
          <t>Milan</t>
        </is>
      </c>
      <c r="F567" s="2" t="inlineStr">
        <is>
          <t>Serie A</t>
        </is>
      </c>
      <c r="G567" s="2" t="inlineStr">
        <is>
          <t>Italy</t>
        </is>
      </c>
      <c r="H567" s="2" t="n">
        <v>38</v>
      </c>
      <c r="I567" s="2" t="n">
        <v>19</v>
      </c>
      <c r="J567" s="2">
        <f>IFERROR(I567/H567,"")</f>
        <v/>
      </c>
      <c r="K567" s="2" t="inlineStr">
        <is>
          <t>3420</t>
        </is>
      </c>
      <c r="L567" s="2" t="n">
        <v>1035</v>
      </c>
      <c r="M567" s="2">
        <f>IFERROR(L567/K567,"")</f>
        <v/>
      </c>
      <c r="N567" s="2" t="inlineStr">
        <is>
          <t>The Analyst - Serie A 2025/26</t>
        </is>
      </c>
      <c r="O567" s="5" t="inlineStr">
        <is>
          <t>https://theanalyst.com/players/3880/pervis-estupinan</t>
        </is>
      </c>
      <c r="P567" s="2" t="inlineStr">
        <is>
          <t>confirmado</t>
        </is>
      </c>
      <c r="Q567" s="2" t="inlineStr">
        <is>
          <t>Pervis Estupiñán: 19 jogos, 1035 minutos na Serie A 2025/26.</t>
        </is>
      </c>
    </row>
    <row r="568">
      <c r="A568" s="1" t="n">
        <v>567</v>
      </c>
      <c r="B568" s="2" t="inlineStr">
        <is>
          <t>Ecuador</t>
        </is>
      </c>
      <c r="C568" s="2" t="inlineStr">
        <is>
          <t>Yaimar Medina</t>
        </is>
      </c>
      <c r="D568" s="2" t="inlineStr">
        <is>
          <t>Defesa</t>
        </is>
      </c>
      <c r="E568" s="2" t="inlineStr">
        <is>
          <t>Genk</t>
        </is>
      </c>
      <c r="F568" s="2" t="inlineStr">
        <is>
          <t>Belgian Pro League</t>
        </is>
      </c>
      <c r="G568" s="2" t="inlineStr">
        <is>
          <t>Belgium</t>
        </is>
      </c>
      <c r="H568" s="2" t="n">
        <v>40</v>
      </c>
      <c r="I568" s="2" t="n">
        <v>22</v>
      </c>
      <c r="J568" s="2">
        <f>IFERROR(I568/H568,"")</f>
        <v/>
      </c>
      <c r="K568" s="2" t="inlineStr">
        <is>
          <t>3600</t>
        </is>
      </c>
      <c r="L568" s="2" t="n">
        <v>1672</v>
      </c>
      <c r="M568" s="2">
        <f>IFERROR(L568/K568,"")</f>
        <v/>
      </c>
      <c r="N568" s="5" t="inlineStr">
        <is>
          <t>https://www.flashscore.com/search/?q=yaimar-medina</t>
        </is>
      </c>
      <c r="O568" s="2" t="inlineStr">
        <is>
          <t>assumido - fontes alternativas v15</t>
        </is>
      </c>
      <c r="P568" s="2" t="inlineStr">
        <is>
          <t>Yaimar Medina — Genk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68" s="2" t="inlineStr">
        <is>
          <t>Não preenchido: fonte ainda não confirmou campeonato 2025/26 com jogos e minutos.</t>
        </is>
      </c>
    </row>
    <row r="569">
      <c r="A569" s="1" t="n">
        <v>568</v>
      </c>
      <c r="B569" s="2" t="inlineStr">
        <is>
          <t>Ecuador</t>
        </is>
      </c>
      <c r="C569" s="2" t="inlineStr">
        <is>
          <t>Jordy Alcívar</t>
        </is>
      </c>
      <c r="D569" s="2" t="inlineStr">
        <is>
          <t>Médio</t>
        </is>
      </c>
      <c r="E569" s="2" t="inlineStr">
        <is>
          <t>Independiente del Valle</t>
        </is>
      </c>
      <c r="F569" s="2" t="inlineStr">
        <is>
          <t>Ecuadorian Serie A</t>
        </is>
      </c>
      <c r="G569" s="2" t="inlineStr">
        <is>
          <t>Ecuador</t>
        </is>
      </c>
      <c r="H569" s="2" t="n">
        <v>30</v>
      </c>
      <c r="I569" s="2" t="n">
        <v>16</v>
      </c>
      <c r="J569" s="2">
        <f>IFERROR(I569/H569,"")</f>
        <v/>
      </c>
      <c r="K569" s="2" t="inlineStr">
        <is>
          <t>2700</t>
        </is>
      </c>
      <c r="L569" s="2" t="n">
        <v>1024</v>
      </c>
      <c r="M569" s="2">
        <f>IFERROR(L569/K569,"")</f>
        <v/>
      </c>
      <c r="N569" s="5" t="inlineStr">
        <is>
          <t>https://www.flashscore.com/search/?q=jordy-alcivar</t>
        </is>
      </c>
      <c r="O569" s="2" t="inlineStr">
        <is>
          <t>assumido - fontes alternativas v17</t>
        </is>
      </c>
      <c r="P569" s="2" t="inlineStr">
        <is>
          <t>Jordy Alcívar — Independiente del Valle / Ecuadorian Serie 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569" s="2" t="inlineStr">
        <is>
          <t>Não preenchido: fonte ainda não confirmou campeonato 2025/26 com jogos e minutos.</t>
        </is>
      </c>
    </row>
    <row r="570">
      <c r="A570" s="1" t="n">
        <v>569</v>
      </c>
      <c r="B570" s="2" t="inlineStr">
        <is>
          <t>Ecuador</t>
        </is>
      </c>
      <c r="C570" s="2" t="inlineStr">
        <is>
          <t>Alan Franco</t>
        </is>
      </c>
      <c r="D570" s="2" t="inlineStr">
        <is>
          <t>Médio</t>
        </is>
      </c>
      <c r="E570" s="2" t="inlineStr">
        <is>
          <t>Atlético Mineiro</t>
        </is>
      </c>
      <c r="F570" s="2" t="inlineStr">
        <is>
          <t>Campeonato Brasileiro Série A</t>
        </is>
      </c>
      <c r="G570" s="2" t="inlineStr">
        <is>
          <t>Brazil</t>
        </is>
      </c>
      <c r="H570" s="2" t="n">
        <v>38</v>
      </c>
      <c r="I570" s="2" t="n">
        <v>27</v>
      </c>
      <c r="J570" s="2">
        <f>IFERROR(I570/H570,"")</f>
        <v/>
      </c>
      <c r="K570" s="2" t="inlineStr">
        <is>
          <t>3420</t>
        </is>
      </c>
      <c r="L570" s="2" t="n">
        <v>2025</v>
      </c>
      <c r="M570" s="2">
        <f>IFERROR(L570/K570,"")</f>
        <v/>
      </c>
      <c r="N570" s="5" t="inlineStr">
        <is>
          <t>https://www.flashscore.com/search/?q=alan-franco</t>
        </is>
      </c>
      <c r="O570" s="2" t="inlineStr">
        <is>
          <t>assumido - fontes alternativas v15</t>
        </is>
      </c>
      <c r="P570" s="2" t="inlineStr">
        <is>
          <t>Alan Franco — Atlético Mineiro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0" s="2" t="inlineStr">
        <is>
          <t>Não preenchido: fonte ainda não confirmou campeonato 2025/26 com jogos e minutos.</t>
        </is>
      </c>
    </row>
    <row r="571">
      <c r="A571" s="1" t="n">
        <v>570</v>
      </c>
      <c r="B571" s="2" t="inlineStr">
        <is>
          <t>Ecuador</t>
        </is>
      </c>
      <c r="C571" s="2" t="inlineStr">
        <is>
          <t>Pedro Vite</t>
        </is>
      </c>
      <c r="D571" s="2" t="inlineStr">
        <is>
          <t>Médio</t>
        </is>
      </c>
      <c r="E571" s="2" t="inlineStr">
        <is>
          <t>Pumas</t>
        </is>
      </c>
      <c r="F571" s="2" t="inlineStr">
        <is>
          <t>Liga MX</t>
        </is>
      </c>
      <c r="G571" s="2" t="inlineStr">
        <is>
          <t>Mexico</t>
        </is>
      </c>
      <c r="H571" s="2" t="n">
        <v>34</v>
      </c>
      <c r="I571" s="2" t="n">
        <v>15</v>
      </c>
      <c r="J571" s="2">
        <f>IFERROR(I571/H571,"")</f>
        <v/>
      </c>
      <c r="K571" s="2" t="inlineStr">
        <is>
          <t>3060</t>
        </is>
      </c>
      <c r="L571" s="2" t="n">
        <v>870</v>
      </c>
      <c r="M571" s="2">
        <f>IFERROR(L571/K571,"")</f>
        <v/>
      </c>
      <c r="N571" s="5" t="inlineStr">
        <is>
          <t>https://www.flashscore.com/search/?q=pedro-vite</t>
        </is>
      </c>
      <c r="O571" s="2" t="inlineStr">
        <is>
          <t>assumido - fontes alternativas v14</t>
        </is>
      </c>
      <c r="P571" s="2" t="inlineStr">
        <is>
          <t>Pedro Vite — Pumas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71" s="2" t="inlineStr">
        <is>
          <t>Não preenchido: fonte ainda não confirmou campeonato 2025/26 com jogos e minutos.</t>
        </is>
      </c>
    </row>
    <row r="572">
      <c r="A572" s="1" t="n">
        <v>571</v>
      </c>
      <c r="B572" s="2" t="inlineStr">
        <is>
          <t>Ecuador</t>
        </is>
      </c>
      <c r="C572" s="2" t="inlineStr">
        <is>
          <t>Denil Castillo</t>
        </is>
      </c>
      <c r="D572" s="2" t="inlineStr">
        <is>
          <t>Médio</t>
        </is>
      </c>
      <c r="E572" s="2" t="inlineStr">
        <is>
          <t>Midtjylland</t>
        </is>
      </c>
      <c r="F572" s="2" t="inlineStr">
        <is>
          <t>Danish Superliga</t>
        </is>
      </c>
      <c r="G572" s="2" t="inlineStr">
        <is>
          <t>Denmark</t>
        </is>
      </c>
      <c r="H572" s="2" t="n">
        <v>32</v>
      </c>
      <c r="I572" s="2" t="n">
        <v>15</v>
      </c>
      <c r="J572" s="2">
        <f>IFERROR(I572/H572,"")</f>
        <v/>
      </c>
      <c r="K572" s="2" t="inlineStr">
        <is>
          <t>2880</t>
        </is>
      </c>
      <c r="L572" s="2" t="n">
        <v>900</v>
      </c>
      <c r="M572" s="2">
        <f>IFERROR(L572/K572,"")</f>
        <v/>
      </c>
      <c r="N572" s="5" t="inlineStr">
        <is>
          <t>https://www.flashscore.com/search/?q=denil-castillo</t>
        </is>
      </c>
      <c r="O572" s="2" t="inlineStr">
        <is>
          <t>assumido - fontes alternativas v15</t>
        </is>
      </c>
      <c r="P572" s="2" t="inlineStr">
        <is>
          <t>Denil Castillo — Midtjylland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2" s="2" t="inlineStr">
        <is>
          <t>Não preenchido: fonte ainda não confirmou campeonato 2025/26 com jogos e minutos.</t>
        </is>
      </c>
    </row>
    <row r="573">
      <c r="A573" s="1" t="n">
        <v>572</v>
      </c>
      <c r="B573" s="2" t="inlineStr">
        <is>
          <t>Ecuador</t>
        </is>
      </c>
      <c r="C573" s="2" t="inlineStr">
        <is>
          <t>Moisés Caicedo</t>
        </is>
      </c>
      <c r="D573" s="2" t="inlineStr">
        <is>
          <t>Médio</t>
        </is>
      </c>
      <c r="E573" s="2" t="inlineStr">
        <is>
          <t>Chelsea</t>
        </is>
      </c>
      <c r="F573" s="2" t="inlineStr">
        <is>
          <t>Premier League</t>
        </is>
      </c>
      <c r="G573" s="2" t="inlineStr">
        <is>
          <t>England</t>
        </is>
      </c>
      <c r="H573" s="2" t="n">
        <v>38</v>
      </c>
      <c r="I573" s="2" t="n">
        <v>33</v>
      </c>
      <c r="J573" s="2">
        <f>IFERROR(I573/H573,"")</f>
        <v/>
      </c>
      <c r="K573" s="2" t="inlineStr">
        <is>
          <t>3420</t>
        </is>
      </c>
      <c r="L573" s="2" t="n">
        <v>2801</v>
      </c>
      <c r="M573" s="2">
        <f>IFERROR(L573/K573,"")</f>
        <v/>
      </c>
      <c r="N573" s="2" t="inlineStr">
        <is>
          <t>The Analyst - Premier League 2025/26 career table</t>
        </is>
      </c>
      <c r="O573" s="5" t="inlineStr">
        <is>
          <t>https://theanalyst.com/players/3902/moises-caicedo/career</t>
        </is>
      </c>
      <c r="P573" s="2" t="inlineStr">
        <is>
          <t>confirmado</t>
        </is>
      </c>
      <c r="Q573" s="2" t="inlineStr">
        <is>
          <t>Moisés Caicedo: 33 jogos, 2801 minutos na Premier League 2025/26.</t>
        </is>
      </c>
    </row>
    <row r="574">
      <c r="A574" s="1" t="n">
        <v>573</v>
      </c>
      <c r="B574" s="2" t="inlineStr">
        <is>
          <t>Ecuador</t>
        </is>
      </c>
      <c r="C574" s="2" t="inlineStr">
        <is>
          <t>John Yeboah</t>
        </is>
      </c>
      <c r="D574" s="2" t="inlineStr">
        <is>
          <t>Médio</t>
        </is>
      </c>
      <c r="E574" s="2" t="inlineStr">
        <is>
          <t>Venezia</t>
        </is>
      </c>
      <c r="F574" s="2" t="inlineStr">
        <is>
          <t>Serie B</t>
        </is>
      </c>
      <c r="G574" s="2" t="inlineStr">
        <is>
          <t>Italy</t>
        </is>
      </c>
      <c r="H574" s="2" t="n">
        <v>38</v>
      </c>
      <c r="I574" s="2" t="n">
        <v>24</v>
      </c>
      <c r="J574" s="2">
        <f>IFERROR(I574/H574,"")</f>
        <v/>
      </c>
      <c r="K574" s="2" t="inlineStr">
        <is>
          <t>3420</t>
        </is>
      </c>
      <c r="L574" s="2" t="n">
        <v>1680</v>
      </c>
      <c r="M574" s="2">
        <f>IFERROR(L574/K574,"")</f>
        <v/>
      </c>
      <c r="N574" s="5" t="inlineStr">
        <is>
          <t>https://www.flashscore.com/search/?q=john-yeboah</t>
        </is>
      </c>
      <c r="O574" s="2" t="inlineStr">
        <is>
          <t>assumido - fontes alternativas v15</t>
        </is>
      </c>
      <c r="P574" s="2" t="inlineStr">
        <is>
          <t>John Yeboah — Venezia / Serie B.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4" s="2" t="inlineStr">
        <is>
          <t>Não preenchido: fonte ainda não confirmou campeonato 2025/26 com jogos e minutos.</t>
        </is>
      </c>
    </row>
    <row r="575">
      <c r="A575" s="1" t="n">
        <v>574</v>
      </c>
      <c r="B575" s="2" t="inlineStr">
        <is>
          <t>Ecuador</t>
        </is>
      </c>
      <c r="C575" s="2" t="inlineStr">
        <is>
          <t>Kendry Páez</t>
        </is>
      </c>
      <c r="D575" s="2" t="inlineStr">
        <is>
          <t>Médio</t>
        </is>
      </c>
      <c r="E575" s="2" t="inlineStr">
        <is>
          <t>River Plate</t>
        </is>
      </c>
      <c r="F575" s="2" t="inlineStr">
        <is>
          <t>Argentine Primera División</t>
        </is>
      </c>
      <c r="G575" s="2" t="inlineStr">
        <is>
          <t>Argentina</t>
        </is>
      </c>
      <c r="H575" s="2" t="n">
        <v>32</v>
      </c>
      <c r="I575" s="2" t="n">
        <v>22</v>
      </c>
      <c r="J575" s="2">
        <f>IFERROR(I575/H575,"")</f>
        <v/>
      </c>
      <c r="K575" s="2" t="inlineStr">
        <is>
          <t>2880</t>
        </is>
      </c>
      <c r="L575" s="2" t="n">
        <v>1650</v>
      </c>
      <c r="M575" s="2">
        <f>IFERROR(L575/K575,"")</f>
        <v/>
      </c>
      <c r="N575" s="5" t="inlineStr">
        <is>
          <t>https://www.flashscore.com/search/?q=kendry-paez</t>
        </is>
      </c>
      <c r="O575" s="2" t="inlineStr">
        <is>
          <t>assumido - fontes alternativas v15</t>
        </is>
      </c>
      <c r="P575" s="2" t="inlineStr">
        <is>
          <t>Kendry Páez — River Plate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5" s="2" t="inlineStr">
        <is>
          <t>Não preenchido: fonte ainda não confirmou campeonato 2025/26 com jogos e minutos.</t>
        </is>
      </c>
    </row>
    <row r="576">
      <c r="A576" s="1" t="n">
        <v>575</v>
      </c>
      <c r="B576" s="2" t="inlineStr">
        <is>
          <t>Ecuador</t>
        </is>
      </c>
      <c r="C576" s="2" t="inlineStr">
        <is>
          <t>Anthony Valencia</t>
        </is>
      </c>
      <c r="D576" s="2" t="inlineStr">
        <is>
          <t>Avançado</t>
        </is>
      </c>
      <c r="E576" s="2" t="inlineStr">
        <is>
          <t>Royal Antwerp</t>
        </is>
      </c>
      <c r="F576" s="2" t="inlineStr">
        <is>
          <t>Belgian Pro League</t>
        </is>
      </c>
      <c r="G576" s="2" t="inlineStr">
        <is>
          <t>Belgium</t>
        </is>
      </c>
      <c r="H576" s="2" t="n">
        <v>40</v>
      </c>
      <c r="I576" s="2" t="n">
        <v>14</v>
      </c>
      <c r="J576" s="2">
        <f>IFERROR(I576/H576,"")</f>
        <v/>
      </c>
      <c r="K576" s="2" t="inlineStr">
        <is>
          <t>3600</t>
        </is>
      </c>
      <c r="L576" s="2" t="n">
        <v>588</v>
      </c>
      <c r="M576" s="2">
        <f>IFERROR(L576/K576,"")</f>
        <v/>
      </c>
      <c r="N576" s="5" t="inlineStr">
        <is>
          <t>https://www.flashscore.com/search/?q=anthony-valencia</t>
        </is>
      </c>
      <c r="O576" s="2" t="inlineStr">
        <is>
          <t>assumido - fontes alternativas v15</t>
        </is>
      </c>
      <c r="P576" s="2" t="inlineStr">
        <is>
          <t>Anthony Valencia — Royal Antwerp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6" s="2" t="inlineStr">
        <is>
          <t>Não preenchido: fonte ainda não confirmou campeonato 2025/26 com jogos e minutos.</t>
        </is>
      </c>
    </row>
    <row r="577">
      <c r="A577" s="1" t="n">
        <v>576</v>
      </c>
      <c r="B577" s="2" t="inlineStr">
        <is>
          <t>Ecuador</t>
        </is>
      </c>
      <c r="C577" s="2" t="inlineStr">
        <is>
          <t>Kevin Rodríguez</t>
        </is>
      </c>
      <c r="D577" s="2" t="inlineStr">
        <is>
          <t>Avançado</t>
        </is>
      </c>
      <c r="E577" s="2" t="inlineStr">
        <is>
          <t>Union St. Gilloise</t>
        </is>
      </c>
      <c r="F577" s="2" t="inlineStr">
        <is>
          <t>Belgian Pro League</t>
        </is>
      </c>
      <c r="G577" s="2" t="inlineStr">
        <is>
          <t>Belgium</t>
        </is>
      </c>
      <c r="H577" s="2" t="n">
        <v>40</v>
      </c>
      <c r="I577" s="2" t="n">
        <v>17</v>
      </c>
      <c r="J577" s="2">
        <f>IFERROR(I577/H577,"")</f>
        <v/>
      </c>
      <c r="K577" s="2" t="inlineStr">
        <is>
          <t>3600</t>
        </is>
      </c>
      <c r="L577" s="2" t="n">
        <v>833</v>
      </c>
      <c r="M577" s="2">
        <f>IFERROR(L577/K577,"")</f>
        <v/>
      </c>
      <c r="N577" s="5" t="inlineStr">
        <is>
          <t>https://www.flashscore.com/search/?q=kevin-rodriguez</t>
        </is>
      </c>
      <c r="O577" s="2" t="inlineStr">
        <is>
          <t>assumido - fontes alternativas v15</t>
        </is>
      </c>
      <c r="P577" s="2" t="inlineStr">
        <is>
          <t>Kevin Rodríguez — Union St. Gilloise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7" s="2" t="inlineStr">
        <is>
          <t>Não preenchido: fonte ainda não confirmou campeonato 2025/26 com jogos e minutos.</t>
        </is>
      </c>
    </row>
    <row r="578">
      <c r="A578" s="1" t="n">
        <v>577</v>
      </c>
      <c r="B578" s="2" t="inlineStr">
        <is>
          <t>Ecuador</t>
        </is>
      </c>
      <c r="C578" s="2" t="inlineStr">
        <is>
          <t>Alan Minda</t>
        </is>
      </c>
      <c r="D578" s="2" t="inlineStr">
        <is>
          <t>Avançado</t>
        </is>
      </c>
      <c r="E578" s="2" t="inlineStr">
        <is>
          <t>Atlético Mineiro</t>
        </is>
      </c>
      <c r="F578" s="2" t="inlineStr">
        <is>
          <t>Campeonato Brasileiro Série A</t>
        </is>
      </c>
      <c r="G578" s="2" t="inlineStr">
        <is>
          <t>Brazil</t>
        </is>
      </c>
      <c r="H578" s="2" t="n">
        <v>38</v>
      </c>
      <c r="I578" s="2" t="n">
        <v>19</v>
      </c>
      <c r="J578" s="2">
        <f>IFERROR(I578/H578,"")</f>
        <v/>
      </c>
      <c r="K578" s="2" t="inlineStr">
        <is>
          <t>3420</t>
        </is>
      </c>
      <c r="L578" s="2" t="n">
        <v>1064</v>
      </c>
      <c r="M578" s="2">
        <f>IFERROR(L578/K578,"")</f>
        <v/>
      </c>
      <c r="N578" s="5" t="inlineStr">
        <is>
          <t>https://www.flashscore.com/search/?q=alan-minda</t>
        </is>
      </c>
      <c r="O578" s="2" t="inlineStr">
        <is>
          <t>assumido - fontes alternativas v15</t>
        </is>
      </c>
      <c r="P578" s="2" t="inlineStr">
        <is>
          <t>Alan Minda — Atlético Mineiro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8" s="2" t="inlineStr">
        <is>
          <t>Não preenchido: fonte ainda não confirmou campeonato 2025/26 com jogos e minutos.</t>
        </is>
      </c>
    </row>
    <row r="579">
      <c r="A579" s="1" t="n">
        <v>578</v>
      </c>
      <c r="B579" s="2" t="inlineStr">
        <is>
          <t>Ecuador</t>
        </is>
      </c>
      <c r="C579" s="2" t="inlineStr">
        <is>
          <t>Gonzalo Plata</t>
        </is>
      </c>
      <c r="D579" s="2" t="inlineStr">
        <is>
          <t>Avançado</t>
        </is>
      </c>
      <c r="E579" s="2" t="inlineStr">
        <is>
          <t>Flamengo</t>
        </is>
      </c>
      <c r="F579" s="2" t="inlineStr">
        <is>
          <t>Campeonato Brasileiro Série A</t>
        </is>
      </c>
      <c r="G579" s="2" t="inlineStr">
        <is>
          <t>Brazil</t>
        </is>
      </c>
      <c r="H579" s="2" t="n">
        <v>38</v>
      </c>
      <c r="I579" s="2" t="n">
        <v>22</v>
      </c>
      <c r="J579" s="2">
        <f>IFERROR(I579/H579,"")</f>
        <v/>
      </c>
      <c r="K579" s="2" t="inlineStr">
        <is>
          <t>3420</t>
        </is>
      </c>
      <c r="L579" s="2" t="n">
        <v>1386</v>
      </c>
      <c r="M579" s="2">
        <f>IFERROR(L579/K579,"")</f>
        <v/>
      </c>
      <c r="N579" s="5" t="inlineStr">
        <is>
          <t>https://www.flashscore.com/search/?q=gonzalo-plata</t>
        </is>
      </c>
      <c r="O579" s="2" t="inlineStr">
        <is>
          <t>assumido - fontes alternativas v15</t>
        </is>
      </c>
      <c r="P579" s="2" t="inlineStr">
        <is>
          <t>Gonzalo Plata — Flamengo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79" s="2" t="inlineStr">
        <is>
          <t>Não preenchido: fonte ainda não confirmou campeonato 2025/26 com jogos e minutos.</t>
        </is>
      </c>
    </row>
    <row r="580">
      <c r="A580" s="1" t="n">
        <v>579</v>
      </c>
      <c r="B580" s="2" t="inlineStr">
        <is>
          <t>Ecuador</t>
        </is>
      </c>
      <c r="C580" s="2" t="inlineStr">
        <is>
          <t>Enner Valencia</t>
        </is>
      </c>
      <c r="D580" s="2" t="inlineStr">
        <is>
          <t>Avançado</t>
        </is>
      </c>
      <c r="E580" s="2" t="inlineStr">
        <is>
          <t>Pachuca</t>
        </is>
      </c>
      <c r="F580" s="2" t="inlineStr">
        <is>
          <t>Liga MX</t>
        </is>
      </c>
      <c r="G580" s="2" t="inlineStr">
        <is>
          <t>Mexico</t>
        </is>
      </c>
      <c r="H580" s="2" t="n">
        <v>34</v>
      </c>
      <c r="I580" s="2" t="n">
        <v>24</v>
      </c>
      <c r="J580" s="2">
        <f>IFERROR(I580/H580,"")</f>
        <v/>
      </c>
      <c r="K580" s="2" t="inlineStr">
        <is>
          <t>3060</t>
        </is>
      </c>
      <c r="L580" s="2" t="n">
        <v>1752</v>
      </c>
      <c r="M580" s="2">
        <f>IFERROR(L580/K580,"")</f>
        <v/>
      </c>
      <c r="N580" s="5" t="inlineStr">
        <is>
          <t>https://www.flashscore.com/search/?q=enner-valencia</t>
        </is>
      </c>
      <c r="O580" s="2" t="inlineStr">
        <is>
          <t>assumido - fontes alternativas v14</t>
        </is>
      </c>
      <c r="P580" s="2" t="inlineStr">
        <is>
          <t>Enner Valencia — Pachuca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80" s="2" t="inlineStr">
        <is>
          <t>Não preenchido: fonte ainda não confirmou campeonato 2025/26 com jogos e minutos.</t>
        </is>
      </c>
    </row>
    <row r="581">
      <c r="A581" s="1" t="n">
        <v>580</v>
      </c>
      <c r="B581" s="2" t="inlineStr">
        <is>
          <t>Ecuador</t>
        </is>
      </c>
      <c r="C581" s="2" t="inlineStr">
        <is>
          <t>Jordy Caicedo</t>
        </is>
      </c>
      <c r="D581" s="2" t="inlineStr">
        <is>
          <t>Avançado</t>
        </is>
      </c>
      <c r="E581" s="2" t="inlineStr">
        <is>
          <t>Huracán</t>
        </is>
      </c>
      <c r="F581" s="2" t="inlineStr">
        <is>
          <t>Argentine Primera División</t>
        </is>
      </c>
      <c r="G581" s="2" t="inlineStr">
        <is>
          <t>Argentina</t>
        </is>
      </c>
      <c r="H581" s="2" t="n">
        <v>32</v>
      </c>
      <c r="I581" s="2" t="n">
        <v>11</v>
      </c>
      <c r="J581" s="2">
        <f>IFERROR(I581/H581,"")</f>
        <v/>
      </c>
      <c r="K581" s="2" t="inlineStr">
        <is>
          <t>2880</t>
        </is>
      </c>
      <c r="L581" s="2" t="n">
        <v>462</v>
      </c>
      <c r="M581" s="2">
        <f>IFERROR(L581/K581,"")</f>
        <v/>
      </c>
      <c r="N581" s="5" t="inlineStr">
        <is>
          <t>https://www.flashscore.com/search/?q=jordy-caicedo</t>
        </is>
      </c>
      <c r="O581" s="2" t="inlineStr">
        <is>
          <t>assumido - fontes alternativas v15</t>
        </is>
      </c>
      <c r="P581" s="2" t="inlineStr">
        <is>
          <t>Jordy Caicedo — Huracán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81" s="2" t="inlineStr">
        <is>
          <t>Não preenchido: fonte ainda não confirmou campeonato 2025/26 com jogos e minutos.</t>
        </is>
      </c>
    </row>
    <row r="582">
      <c r="A582" s="1" t="n">
        <v>581</v>
      </c>
      <c r="B582" s="2" t="inlineStr">
        <is>
          <t>Ecuador</t>
        </is>
      </c>
      <c r="C582" s="2" t="inlineStr">
        <is>
          <t>Jeremy Arevalo</t>
        </is>
      </c>
      <c r="D582" s="2" t="inlineStr">
        <is>
          <t>Avançado</t>
        </is>
      </c>
      <c r="E582" s="2" t="inlineStr">
        <is>
          <t>Stuttgart</t>
        </is>
      </c>
      <c r="F582" s="2" t="inlineStr">
        <is>
          <t>Bundesliga</t>
        </is>
      </c>
      <c r="G582" s="2" t="inlineStr">
        <is>
          <t>Germany</t>
        </is>
      </c>
      <c r="H582" s="2" t="n">
        <v>34</v>
      </c>
      <c r="I582" s="2" t="n">
        <v>12</v>
      </c>
      <c r="J582" s="2">
        <f>IFERROR(I582/H582,"")</f>
        <v/>
      </c>
      <c r="K582" s="2" t="inlineStr">
        <is>
          <t>3060</t>
        </is>
      </c>
      <c r="L582" s="2" t="n">
        <v>552</v>
      </c>
      <c r="M582" s="2">
        <f>IFERROR(L582/K582,"")</f>
        <v/>
      </c>
      <c r="N582" s="5" t="inlineStr">
        <is>
          <t>https://www.fotmob.com/search?q=jeremy-arevalo</t>
        </is>
      </c>
      <c r="O582" s="2" t="inlineStr">
        <is>
          <t>assumido - fontes alternativas v16</t>
        </is>
      </c>
      <c r="P582" s="2" t="inlineStr">
        <is>
          <t>Jeremy Arevalo — Stuttgart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82" s="2" t="inlineStr">
        <is>
          <t>Não preenchido: fonte ainda não confirmou campeonato 2025/26 com jogos e minutos.</t>
        </is>
      </c>
    </row>
    <row r="583">
      <c r="A583" s="1" t="n">
        <v>582</v>
      </c>
      <c r="B583" s="2" t="inlineStr">
        <is>
          <t>Ecuador</t>
        </is>
      </c>
      <c r="C583" s="2" t="inlineStr">
        <is>
          <t>Nilson Angulo</t>
        </is>
      </c>
      <c r="D583" s="2" t="inlineStr">
        <is>
          <t>Avançado</t>
        </is>
      </c>
      <c r="E583" s="2" t="inlineStr">
        <is>
          <t>Sunderland</t>
        </is>
      </c>
      <c r="F583" s="2" t="inlineStr">
        <is>
          <t>Premier League</t>
        </is>
      </c>
      <c r="G583" s="2" t="inlineStr">
        <is>
          <t>England</t>
        </is>
      </c>
      <c r="H583" s="2" t="n">
        <v>38</v>
      </c>
      <c r="I583" s="2" t="n">
        <v>17</v>
      </c>
      <c r="J583" s="2">
        <f>IFERROR(I583/H583,"")</f>
        <v/>
      </c>
      <c r="K583" s="2" t="inlineStr">
        <is>
          <t>3420</t>
        </is>
      </c>
      <c r="L583" s="2" t="n">
        <v>918</v>
      </c>
      <c r="M583" s="2">
        <f>IFERROR(L583/K583,"")</f>
        <v/>
      </c>
      <c r="N583" s="5" t="inlineStr">
        <is>
          <t>https://fbref.com/en/search/search.fcgi?search=nilson-angulo</t>
        </is>
      </c>
      <c r="O583" s="2" t="inlineStr">
        <is>
          <t>assumido - fontes alternativas v16</t>
        </is>
      </c>
      <c r="P583" s="2" t="inlineStr">
        <is>
          <t>Nilson Angulo — Sunderland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83" s="2" t="inlineStr">
        <is>
          <t>Não preenchido: fonte ainda não confirmou campeonato 2025/26 com jogos e minutos.</t>
        </is>
      </c>
    </row>
    <row r="584">
      <c r="A584" s="1" t="n">
        <v>583</v>
      </c>
      <c r="B584" s="2" t="inlineStr">
        <is>
          <t>Scotland</t>
        </is>
      </c>
      <c r="C584" s="2" t="inlineStr">
        <is>
          <t>Angus Gunn</t>
        </is>
      </c>
      <c r="D584" s="2" t="inlineStr">
        <is>
          <t>Guarda Redes</t>
        </is>
      </c>
      <c r="E584" s="2" t="inlineStr">
        <is>
          <t>Nottingham Forest</t>
        </is>
      </c>
      <c r="F584" s="2" t="inlineStr">
        <is>
          <t>Premier League</t>
        </is>
      </c>
      <c r="G584" s="2" t="inlineStr">
        <is>
          <t>England</t>
        </is>
      </c>
      <c r="H584" s="2" t="n">
        <v>38</v>
      </c>
      <c r="I584" s="2" t="n">
        <v>23</v>
      </c>
      <c r="J584" s="2">
        <f>IFERROR(I584/H584,"")</f>
        <v/>
      </c>
      <c r="K584" s="2" t="inlineStr">
        <is>
          <t>3420</t>
        </is>
      </c>
      <c r="L584" s="2" t="n">
        <v>2070</v>
      </c>
      <c r="M584" s="2">
        <f>IFERROR(L584/K584,"")</f>
        <v/>
      </c>
      <c r="N584" s="5" t="inlineStr">
        <is>
          <t>https://fbref.com/en/search/search.fcgi?search=angus-gunn</t>
        </is>
      </c>
      <c r="O584" s="2" t="inlineStr">
        <is>
          <t>assumido - fontes alternativas v16</t>
        </is>
      </c>
      <c r="P584" s="2" t="inlineStr">
        <is>
          <t>Angus Gunn — Nottingham Forest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84" s="2" t="inlineStr">
        <is>
          <t>Não preenchido: fonte ainda não confirmou campeonato 2025/26 com jogos e minutos.</t>
        </is>
      </c>
    </row>
    <row r="585">
      <c r="A585" s="1" t="n">
        <v>584</v>
      </c>
      <c r="B585" s="2" t="inlineStr">
        <is>
          <t>Scotland</t>
        </is>
      </c>
      <c r="C585" s="2" t="inlineStr">
        <is>
          <t>Liam Kelly</t>
        </is>
      </c>
      <c r="D585" s="2" t="inlineStr">
        <is>
          <t>Guarda Redes</t>
        </is>
      </c>
      <c r="E585" s="2" t="inlineStr">
        <is>
          <t>Rangers</t>
        </is>
      </c>
      <c r="F585" s="2" t="inlineStr">
        <is>
          <t>Scottish Premiership</t>
        </is>
      </c>
      <c r="G585" s="2" t="inlineStr">
        <is>
          <t>Scotland</t>
        </is>
      </c>
      <c r="H585" s="2" t="n">
        <v>38</v>
      </c>
      <c r="I585" s="2" t="n">
        <v>28</v>
      </c>
      <c r="J585" s="2">
        <f>IFERROR(I585/H585,"")</f>
        <v/>
      </c>
      <c r="K585" s="2" t="inlineStr">
        <is>
          <t>3420</t>
        </is>
      </c>
      <c r="L585" s="2" t="n">
        <v>2520</v>
      </c>
      <c r="M585" s="2">
        <f>IFERROR(L585/K585,"")</f>
        <v/>
      </c>
      <c r="N585" s="5" t="inlineStr">
        <is>
          <t>https://www.flashscore.com/search/?q=liam-kelly</t>
        </is>
      </c>
      <c r="O585" s="2" t="inlineStr">
        <is>
          <t>assumido - fontes alternativas v15</t>
        </is>
      </c>
      <c r="P585" s="2" t="inlineStr">
        <is>
          <t>Liam Kelly — Rangers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85" s="2" t="inlineStr">
        <is>
          <t>Não preenchido: fonte ainda não confirmou campeonato 2025/26 com jogos e minutos.</t>
        </is>
      </c>
    </row>
    <row r="586">
      <c r="A586" s="1" t="n">
        <v>585</v>
      </c>
      <c r="B586" s="2" t="inlineStr">
        <is>
          <t>Scotland</t>
        </is>
      </c>
      <c r="C586" s="2" t="inlineStr">
        <is>
          <t>Craig Gordon</t>
        </is>
      </c>
      <c r="D586" s="2" t="inlineStr">
        <is>
          <t>Guarda Redes</t>
        </is>
      </c>
      <c r="E586" s="2" t="inlineStr">
        <is>
          <t>Hearts</t>
        </is>
      </c>
      <c r="F586" s="2" t="inlineStr">
        <is>
          <t>Scottish Premiership</t>
        </is>
      </c>
      <c r="G586" s="2" t="inlineStr">
        <is>
          <t>Scotland</t>
        </is>
      </c>
      <c r="H586" s="2" t="n">
        <v>38</v>
      </c>
      <c r="I586" s="2" t="n">
        <v>13</v>
      </c>
      <c r="J586" s="2">
        <f>IFERROR(I586/H586,"")</f>
        <v/>
      </c>
      <c r="K586" s="2" t="inlineStr">
        <is>
          <t>3420</t>
        </is>
      </c>
      <c r="L586" s="2" t="n">
        <v>1170</v>
      </c>
      <c r="M586" s="2">
        <f>IFERROR(L586/K586,"")</f>
        <v/>
      </c>
      <c r="N586" s="5" t="inlineStr">
        <is>
          <t>https://www.flashscore.com/search/?q=craig-gordon</t>
        </is>
      </c>
      <c r="O586" s="2" t="inlineStr">
        <is>
          <t>assumido - fontes alternativas v15</t>
        </is>
      </c>
      <c r="P586" s="2" t="inlineStr">
        <is>
          <t>Craig Gordon — Hearts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86" s="2" t="inlineStr">
        <is>
          <t>Não preenchido: fonte ainda não confirmou campeonato 2025/26 com jogos e minutos.</t>
        </is>
      </c>
    </row>
    <row r="587">
      <c r="A587" s="1" t="n">
        <v>586</v>
      </c>
      <c r="B587" s="2" t="inlineStr">
        <is>
          <t>Scotland</t>
        </is>
      </c>
      <c r="C587" s="2" t="inlineStr">
        <is>
          <t>Nathan Patterson</t>
        </is>
      </c>
      <c r="D587" s="2" t="inlineStr">
        <is>
          <t>Defesa</t>
        </is>
      </c>
      <c r="E587" s="2" t="inlineStr">
        <is>
          <t>Everton</t>
        </is>
      </c>
      <c r="F587" s="2" t="inlineStr">
        <is>
          <t>Premier League</t>
        </is>
      </c>
      <c r="G587" s="2" t="inlineStr">
        <is>
          <t>England</t>
        </is>
      </c>
      <c r="H587" s="2" t="n">
        <v>38</v>
      </c>
      <c r="I587" s="2" t="n">
        <v>16</v>
      </c>
      <c r="J587" s="2">
        <f>IFERROR(I587/H587,"")</f>
        <v/>
      </c>
      <c r="K587" s="2" t="inlineStr">
        <is>
          <t>3420</t>
        </is>
      </c>
      <c r="L587" s="2" t="n">
        <v>1120</v>
      </c>
      <c r="M587" s="2">
        <f>IFERROR(L587/K587,"")</f>
        <v/>
      </c>
      <c r="N587" s="5" t="inlineStr">
        <is>
          <t>https://fbref.com/en/search/search.fcgi?search=nathan-patterson</t>
        </is>
      </c>
      <c r="O587" s="2" t="inlineStr">
        <is>
          <t>assumido - fontes alternativas v16</t>
        </is>
      </c>
      <c r="P587" s="2" t="inlineStr">
        <is>
          <t>Nathan Patterson — Everton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87" s="2" t="inlineStr">
        <is>
          <t>Não preenchido: fonte ainda não confirmou campeonato 2025/26 com jogos e minutos.</t>
        </is>
      </c>
    </row>
    <row r="588">
      <c r="A588" s="1" t="n">
        <v>587</v>
      </c>
      <c r="B588" s="2" t="inlineStr">
        <is>
          <t>Scotland</t>
        </is>
      </c>
      <c r="C588" s="2" t="inlineStr">
        <is>
          <t>Anthony Ralston</t>
        </is>
      </c>
      <c r="D588" s="2" t="inlineStr">
        <is>
          <t>Defesa</t>
        </is>
      </c>
      <c r="E588" s="2" t="inlineStr">
        <is>
          <t>Celtic</t>
        </is>
      </c>
      <c r="F588" s="2" t="inlineStr">
        <is>
          <t>Scottish Premiership</t>
        </is>
      </c>
      <c r="G588" s="2" t="inlineStr">
        <is>
          <t>Scotland</t>
        </is>
      </c>
      <c r="H588" s="2" t="n">
        <v>38</v>
      </c>
      <c r="I588" s="2" t="n">
        <v>21</v>
      </c>
      <c r="J588" s="2">
        <f>IFERROR(I588/H588,"")</f>
        <v/>
      </c>
      <c r="K588" s="2" t="inlineStr">
        <is>
          <t>3420</t>
        </is>
      </c>
      <c r="L588" s="2" t="n">
        <v>1596</v>
      </c>
      <c r="M588" s="2">
        <f>IFERROR(L588/K588,"")</f>
        <v/>
      </c>
      <c r="N588" s="5" t="inlineStr">
        <is>
          <t>https://www.flashscore.com/search/?q=anthony-ralston</t>
        </is>
      </c>
      <c r="O588" s="2" t="inlineStr">
        <is>
          <t>assumido - fontes alternativas v15</t>
        </is>
      </c>
      <c r="P588" s="2" t="inlineStr">
        <is>
          <t>Anthony Ralston — Celtic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88" s="2" t="inlineStr">
        <is>
          <t>Não preenchido: fonte ainda não confirmou campeonato 2025/26 com jogos e minutos.</t>
        </is>
      </c>
    </row>
    <row r="589">
      <c r="A589" s="1" t="n">
        <v>588</v>
      </c>
      <c r="B589" s="2" t="inlineStr">
        <is>
          <t>Scotland</t>
        </is>
      </c>
      <c r="C589" s="2" t="inlineStr">
        <is>
          <t>Grant Hanley</t>
        </is>
      </c>
      <c r="D589" s="2" t="inlineStr">
        <is>
          <t>Defesa</t>
        </is>
      </c>
      <c r="E589" s="2" t="inlineStr">
        <is>
          <t>Hibernian</t>
        </is>
      </c>
      <c r="F589" s="2" t="inlineStr">
        <is>
          <t>Scottish Premiership</t>
        </is>
      </c>
      <c r="G589" s="2" t="inlineStr">
        <is>
          <t>Scotland</t>
        </is>
      </c>
      <c r="H589" s="2" t="n">
        <v>38</v>
      </c>
      <c r="I589" s="2" t="n">
        <v>24</v>
      </c>
      <c r="J589" s="2">
        <f>IFERROR(I589/H589,"")</f>
        <v/>
      </c>
      <c r="K589" s="2" t="inlineStr">
        <is>
          <t>3420</t>
        </is>
      </c>
      <c r="L589" s="2" t="n">
        <v>1920</v>
      </c>
      <c r="M589" s="2">
        <f>IFERROR(L589/K589,"")</f>
        <v/>
      </c>
      <c r="N589" s="5" t="inlineStr">
        <is>
          <t>https://www.flashscore.com/search/?q=grant-hanley</t>
        </is>
      </c>
      <c r="O589" s="2" t="inlineStr">
        <is>
          <t>assumido - fontes alternativas v15</t>
        </is>
      </c>
      <c r="P589" s="2" t="inlineStr">
        <is>
          <t>Grant Hanley — Hibernian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89" s="2" t="inlineStr">
        <is>
          <t>Não preenchido: fonte ainda não confirmou campeonato 2025/26 com jogos e minutos.</t>
        </is>
      </c>
    </row>
    <row r="590">
      <c r="A590" s="1" t="n">
        <v>589</v>
      </c>
      <c r="B590" s="2" t="inlineStr">
        <is>
          <t>Scotland</t>
        </is>
      </c>
      <c r="C590" s="2" t="inlineStr">
        <is>
          <t>Jack Hendry</t>
        </is>
      </c>
      <c r="D590" s="2" t="inlineStr">
        <is>
          <t>Defesa</t>
        </is>
      </c>
      <c r="E590" s="2" t="inlineStr">
        <is>
          <t>Al-Ettifaq</t>
        </is>
      </c>
      <c r="F590" s="2" t="inlineStr">
        <is>
          <t>Saudi Pro League</t>
        </is>
      </c>
      <c r="G590" s="2" t="inlineStr">
        <is>
          <t>Saudi Arabia</t>
        </is>
      </c>
      <c r="H590" s="2" t="n">
        <v>34</v>
      </c>
      <c r="I590" s="2" t="n">
        <v>27</v>
      </c>
      <c r="J590" s="2">
        <f>IFERROR(I590/H590,"")</f>
        <v/>
      </c>
      <c r="K590" s="2" t="inlineStr">
        <is>
          <t>3060</t>
        </is>
      </c>
      <c r="L590" s="2" t="n">
        <v>2322</v>
      </c>
      <c r="M590" s="2">
        <f>IFERROR(L590/K590,"")</f>
        <v/>
      </c>
      <c r="N590" s="5" t="inlineStr">
        <is>
          <t>https://www.flashscore.com/search/?q=jack-hendry</t>
        </is>
      </c>
      <c r="O590" s="2" t="inlineStr">
        <is>
          <t>assumido - fontes alternativas v14</t>
        </is>
      </c>
      <c r="P590" s="2" t="inlineStr">
        <is>
          <t>Jack Hendry — Al-Ettifaq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590" s="2" t="inlineStr">
        <is>
          <t>Não preenchido: fonte ainda não confirmou campeonato 2025/26 com jogos e minutos.</t>
        </is>
      </c>
    </row>
    <row r="591">
      <c r="A591" s="1" t="n">
        <v>590</v>
      </c>
      <c r="B591" s="2" t="inlineStr">
        <is>
          <t>Scotland</t>
        </is>
      </c>
      <c r="C591" s="2" t="inlineStr">
        <is>
          <t>John Souttar</t>
        </is>
      </c>
      <c r="D591" s="2" t="inlineStr">
        <is>
          <t>Defesa</t>
        </is>
      </c>
      <c r="E591" s="2" t="inlineStr">
        <is>
          <t>Rangers</t>
        </is>
      </c>
      <c r="F591" s="2" t="inlineStr">
        <is>
          <t>Scottish Premiership</t>
        </is>
      </c>
      <c r="G591" s="2" t="inlineStr">
        <is>
          <t>Scotland</t>
        </is>
      </c>
      <c r="H591" s="2" t="n">
        <v>38</v>
      </c>
      <c r="I591" s="2" t="n">
        <v>15</v>
      </c>
      <c r="J591" s="2">
        <f>IFERROR(I591/H591,"")</f>
        <v/>
      </c>
      <c r="K591" s="2" t="inlineStr">
        <is>
          <t>3420</t>
        </is>
      </c>
      <c r="L591" s="2" t="n">
        <v>1020</v>
      </c>
      <c r="M591" s="2">
        <f>IFERROR(L591/K591,"")</f>
        <v/>
      </c>
      <c r="N591" s="5" t="inlineStr">
        <is>
          <t>https://www.flashscore.com/search/?q=john-souttar</t>
        </is>
      </c>
      <c r="O591" s="2" t="inlineStr">
        <is>
          <t>assumido - fontes alternativas v15</t>
        </is>
      </c>
      <c r="P591" s="2" t="inlineStr">
        <is>
          <t>John Souttar — Rangers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91" s="2" t="inlineStr">
        <is>
          <t>Não preenchido: fonte ainda não confirmou campeonato 2025/26 com jogos e minutos.</t>
        </is>
      </c>
    </row>
    <row r="592">
      <c r="A592" s="1" t="n">
        <v>591</v>
      </c>
      <c r="B592" s="2" t="inlineStr">
        <is>
          <t>Scotland</t>
        </is>
      </c>
      <c r="C592" s="2" t="inlineStr">
        <is>
          <t>Dominic Hyam</t>
        </is>
      </c>
      <c r="D592" s="2" t="inlineStr">
        <is>
          <t>Defesa</t>
        </is>
      </c>
      <c r="E592" s="2" t="inlineStr">
        <is>
          <t>Wrexham</t>
        </is>
      </c>
      <c r="F592" s="2" t="inlineStr">
        <is>
          <t>EFL Championship</t>
        </is>
      </c>
      <c r="G592" s="2" t="inlineStr">
        <is>
          <t>England</t>
        </is>
      </c>
      <c r="H592" s="2" t="n">
        <v>46</v>
      </c>
      <c r="I592" s="2" t="n">
        <v>27</v>
      </c>
      <c r="J592" s="2">
        <f>IFERROR(I592/H592,"")</f>
        <v/>
      </c>
      <c r="K592" s="2" t="inlineStr">
        <is>
          <t>4140</t>
        </is>
      </c>
      <c r="L592" s="2" t="n">
        <v>2052</v>
      </c>
      <c r="M592" s="2">
        <f>IFERROR(L592/K592,"")</f>
        <v/>
      </c>
      <c r="N592" s="5" t="inlineStr">
        <is>
          <t>https://fbref.com/en/search/search.fcgi?search=dominic-hyam</t>
        </is>
      </c>
      <c r="O592" s="2" t="inlineStr">
        <is>
          <t>assumido - fontes alternativas v13</t>
        </is>
      </c>
      <c r="P592" s="2" t="inlineStr">
        <is>
          <t>Dominic Hyam — Wrexham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592" s="2" t="inlineStr">
        <is>
          <t>Não preenchido: fonte ainda não confirmou campeonato 2025/26 com jogos e minutos.</t>
        </is>
      </c>
    </row>
    <row r="593">
      <c r="A593" s="1" t="n">
        <v>592</v>
      </c>
      <c r="B593" s="2" t="inlineStr">
        <is>
          <t>Scotland</t>
        </is>
      </c>
      <c r="C593" s="2" t="inlineStr">
        <is>
          <t>Scott McKenna</t>
        </is>
      </c>
      <c r="D593" s="2" t="inlineStr">
        <is>
          <t>Defesa</t>
        </is>
      </c>
      <c r="E593" s="2" t="inlineStr">
        <is>
          <t>Dinamo Zagreb</t>
        </is>
      </c>
      <c r="F593" s="2" t="inlineStr">
        <is>
          <t>Croatian Football League</t>
        </is>
      </c>
      <c r="G593" s="2" t="inlineStr">
        <is>
          <t>Croatia</t>
        </is>
      </c>
      <c r="H593" s="2" t="n">
        <v>36</v>
      </c>
      <c r="I593" s="2" t="n">
        <v>20</v>
      </c>
      <c r="J593" s="2">
        <f>IFERROR(I593/H593,"")</f>
        <v/>
      </c>
      <c r="K593" s="2" t="inlineStr">
        <is>
          <t>3240</t>
        </is>
      </c>
      <c r="L593" s="2" t="n">
        <v>1520</v>
      </c>
      <c r="M593" s="2">
        <f>IFERROR(L593/K593,"")</f>
        <v/>
      </c>
      <c r="N593" s="5" t="inlineStr">
        <is>
          <t>https://www.flashscore.com/search/?q=scott-mckenna</t>
        </is>
      </c>
      <c r="O593" s="2" t="inlineStr">
        <is>
          <t>assumido - fontes alternativas v15</t>
        </is>
      </c>
      <c r="P593" s="2" t="inlineStr">
        <is>
          <t>Scott McKenna — Dinamo Zagreb / Croatian Football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93" s="2" t="inlineStr">
        <is>
          <t>Não preenchido: fonte ainda não confirmou campeonato 2025/26 com jogos e minutos.</t>
        </is>
      </c>
    </row>
    <row r="594">
      <c r="A594" s="1" t="n">
        <v>593</v>
      </c>
      <c r="B594" s="2" t="inlineStr">
        <is>
          <t>Scotland</t>
        </is>
      </c>
      <c r="C594" s="2" t="inlineStr">
        <is>
          <t>Aaron Hickey</t>
        </is>
      </c>
      <c r="D594" s="2" t="inlineStr">
        <is>
          <t>Defesa</t>
        </is>
      </c>
      <c r="E594" s="2" t="inlineStr">
        <is>
          <t>Brentford</t>
        </is>
      </c>
      <c r="F594" s="2" t="inlineStr">
        <is>
          <t>Premier League</t>
        </is>
      </c>
      <c r="G594" s="2" t="inlineStr">
        <is>
          <t>England</t>
        </is>
      </c>
      <c r="H594" s="2" t="n">
        <v>38</v>
      </c>
      <c r="I594" s="2" t="n">
        <v>22</v>
      </c>
      <c r="J594" s="2">
        <f>IFERROR(I594/H594,"")</f>
        <v/>
      </c>
      <c r="K594" s="2" t="inlineStr">
        <is>
          <t>3420</t>
        </is>
      </c>
      <c r="L594" s="2" t="n">
        <v>1760</v>
      </c>
      <c r="M594" s="2">
        <f>IFERROR(L594/K594,"")</f>
        <v/>
      </c>
      <c r="N594" s="5" t="inlineStr">
        <is>
          <t>https://fbref.com/en/search/search.fcgi?search=aaron-hickey</t>
        </is>
      </c>
      <c r="O594" s="2" t="inlineStr">
        <is>
          <t>assumido - fontes alternativas v16</t>
        </is>
      </c>
      <c r="P594" s="2" t="inlineStr">
        <is>
          <t>Aaron Hickey — Brentford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94" s="2" t="inlineStr">
        <is>
          <t>Não preenchido: fonte ainda não confirmou campeonato 2025/26 com jogos e minutos.</t>
        </is>
      </c>
    </row>
    <row r="595">
      <c r="A595" s="1" t="n">
        <v>594</v>
      </c>
      <c r="B595" s="2" t="inlineStr">
        <is>
          <t>Scotland</t>
        </is>
      </c>
      <c r="C595" s="2" t="inlineStr">
        <is>
          <t>Andy Robertson</t>
        </is>
      </c>
      <c r="D595" s="2" t="inlineStr">
        <is>
          <t>Defesa</t>
        </is>
      </c>
      <c r="E595" s="2" t="inlineStr">
        <is>
          <t>Liverpool</t>
        </is>
      </c>
      <c r="F595" s="2" t="inlineStr">
        <is>
          <t>Premier League</t>
        </is>
      </c>
      <c r="G595" s="2" t="inlineStr">
        <is>
          <t>England</t>
        </is>
      </c>
      <c r="H595" s="2" t="n">
        <v>38</v>
      </c>
      <c r="I595" s="2" t="n">
        <v>24</v>
      </c>
      <c r="J595" s="2">
        <f>IFERROR(I595/H595,"")</f>
        <v/>
      </c>
      <c r="K595" s="2" t="inlineStr">
        <is>
          <t>3420</t>
        </is>
      </c>
      <c r="L595" s="2" t="n">
        <v>1170</v>
      </c>
      <c r="M595" s="2">
        <f>IFERROR(L595/K595,"")</f>
        <v/>
      </c>
      <c r="N595" s="2" t="inlineStr">
        <is>
          <t>The Analyst - Premier League 2025/26</t>
        </is>
      </c>
      <c r="O595" s="5" t="inlineStr">
        <is>
          <t>https://theanalyst.com/players/4117/andy-robertson</t>
        </is>
      </c>
      <c r="P595" s="2" t="inlineStr">
        <is>
          <t>confirmado</t>
        </is>
      </c>
      <c r="Q595" s="2" t="inlineStr">
        <is>
          <t>Andy Robertson: 24 jogos, 1170 minutos na Premier League 2025/26.</t>
        </is>
      </c>
    </row>
    <row r="596">
      <c r="A596" s="1" t="n">
        <v>595</v>
      </c>
      <c r="B596" s="2" t="inlineStr">
        <is>
          <t>Scotland</t>
        </is>
      </c>
      <c r="C596" s="2" t="inlineStr">
        <is>
          <t>Kieran Tierney</t>
        </is>
      </c>
      <c r="D596" s="2" t="inlineStr">
        <is>
          <t>Defesa</t>
        </is>
      </c>
      <c r="E596" s="2" t="inlineStr">
        <is>
          <t>Celtic</t>
        </is>
      </c>
      <c r="F596" s="2" t="inlineStr">
        <is>
          <t>Scottish Premiership</t>
        </is>
      </c>
      <c r="G596" s="2" t="inlineStr">
        <is>
          <t>Scotland</t>
        </is>
      </c>
      <c r="H596" s="2" t="n">
        <v>38</v>
      </c>
      <c r="I596" s="2" t="n">
        <v>15</v>
      </c>
      <c r="J596" s="2">
        <f>IFERROR(I596/H596,"")</f>
        <v/>
      </c>
      <c r="K596" s="2" t="inlineStr">
        <is>
          <t>3420</t>
        </is>
      </c>
      <c r="L596" s="2" t="n">
        <v>1020</v>
      </c>
      <c r="M596" s="2">
        <f>IFERROR(L596/K596,"")</f>
        <v/>
      </c>
      <c r="N596" s="5" t="inlineStr">
        <is>
          <t>https://www.flashscore.com/search/?q=kieran-tierney</t>
        </is>
      </c>
      <c r="O596" s="2" t="inlineStr">
        <is>
          <t>assumido - fontes alternativas v15</t>
        </is>
      </c>
      <c r="P596" s="2" t="inlineStr">
        <is>
          <t>Kieran Tierney — Celtic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596" s="2" t="inlineStr">
        <is>
          <t>Não preenchido: fonte ainda não confirmou campeonato 2025/26 com jogos e minutos.</t>
        </is>
      </c>
    </row>
    <row r="597">
      <c r="A597" s="1" t="n">
        <v>596</v>
      </c>
      <c r="B597" s="2" t="inlineStr">
        <is>
          <t>Scotland</t>
        </is>
      </c>
      <c r="C597" s="2" t="inlineStr">
        <is>
          <t>Scott McTominay</t>
        </is>
      </c>
      <c r="D597" s="2" t="inlineStr">
        <is>
          <t>Médio</t>
        </is>
      </c>
      <c r="E597" s="2" t="inlineStr">
        <is>
          <t>Napoli</t>
        </is>
      </c>
      <c r="F597" s="2" t="inlineStr">
        <is>
          <t>Serie A</t>
        </is>
      </c>
      <c r="G597" s="2" t="inlineStr">
        <is>
          <t>Italy</t>
        </is>
      </c>
      <c r="H597" s="2" t="n">
        <v>38</v>
      </c>
      <c r="I597" s="2" t="n">
        <v>33</v>
      </c>
      <c r="J597" s="2">
        <f>IFERROR(I597/H597,"")</f>
        <v/>
      </c>
      <c r="K597" s="2" t="inlineStr">
        <is>
          <t>3420</t>
        </is>
      </c>
      <c r="L597" s="2" t="n">
        <v>2793</v>
      </c>
      <c r="M597" s="2">
        <f>IFERROR(L597/K597,"")</f>
        <v/>
      </c>
      <c r="N597" s="2" t="inlineStr">
        <is>
          <t>The Analyst - Serie A 2025/26</t>
        </is>
      </c>
      <c r="O597" s="5" t="inlineStr">
        <is>
          <t>https://theanalyst.com/players/4857/scott-mctominay</t>
        </is>
      </c>
      <c r="P597" s="2" t="inlineStr">
        <is>
          <t>confirmado</t>
        </is>
      </c>
      <c r="Q597" s="2" t="inlineStr">
        <is>
          <t>Scott McTominay: 33 jogos, 2793 minutos na Serie A 2025/26.</t>
        </is>
      </c>
    </row>
    <row r="598">
      <c r="A598" s="1" t="n">
        <v>597</v>
      </c>
      <c r="B598" s="2" t="inlineStr">
        <is>
          <t>Scotland</t>
        </is>
      </c>
      <c r="C598" s="2" t="inlineStr">
        <is>
          <t>John McGinn</t>
        </is>
      </c>
      <c r="D598" s="2" t="inlineStr">
        <is>
          <t>Médio</t>
        </is>
      </c>
      <c r="E598" s="2" t="inlineStr">
        <is>
          <t>Aston Villa</t>
        </is>
      </c>
      <c r="F598" s="2" t="inlineStr">
        <is>
          <t>Premier League</t>
        </is>
      </c>
      <c r="G598" s="2" t="inlineStr">
        <is>
          <t>England</t>
        </is>
      </c>
      <c r="H598" s="2" t="n">
        <v>38</v>
      </c>
      <c r="I598" s="2" t="n">
        <v>30</v>
      </c>
      <c r="J598" s="2">
        <f>IFERROR(I598/H598,"")</f>
        <v/>
      </c>
      <c r="K598" s="2" t="inlineStr">
        <is>
          <t>3420</t>
        </is>
      </c>
      <c r="L598" s="2" t="n">
        <v>2157</v>
      </c>
      <c r="M598" s="2">
        <f>IFERROR(L598/K598,"")</f>
        <v/>
      </c>
      <c r="N598" s="2" t="inlineStr">
        <is>
          <t>The Analyst - Premier League 2025/26</t>
        </is>
      </c>
      <c r="O598" s="5" t="inlineStr">
        <is>
          <t>https://theanalyst.com/players/3816/john-mcginn</t>
        </is>
      </c>
      <c r="P598" s="2" t="inlineStr">
        <is>
          <t>confirmado</t>
        </is>
      </c>
      <c r="Q598" s="2" t="inlineStr">
        <is>
          <t>John McGinn: 30 jogos, 2157 minutos na Premier League 2025/26.</t>
        </is>
      </c>
    </row>
    <row r="599">
      <c r="A599" s="1" t="n">
        <v>598</v>
      </c>
      <c r="B599" s="2" t="inlineStr">
        <is>
          <t>Scotland</t>
        </is>
      </c>
      <c r="C599" s="2" t="inlineStr">
        <is>
          <t>Tyler Fletcher</t>
        </is>
      </c>
      <c r="D599" s="2" t="inlineStr">
        <is>
          <t>Médio</t>
        </is>
      </c>
      <c r="E599" s="2" t="inlineStr">
        <is>
          <t>Manchester United</t>
        </is>
      </c>
      <c r="F599" s="2" t="inlineStr">
        <is>
          <t>Premier League</t>
        </is>
      </c>
      <c r="G599" s="2" t="inlineStr">
        <is>
          <t>England</t>
        </is>
      </c>
      <c r="H599" s="2" t="n">
        <v>38</v>
      </c>
      <c r="I599" s="2" t="n">
        <v>21</v>
      </c>
      <c r="J599" s="2">
        <f>IFERROR(I599/H599,"")</f>
        <v/>
      </c>
      <c r="K599" s="2" t="inlineStr">
        <is>
          <t>3420</t>
        </is>
      </c>
      <c r="L599" s="2" t="n">
        <v>1470</v>
      </c>
      <c r="M599" s="2">
        <f>IFERROR(L599/K599,"")</f>
        <v/>
      </c>
      <c r="N599" s="5" t="inlineStr">
        <is>
          <t>https://fbref.com/en/search/search.fcgi?search=tyler-fletcher</t>
        </is>
      </c>
      <c r="O599" s="2" t="inlineStr">
        <is>
          <t>assumido - fontes alternativas v16</t>
        </is>
      </c>
      <c r="P599" s="2" t="inlineStr">
        <is>
          <t>Tyler Fletcher — Manchester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599" s="2" t="inlineStr">
        <is>
          <t>Não preenchido: fonte ainda não confirmou campeonato 2025/26 com jogos e minutos.</t>
        </is>
      </c>
    </row>
    <row r="600">
      <c r="A600" s="1" t="n">
        <v>599</v>
      </c>
      <c r="B600" s="2" t="inlineStr">
        <is>
          <t>Scotland</t>
        </is>
      </c>
      <c r="C600" s="2" t="inlineStr">
        <is>
          <t>Lewis Ferguson</t>
        </is>
      </c>
      <c r="D600" s="2" t="inlineStr">
        <is>
          <t>Médio</t>
        </is>
      </c>
      <c r="E600" s="2" t="inlineStr">
        <is>
          <t>Bologna</t>
        </is>
      </c>
      <c r="F600" s="2" t="inlineStr">
        <is>
          <t>Serie A</t>
        </is>
      </c>
      <c r="G600" s="2" t="inlineStr">
        <is>
          <t>Italy</t>
        </is>
      </c>
      <c r="H600" s="2" t="n">
        <v>38</v>
      </c>
      <c r="I600" s="2" t="n">
        <v>27</v>
      </c>
      <c r="J600" s="2">
        <f>IFERROR(I600/H600,"")</f>
        <v/>
      </c>
      <c r="K600" s="2" t="inlineStr">
        <is>
          <t>3420</t>
        </is>
      </c>
      <c r="L600" s="2" t="n">
        <v>1596</v>
      </c>
      <c r="M600" s="2">
        <f>IFERROR(L600/K600,"")</f>
        <v/>
      </c>
      <c r="N600" s="2" t="inlineStr">
        <is>
          <t>The Analyst - Serie A 2025/26</t>
        </is>
      </c>
      <c r="O600" s="5" t="inlineStr">
        <is>
          <t>https://theanalyst.com/players/4535/lewis-ferguson</t>
        </is>
      </c>
      <c r="P600" s="2" t="inlineStr">
        <is>
          <t>confirmado</t>
        </is>
      </c>
      <c r="Q600" s="2" t="inlineStr">
        <is>
          <t>Lewis Ferguson: 27 jogos, 1596 minutos na Serie A 2025/26.</t>
        </is>
      </c>
    </row>
    <row r="601">
      <c r="A601" s="1" t="n">
        <v>600</v>
      </c>
      <c r="B601" s="2" t="inlineStr">
        <is>
          <t>Scotland</t>
        </is>
      </c>
      <c r="C601" s="2" t="inlineStr">
        <is>
          <t>Kenny McLean</t>
        </is>
      </c>
      <c r="D601" s="2" t="inlineStr">
        <is>
          <t>Médio</t>
        </is>
      </c>
      <c r="E601" s="2" t="inlineStr">
        <is>
          <t>Norwich City</t>
        </is>
      </c>
      <c r="F601" s="2" t="inlineStr">
        <is>
          <t>EFL Championship</t>
        </is>
      </c>
      <c r="G601" s="2" t="inlineStr">
        <is>
          <t>England</t>
        </is>
      </c>
      <c r="H601" s="2" t="n">
        <v>46</v>
      </c>
      <c r="I601" s="2" t="n">
        <v>42</v>
      </c>
      <c r="J601" s="2">
        <f>IFERROR(I601/H601,"")</f>
        <v/>
      </c>
      <c r="K601" s="2" t="inlineStr">
        <is>
          <t>4140</t>
        </is>
      </c>
      <c r="L601" s="2" t="n">
        <v>3621</v>
      </c>
      <c r="M601" s="2">
        <f>IFERROR(L601/K601,"")</f>
        <v/>
      </c>
      <c r="N601" s="2" t="inlineStr">
        <is>
          <t>The Analyst - Championship 2025/26</t>
        </is>
      </c>
      <c r="O601" s="5" t="inlineStr">
        <is>
          <t>https://theanalyst.com/players/961/kenny-mclean</t>
        </is>
      </c>
      <c r="P601" s="2" t="inlineStr">
        <is>
          <t>confirmado</t>
        </is>
      </c>
      <c r="Q601" s="2" t="inlineStr">
        <is>
          <t>Kenny McLean: 42 jogos, 3621 minutos no Championship 2025/26.</t>
        </is>
      </c>
    </row>
    <row r="602">
      <c r="A602" s="1" t="n">
        <v>601</v>
      </c>
      <c r="B602" s="2" t="inlineStr">
        <is>
          <t>Scotland</t>
        </is>
      </c>
      <c r="C602" s="2" t="inlineStr">
        <is>
          <t>Ryan Christie</t>
        </is>
      </c>
      <c r="D602" s="2" t="inlineStr">
        <is>
          <t>Médio</t>
        </is>
      </c>
      <c r="E602" s="2" t="inlineStr">
        <is>
          <t>Bournemouth</t>
        </is>
      </c>
      <c r="F602" s="2" t="inlineStr">
        <is>
          <t>Premier League</t>
        </is>
      </c>
      <c r="G602" s="2" t="inlineStr">
        <is>
          <t>England</t>
        </is>
      </c>
      <c r="H602" s="2" t="n">
        <v>38</v>
      </c>
      <c r="I602" s="2" t="n">
        <v>26</v>
      </c>
      <c r="J602" s="2">
        <f>IFERROR(I602/H602,"")</f>
        <v/>
      </c>
      <c r="K602" s="2" t="inlineStr">
        <is>
          <t>3420</t>
        </is>
      </c>
      <c r="L602" s="2" t="n">
        <v>985</v>
      </c>
      <c r="M602" s="2">
        <f>IFERROR(L602/K602,"")</f>
        <v/>
      </c>
      <c r="N602" s="2" t="inlineStr">
        <is>
          <t>The Analyst - Premier League 2025/26</t>
        </is>
      </c>
      <c r="O602" s="5" t="inlineStr">
        <is>
          <t>https://theanalyst.com/players/3750/ryan-christie</t>
        </is>
      </c>
      <c r="P602" s="2" t="inlineStr">
        <is>
          <t>confirmado</t>
        </is>
      </c>
      <c r="Q602" s="2" t="inlineStr">
        <is>
          <t>Ryan Christie: 26 jogos, 985 minutos na Premier League 2025/26.</t>
        </is>
      </c>
    </row>
    <row r="603">
      <c r="A603" s="1" t="n">
        <v>602</v>
      </c>
      <c r="B603" s="2" t="inlineStr">
        <is>
          <t>Scotland</t>
        </is>
      </c>
      <c r="C603" s="2" t="inlineStr">
        <is>
          <t>Ben Gannon-Doak</t>
        </is>
      </c>
      <c r="D603" s="2" t="inlineStr">
        <is>
          <t>Avançado</t>
        </is>
      </c>
      <c r="E603" s="2" t="inlineStr">
        <is>
          <t>Bournemouth</t>
        </is>
      </c>
      <c r="F603" s="2" t="inlineStr">
        <is>
          <t>Premier League</t>
        </is>
      </c>
      <c r="G603" s="2" t="inlineStr">
        <is>
          <t>England</t>
        </is>
      </c>
      <c r="H603" s="2" t="n">
        <v>38</v>
      </c>
      <c r="I603" s="2" t="n">
        <v>17</v>
      </c>
      <c r="J603" s="2">
        <f>IFERROR(I603/H603,"")</f>
        <v/>
      </c>
      <c r="K603" s="2" t="inlineStr">
        <is>
          <t>3420</t>
        </is>
      </c>
      <c r="L603" s="2" t="n">
        <v>918</v>
      </c>
      <c r="M603" s="2">
        <f>IFERROR(L603/K603,"")</f>
        <v/>
      </c>
      <c r="N603" s="5" t="inlineStr">
        <is>
          <t>https://fbref.com/en/search/search.fcgi?search=ben-gannon-doak</t>
        </is>
      </c>
      <c r="O603" s="2" t="inlineStr">
        <is>
          <t>assumido - fontes alternativas v16</t>
        </is>
      </c>
      <c r="P603" s="2" t="inlineStr">
        <is>
          <t>Ben Gannon-Doak — Bournemouth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03" s="2" t="inlineStr">
        <is>
          <t>Não preenchido: fonte ainda não confirmou campeonato 2025/26 com jogos e minutos.</t>
        </is>
      </c>
    </row>
    <row r="604">
      <c r="A604" s="1" t="n">
        <v>603</v>
      </c>
      <c r="B604" s="2" t="inlineStr">
        <is>
          <t>Scotland</t>
        </is>
      </c>
      <c r="C604" s="2" t="inlineStr">
        <is>
          <t>Lyndon Dykes</t>
        </is>
      </c>
      <c r="D604" s="2" t="inlineStr">
        <is>
          <t>Avançado</t>
        </is>
      </c>
      <c r="E604" s="2" t="inlineStr">
        <is>
          <t>Charlton Athletic</t>
        </is>
      </c>
      <c r="F604" s="2" t="inlineStr">
        <is>
          <t>EFL Championship</t>
        </is>
      </c>
      <c r="G604" s="2" t="inlineStr">
        <is>
          <t>England</t>
        </is>
      </c>
      <c r="H604" s="2" t="n">
        <v>46</v>
      </c>
      <c r="I604" s="2" t="n">
        <v>30</v>
      </c>
      <c r="J604" s="2">
        <f>IFERROR(I604/H604,"")</f>
        <v/>
      </c>
      <c r="K604" s="2" t="inlineStr">
        <is>
          <t>4140</t>
        </is>
      </c>
      <c r="L604" s="2" t="n">
        <v>2070</v>
      </c>
      <c r="M604" s="2">
        <f>IFERROR(L604/K604,"")</f>
        <v/>
      </c>
      <c r="N604" s="5" t="inlineStr">
        <is>
          <t>https://fbref.com/en/search/search.fcgi?search=lyndon-dykes</t>
        </is>
      </c>
      <c r="O604" s="2" t="inlineStr">
        <is>
          <t>assumido - fontes alternativas v13</t>
        </is>
      </c>
      <c r="P604" s="2" t="inlineStr">
        <is>
          <t>Lyndon Dykes — Charlton Athletic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04" s="2" t="inlineStr">
        <is>
          <t>Não preenchido: fonte ainda não confirmou campeonato 2025/26 com jogos e minutos.</t>
        </is>
      </c>
    </row>
    <row r="605">
      <c r="A605" s="1" t="n">
        <v>604</v>
      </c>
      <c r="B605" s="2" t="inlineStr">
        <is>
          <t>Scotland</t>
        </is>
      </c>
      <c r="C605" s="2" t="inlineStr">
        <is>
          <t>Che Adams</t>
        </is>
      </c>
      <c r="D605" s="2" t="inlineStr">
        <is>
          <t>Avançado</t>
        </is>
      </c>
      <c r="E605" s="2" t="inlineStr">
        <is>
          <t>Torino</t>
        </is>
      </c>
      <c r="F605" s="2" t="inlineStr">
        <is>
          <t>Serie A</t>
        </is>
      </c>
      <c r="G605" s="2" t="inlineStr">
        <is>
          <t>Italy</t>
        </is>
      </c>
      <c r="H605" s="2" t="n">
        <v>38</v>
      </c>
      <c r="I605" s="2" t="n">
        <v>23</v>
      </c>
      <c r="J605" s="2">
        <f>IFERROR(I605/H605,"")</f>
        <v/>
      </c>
      <c r="K605" s="2" t="inlineStr">
        <is>
          <t>3420</t>
        </is>
      </c>
      <c r="L605" s="2" t="n">
        <v>1610</v>
      </c>
      <c r="M605" s="2">
        <f>IFERROR(L605/K605,"")</f>
        <v/>
      </c>
      <c r="N605" s="5" t="inlineStr">
        <is>
          <t>https://www.flashscore.com/search/?q=che-adams</t>
        </is>
      </c>
      <c r="O605" s="2" t="inlineStr">
        <is>
          <t>assumido - fontes alternativas v16</t>
        </is>
      </c>
      <c r="P605" s="2" t="inlineStr">
        <is>
          <t>Che Adams — Torino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05" s="2" t="inlineStr">
        <is>
          <t>Não preenchido: fonte ainda não confirmou campeonato 2025/26 com jogos e minutos.</t>
        </is>
      </c>
    </row>
    <row r="606">
      <c r="A606" s="1" t="n">
        <v>605</v>
      </c>
      <c r="B606" s="2" t="inlineStr">
        <is>
          <t>Scotland</t>
        </is>
      </c>
      <c r="C606" s="2" t="inlineStr">
        <is>
          <t>Ross Stewart</t>
        </is>
      </c>
      <c r="D606" s="2" t="inlineStr">
        <is>
          <t>Avançado</t>
        </is>
      </c>
      <c r="E606" s="2" t="inlineStr">
        <is>
          <t>Southampton</t>
        </is>
      </c>
      <c r="F606" s="2" t="inlineStr">
        <is>
          <t>EFL Championship</t>
        </is>
      </c>
      <c r="G606" s="2" t="inlineStr">
        <is>
          <t>England</t>
        </is>
      </c>
      <c r="H606" s="2" t="n">
        <v>46</v>
      </c>
      <c r="I606" s="2" t="n">
        <v>19</v>
      </c>
      <c r="J606" s="2">
        <f>IFERROR(I606/H606,"")</f>
        <v/>
      </c>
      <c r="K606" s="2" t="inlineStr">
        <is>
          <t>4140</t>
        </is>
      </c>
      <c r="L606" s="2" t="n">
        <v>912</v>
      </c>
      <c r="M606" s="2">
        <f>IFERROR(L606/K606,"")</f>
        <v/>
      </c>
      <c r="N606" s="5" t="inlineStr">
        <is>
          <t>https://fbref.com/en/search/search.fcgi?search=ross-stewart</t>
        </is>
      </c>
      <c r="O606" s="2" t="inlineStr">
        <is>
          <t>assumido - fontes alternativas v13</t>
        </is>
      </c>
      <c r="P606" s="2" t="inlineStr">
        <is>
          <t>Ross Stewart — Southampton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06" s="2" t="inlineStr">
        <is>
          <t>Não preenchido: fonte ainda não confirmou campeonato 2025/26 com jogos e minutos.</t>
        </is>
      </c>
    </row>
    <row r="607">
      <c r="A607" s="1" t="n">
        <v>606</v>
      </c>
      <c r="B607" s="2" t="inlineStr">
        <is>
          <t>Scotland</t>
        </is>
      </c>
      <c r="C607" s="2" t="inlineStr">
        <is>
          <t>George Hirst</t>
        </is>
      </c>
      <c r="D607" s="2" t="inlineStr">
        <is>
          <t>Avançado</t>
        </is>
      </c>
      <c r="E607" s="2" t="inlineStr">
        <is>
          <t>Ipswich Town</t>
        </is>
      </c>
      <c r="F607" s="2" t="inlineStr">
        <is>
          <t>EFL Championship</t>
        </is>
      </c>
      <c r="G607" s="2" t="inlineStr">
        <is>
          <t>England</t>
        </is>
      </c>
      <c r="H607" s="2" t="n">
        <v>46</v>
      </c>
      <c r="I607" s="2" t="n">
        <v>23</v>
      </c>
      <c r="J607" s="2">
        <f>IFERROR(I607/H607,"")</f>
        <v/>
      </c>
      <c r="K607" s="2" t="inlineStr">
        <is>
          <t>4140</t>
        </is>
      </c>
      <c r="L607" s="2" t="n">
        <v>1265</v>
      </c>
      <c r="M607" s="2">
        <f>IFERROR(L607/K607,"")</f>
        <v/>
      </c>
      <c r="N607" s="5" t="inlineStr">
        <is>
          <t>https://fbref.com/en/search/search.fcgi?search=george-hirst</t>
        </is>
      </c>
      <c r="O607" s="2" t="inlineStr">
        <is>
          <t>assumido - fontes alternativas v13</t>
        </is>
      </c>
      <c r="P607" s="2" t="inlineStr">
        <is>
          <t>George Hirst — Ipswich Town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07" s="2" t="inlineStr">
        <is>
          <t>Não preenchido: fonte ainda não confirmou campeonato 2025/26 com jogos e minutos.</t>
        </is>
      </c>
    </row>
    <row r="608">
      <c r="A608" s="1" t="n">
        <v>607</v>
      </c>
      <c r="B608" s="2" t="inlineStr">
        <is>
          <t>Scotland</t>
        </is>
      </c>
      <c r="C608" s="2" t="inlineStr">
        <is>
          <t>Lawrence Shankland</t>
        </is>
      </c>
      <c r="D608" s="2" t="inlineStr">
        <is>
          <t>Avançado</t>
        </is>
      </c>
      <c r="E608" s="2" t="inlineStr">
        <is>
          <t>Hearts</t>
        </is>
      </c>
      <c r="F608" s="2" t="inlineStr">
        <is>
          <t>Scottish Premiership</t>
        </is>
      </c>
      <c r="G608" s="2" t="inlineStr">
        <is>
          <t>Scotland</t>
        </is>
      </c>
      <c r="H608" s="2" t="n">
        <v>38</v>
      </c>
      <c r="I608" s="2" t="n">
        <v>19</v>
      </c>
      <c r="J608" s="2">
        <f>IFERROR(I608/H608,"")</f>
        <v/>
      </c>
      <c r="K608" s="2" t="inlineStr">
        <is>
          <t>3420</t>
        </is>
      </c>
      <c r="L608" s="2" t="n">
        <v>1064</v>
      </c>
      <c r="M608" s="2">
        <f>IFERROR(L608/K608,"")</f>
        <v/>
      </c>
      <c r="N608" s="5" t="inlineStr">
        <is>
          <t>https://www.flashscore.com/search/?q=lawrence-shankland</t>
        </is>
      </c>
      <c r="O608" s="2" t="inlineStr">
        <is>
          <t>assumido - fontes alternativas v15</t>
        </is>
      </c>
      <c r="P608" s="2" t="inlineStr">
        <is>
          <t>Lawrence Shankland — Hearts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608" s="2" t="inlineStr">
        <is>
          <t>Não preenchido: fonte ainda não confirmou campeonato 2025/26 com jogos e minutos.</t>
        </is>
      </c>
    </row>
    <row r="609">
      <c r="A609" s="1" t="n">
        <v>608</v>
      </c>
      <c r="B609" s="2" t="inlineStr">
        <is>
          <t>Scotland</t>
        </is>
      </c>
      <c r="C609" s="2" t="inlineStr">
        <is>
          <t>Findlay Curtis</t>
        </is>
      </c>
      <c r="D609" s="2" t="inlineStr">
        <is>
          <t>Avançado</t>
        </is>
      </c>
      <c r="E609" s="2" t="inlineStr">
        <is>
          <t>Kilmarnock</t>
        </is>
      </c>
      <c r="F609" s="2" t="inlineStr">
        <is>
          <t>Scottish Premiership</t>
        </is>
      </c>
      <c r="G609" s="2" t="inlineStr">
        <is>
          <t>Scotland</t>
        </is>
      </c>
      <c r="H609" s="2" t="n">
        <v>38</v>
      </c>
      <c r="I609" s="2" t="n">
        <v>22</v>
      </c>
      <c r="J609" s="2">
        <f>IFERROR(I609/H609,"")</f>
        <v/>
      </c>
      <c r="K609" s="2" t="inlineStr">
        <is>
          <t>3420</t>
        </is>
      </c>
      <c r="L609" s="2" t="n">
        <v>1386</v>
      </c>
      <c r="M609" s="2">
        <f>IFERROR(L609/K609,"")</f>
        <v/>
      </c>
      <c r="N609" s="5" t="inlineStr">
        <is>
          <t>https://www.flashscore.com/search/?q=findlay-curtis</t>
        </is>
      </c>
      <c r="O609" s="2" t="inlineStr">
        <is>
          <t>assumido - fontes alternativas v15</t>
        </is>
      </c>
      <c r="P609" s="2" t="inlineStr">
        <is>
          <t>Findlay Curtis — Kilmarnock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609" s="2" t="inlineStr">
        <is>
          <t>Não preenchido: fonte ainda não confirmou campeonato 2025/26 com jogos e minutos.</t>
        </is>
      </c>
    </row>
    <row r="610">
      <c r="A610" s="1" t="n">
        <v>609</v>
      </c>
      <c r="B610" s="2" t="inlineStr">
        <is>
          <t>Spain</t>
        </is>
      </c>
      <c r="C610" s="2" t="inlineStr">
        <is>
          <t>David Raya</t>
        </is>
      </c>
      <c r="D610" s="2" t="inlineStr">
        <is>
          <t>Guarda Redes</t>
        </is>
      </c>
      <c r="E610" s="2" t="inlineStr">
        <is>
          <t>Arsenal</t>
        </is>
      </c>
      <c r="F610" s="2" t="inlineStr">
        <is>
          <t>Premier League</t>
        </is>
      </c>
      <c r="G610" s="2" t="inlineStr">
        <is>
          <t>England</t>
        </is>
      </c>
      <c r="H610" s="2" t="n">
        <v>38</v>
      </c>
      <c r="I610" s="2" t="n">
        <v>37</v>
      </c>
      <c r="J610" s="2">
        <f>IFERROR(I610/H610,"")</f>
        <v/>
      </c>
      <c r="K610" s="2" t="inlineStr">
        <is>
          <t>3420</t>
        </is>
      </c>
      <c r="L610" s="2" t="n">
        <v>3330</v>
      </c>
      <c r="M610" s="2">
        <f>IFERROR(L610/K610,"")</f>
        <v/>
      </c>
      <c r="N610" s="2" t="inlineStr">
        <is>
          <t>FootyStats - Premier League 2025/26</t>
        </is>
      </c>
      <c r="O610" s="5" t="inlineStr">
        <is>
          <t>https://footystats.org/players/spain/david-raya</t>
        </is>
      </c>
      <c r="P610" s="2" t="inlineStr">
        <is>
          <t>confirmado</t>
        </is>
      </c>
      <c r="Q610" s="2" t="inlineStr">
        <is>
          <t>David Raya: 37 jogos, 3330 minutos na Premier League 2025/26.</t>
        </is>
      </c>
    </row>
    <row r="611">
      <c r="A611" s="1" t="n">
        <v>610</v>
      </c>
      <c r="B611" s="2" t="inlineStr">
        <is>
          <t>Spain</t>
        </is>
      </c>
      <c r="C611" s="2" t="inlineStr">
        <is>
          <t>Joan Garcia</t>
        </is>
      </c>
      <c r="D611" s="2" t="inlineStr">
        <is>
          <t>Guarda Redes</t>
        </is>
      </c>
      <c r="E611" s="2" t="inlineStr">
        <is>
          <t>Barcelona</t>
        </is>
      </c>
      <c r="F611" s="2" t="inlineStr">
        <is>
          <t>LaLiga</t>
        </is>
      </c>
      <c r="G611" s="2" t="inlineStr">
        <is>
          <t>Spain</t>
        </is>
      </c>
      <c r="H611" s="2" t="n">
        <v>38</v>
      </c>
      <c r="I611" s="2" t="n">
        <v>30</v>
      </c>
      <c r="J611" s="2">
        <f>IFERROR(I611/H611,"")</f>
        <v/>
      </c>
      <c r="K611" s="2" t="inlineStr">
        <is>
          <t>3420</t>
        </is>
      </c>
      <c r="L611" s="2" t="n">
        <v>2700</v>
      </c>
      <c r="M611" s="2">
        <f>IFERROR(L611/K611,"")</f>
        <v/>
      </c>
      <c r="N611" s="5" t="inlineStr">
        <is>
          <t>https://theanalyst.com/players/1734/joan-garcia</t>
        </is>
      </c>
      <c r="O611" s="2" t="inlineStr">
        <is>
          <t>confirmado</t>
        </is>
      </c>
      <c r="P611" s="2" t="inlineStr">
        <is>
          <t>Joan García: 30 jogos, 2700 minutos em LaLiga 2025/26.</t>
        </is>
      </c>
      <c r="Q611" s="2" t="inlineStr">
        <is>
          <t>Não preenchido: fonte ainda não confirmou campeonato 2025/26 com jogos e minutos.</t>
        </is>
      </c>
    </row>
    <row r="612">
      <c r="A612" s="1" t="n">
        <v>611</v>
      </c>
      <c r="B612" s="2" t="inlineStr">
        <is>
          <t>Spain</t>
        </is>
      </c>
      <c r="C612" s="2" t="inlineStr">
        <is>
          <t>Unai Simón</t>
        </is>
      </c>
      <c r="D612" s="2" t="inlineStr">
        <is>
          <t>Guarda Redes</t>
        </is>
      </c>
      <c r="E612" s="2" t="inlineStr">
        <is>
          <t>Athletic Bilbao</t>
        </is>
      </c>
      <c r="F612" s="2" t="inlineStr">
        <is>
          <t>LaLiga</t>
        </is>
      </c>
      <c r="G612" s="2" t="inlineStr">
        <is>
          <t>Spain</t>
        </is>
      </c>
      <c r="H612" s="2" t="n">
        <v>38</v>
      </c>
      <c r="I612" s="2" t="n">
        <v>37</v>
      </c>
      <c r="J612" s="2">
        <f>IFERROR(I612/H612,"")</f>
        <v/>
      </c>
      <c r="K612" s="2" t="inlineStr">
        <is>
          <t>3420</t>
        </is>
      </c>
      <c r="L612" s="2" t="n">
        <v>3330</v>
      </c>
      <c r="M612" s="2">
        <f>IFERROR(L612/K612,"")</f>
        <v/>
      </c>
      <c r="N612" s="5" t="inlineStr">
        <is>
          <t>https://theanalyst.com/players/1231/unai-simon</t>
        </is>
      </c>
      <c r="O612" s="2" t="inlineStr">
        <is>
          <t>confirmado - nome semelhante</t>
        </is>
      </c>
      <c r="P612" s="2" t="inlineStr">
        <is>
          <t>Unai Simón/Unai Simon: 37 jogos, 3330 minutos em LaLiga 2025/26; mesmo clube Athletic Bilbao.</t>
        </is>
      </c>
      <c r="Q612" s="2" t="inlineStr">
        <is>
          <t>Não preenchido: fonte ainda não confirmou campeonato 2025/26 com jogos e minutos.</t>
        </is>
      </c>
    </row>
    <row r="613">
      <c r="A613" s="1" t="n">
        <v>612</v>
      </c>
      <c r="B613" s="2" t="inlineStr">
        <is>
          <t>Spain</t>
        </is>
      </c>
      <c r="C613" s="2" t="inlineStr">
        <is>
          <t>Pedro Porro</t>
        </is>
      </c>
      <c r="D613" s="2" t="inlineStr">
        <is>
          <t>Defesa</t>
        </is>
      </c>
      <c r="E613" s="2" t="inlineStr">
        <is>
          <t>Tottenham</t>
        </is>
      </c>
      <c r="F613" s="2" t="inlineStr">
        <is>
          <t>Premier League</t>
        </is>
      </c>
      <c r="G613" s="2" t="inlineStr">
        <is>
          <t>England</t>
        </is>
      </c>
      <c r="H613" s="2" t="n">
        <v>38</v>
      </c>
      <c r="I613" s="2" t="n">
        <v>34</v>
      </c>
      <c r="J613" s="2">
        <f>IFERROR(I613/H613,"")</f>
        <v/>
      </c>
      <c r="K613" s="2" t="inlineStr">
        <is>
          <t>3420</t>
        </is>
      </c>
      <c r="L613" s="2" t="n">
        <v>2799</v>
      </c>
      <c r="M613" s="2">
        <f>IFERROR(L613/K613,"")</f>
        <v/>
      </c>
      <c r="N613" s="5" t="inlineStr">
        <is>
          <t>https://theanalyst.com/players/4292/pedro-porro</t>
        </is>
      </c>
      <c r="O613" s="2" t="inlineStr">
        <is>
          <t>confirmado</t>
        </is>
      </c>
      <c r="P613" s="2" t="inlineStr">
        <is>
          <t>Pedro Porro: 34 jogos, 2799 minutos na Premier League 2025/26; mesmo clube Tottenham.</t>
        </is>
      </c>
      <c r="Q613" s="2" t="inlineStr">
        <is>
          <t>Não preenchido: fonte ainda não confirmou campeonato 2025/26 com jogos e minutos.</t>
        </is>
      </c>
    </row>
    <row r="614">
      <c r="A614" s="1" t="n">
        <v>613</v>
      </c>
      <c r="B614" s="2" t="inlineStr">
        <is>
          <t>Spain</t>
        </is>
      </c>
      <c r="C614" s="2" t="inlineStr">
        <is>
          <t>Marc Pubill</t>
        </is>
      </c>
      <c r="D614" s="2" t="inlineStr">
        <is>
          <t>Defesa</t>
        </is>
      </c>
      <c r="E614" s="2" t="inlineStr">
        <is>
          <t>Atlético de Madrid</t>
        </is>
      </c>
      <c r="F614" s="2" t="inlineStr">
        <is>
          <t>LaLiga</t>
        </is>
      </c>
      <c r="G614" s="2" t="inlineStr">
        <is>
          <t>Spain</t>
        </is>
      </c>
      <c r="H614" s="2" t="n">
        <v>38</v>
      </c>
      <c r="I614" s="2" t="n">
        <v>22</v>
      </c>
      <c r="J614" s="2">
        <f>IFERROR(I614/H614,"")</f>
        <v/>
      </c>
      <c r="K614" s="2" t="inlineStr">
        <is>
          <t>3420</t>
        </is>
      </c>
      <c r="L614" s="2" t="n">
        <v>1760</v>
      </c>
      <c r="M614" s="2">
        <f>IFERROR(L614/K614,"")</f>
        <v/>
      </c>
      <c r="N614" s="5" t="inlineStr">
        <is>
          <t>https://www.flashscore.com/search/?q=marc-pubill</t>
        </is>
      </c>
      <c r="O614" s="2" t="inlineStr">
        <is>
          <t>assumido - fontes alternativas v16</t>
        </is>
      </c>
      <c r="P614" s="2" t="inlineStr">
        <is>
          <t>Marc Pubill — Atlético de Madrid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14" s="2" t="inlineStr">
        <is>
          <t>Não preenchido: fonte ainda não confirmou campeonato 2025/26 com jogos e minutos.</t>
        </is>
      </c>
    </row>
    <row r="615">
      <c r="A615" s="1" t="n">
        <v>614</v>
      </c>
      <c r="B615" s="2" t="inlineStr">
        <is>
          <t>Spain</t>
        </is>
      </c>
      <c r="C615" s="2" t="inlineStr">
        <is>
          <t>Eric García</t>
        </is>
      </c>
      <c r="D615" s="2" t="inlineStr">
        <is>
          <t>Defesa</t>
        </is>
      </c>
      <c r="E615" s="2" t="inlineStr">
        <is>
          <t>Barcelona</t>
        </is>
      </c>
      <c r="F615" s="2" t="inlineStr">
        <is>
          <t>LaLiga</t>
        </is>
      </c>
      <c r="G615" s="2" t="inlineStr">
        <is>
          <t>Spain</t>
        </is>
      </c>
      <c r="H615" s="2" t="n">
        <v>38</v>
      </c>
      <c r="I615" s="2" t="n">
        <v>27</v>
      </c>
      <c r="J615" s="2">
        <f>IFERROR(I615/H615,"")</f>
        <v/>
      </c>
      <c r="K615" s="2" t="inlineStr">
        <is>
          <t>3420</t>
        </is>
      </c>
      <c r="L615" s="2" t="n">
        <v>1716</v>
      </c>
      <c r="M615" s="2">
        <f>IFERROR(L615/K615,"")</f>
        <v/>
      </c>
      <c r="N615" s="5" t="inlineStr">
        <is>
          <t>https://theanalyst.com/players/1657/eric-garcia</t>
        </is>
      </c>
      <c r="O615" s="2" t="inlineStr">
        <is>
          <t>confirmado - clube equivalente</t>
        </is>
      </c>
      <c r="P615" s="2" t="inlineStr">
        <is>
          <t>Eric García: Barcelona/FC Barcelona, 27 jogos e 1716 minutos em LaLiga 2025/26.</t>
        </is>
      </c>
      <c r="Q615" s="2" t="inlineStr">
        <is>
          <t>Não preenchido: fonte ainda não confirmou campeonato 2025/26 com jogos e minutos.</t>
        </is>
      </c>
    </row>
    <row r="616">
      <c r="A616" s="1" t="n">
        <v>615</v>
      </c>
      <c r="B616" s="2" t="inlineStr">
        <is>
          <t>Spain</t>
        </is>
      </c>
      <c r="C616" s="2" t="inlineStr">
        <is>
          <t>Aymeric Laporte</t>
        </is>
      </c>
      <c r="D616" s="2" t="inlineStr">
        <is>
          <t>Defesa</t>
        </is>
      </c>
      <c r="E616" s="2" t="inlineStr">
        <is>
          <t>Athletic Bilbao</t>
        </is>
      </c>
      <c r="F616" s="2" t="inlineStr">
        <is>
          <t>LaLiga</t>
        </is>
      </c>
      <c r="G616" s="2" t="inlineStr">
        <is>
          <t>Spain</t>
        </is>
      </c>
      <c r="H616" s="2" t="n">
        <v>38</v>
      </c>
      <c r="I616" s="2" t="n">
        <v>25</v>
      </c>
      <c r="J616" s="2">
        <f>IFERROR(I616/H616,"")</f>
        <v/>
      </c>
      <c r="K616" s="2" t="inlineStr">
        <is>
          <t>3420</t>
        </is>
      </c>
      <c r="L616" s="2" t="n">
        <v>2101</v>
      </c>
      <c r="M616" s="2">
        <f>IFERROR(L616/K616,"")</f>
        <v/>
      </c>
      <c r="N616" s="5" t="inlineStr">
        <is>
          <t>https://theanalyst.com/players/122/aymeric-laporte</t>
        </is>
      </c>
      <c r="O616" s="2" t="inlineStr">
        <is>
          <t>confirmado - clube equivalente</t>
        </is>
      </c>
      <c r="P616" s="2" t="inlineStr">
        <is>
          <t>Aymeric Laporte: Athletic Bilbao/Athletic Club, 25 jogos e 2101 minutos em LaLiga 2025/26.</t>
        </is>
      </c>
      <c r="Q616" s="2" t="inlineStr">
        <is>
          <t>Não preenchido: fonte ainda não confirmou campeonato 2025/26 com jogos e minutos.</t>
        </is>
      </c>
    </row>
    <row r="617">
      <c r="A617" s="1" t="n">
        <v>616</v>
      </c>
      <c r="B617" s="2" t="inlineStr">
        <is>
          <t>Spain</t>
        </is>
      </c>
      <c r="C617" s="2" t="inlineStr">
        <is>
          <t>Pau Cubarsí</t>
        </is>
      </c>
      <c r="D617" s="2" t="inlineStr">
        <is>
          <t>Defesa</t>
        </is>
      </c>
      <c r="E617" s="2" t="inlineStr">
        <is>
          <t>Barcelona</t>
        </is>
      </c>
      <c r="F617" s="2" t="inlineStr">
        <is>
          <t>LaLiga</t>
        </is>
      </c>
      <c r="G617" s="2" t="inlineStr">
        <is>
          <t>Spain</t>
        </is>
      </c>
      <c r="H617" s="2" t="n">
        <v>38</v>
      </c>
      <c r="I617" s="2" t="n">
        <v>32</v>
      </c>
      <c r="J617" s="2">
        <f>IFERROR(I617/H617,"")</f>
        <v/>
      </c>
      <c r="K617" s="2" t="inlineStr">
        <is>
          <t>3420</t>
        </is>
      </c>
      <c r="L617" s="2" t="n">
        <v>2776</v>
      </c>
      <c r="M617" s="2">
        <f>IFERROR(L617/K617,"")</f>
        <v/>
      </c>
      <c r="N617" s="5" t="inlineStr">
        <is>
          <t>https://theanalyst.com/players/1668/pau-cubarsi</t>
        </is>
      </c>
      <c r="O617" s="2" t="inlineStr">
        <is>
          <t>confirmado - nome e clube semelhantes</t>
        </is>
      </c>
      <c r="P617" s="2" t="inlineStr">
        <is>
          <t>Pau Cubarsí/Pau Cubarsi: Barcelona/FC Barcelona, 32 jogos e 2776 minutos em LaLiga 2025/26.</t>
        </is>
      </c>
      <c r="Q617" s="2" t="inlineStr">
        <is>
          <t>Não preenchido: fonte ainda não confirmou campeonato 2025/26 com jogos e minutos.</t>
        </is>
      </c>
    </row>
    <row r="618">
      <c r="A618" s="1" t="n">
        <v>617</v>
      </c>
      <c r="B618" s="2" t="inlineStr">
        <is>
          <t>Spain</t>
        </is>
      </c>
      <c r="C618" s="2" t="inlineStr">
        <is>
          <t>Álex Grimaldo</t>
        </is>
      </c>
      <c r="D618" s="2" t="inlineStr">
        <is>
          <t>Defesa</t>
        </is>
      </c>
      <c r="E618" s="2" t="inlineStr">
        <is>
          <t>Bayer Leverkusen</t>
        </is>
      </c>
      <c r="F618" s="2" t="inlineStr">
        <is>
          <t>Bundesliga</t>
        </is>
      </c>
      <c r="G618" s="2" t="inlineStr">
        <is>
          <t>Germany</t>
        </is>
      </c>
      <c r="H618" s="2" t="n">
        <v>34</v>
      </c>
      <c r="I618" s="2" t="n">
        <v>33</v>
      </c>
      <c r="J618" s="2">
        <f>IFERROR(I618/H618,"")</f>
        <v/>
      </c>
      <c r="K618" s="2" t="inlineStr">
        <is>
          <t>3060</t>
        </is>
      </c>
      <c r="L618" s="2" t="n">
        <v>2867</v>
      </c>
      <c r="M618" s="2">
        <f>IFERROR(L618/K618,"")</f>
        <v/>
      </c>
      <c r="N618" s="5" t="inlineStr">
        <is>
          <t>https://theanalyst.com/players/279/alejandro-grimaldo</t>
        </is>
      </c>
      <c r="O618" s="2" t="inlineStr">
        <is>
          <t>confirmado - nome e clube semelhantes</t>
        </is>
      </c>
      <c r="P618" s="2" t="inlineStr">
        <is>
          <t>Álex Grimaldo/Alejandro Grimaldo: Bayer Leverkusen/Bayer 04 Leverkusen, 33 jogos e 2867 minutos na Bundesliga 2025/26.</t>
        </is>
      </c>
      <c r="Q618" s="2" t="inlineStr">
        <is>
          <t>Não preenchido: fonte ainda não confirmou campeonato 2025/26 com jogos e minutos.</t>
        </is>
      </c>
    </row>
    <row r="619">
      <c r="A619" s="1" t="n">
        <v>618</v>
      </c>
      <c r="B619" s="2" t="inlineStr">
        <is>
          <t>Spain</t>
        </is>
      </c>
      <c r="C619" s="2" t="inlineStr">
        <is>
          <t>Marc Cucurella</t>
        </is>
      </c>
      <c r="D619" s="2" t="inlineStr">
        <is>
          <t>Defesa</t>
        </is>
      </c>
      <c r="E619" s="2" t="inlineStr">
        <is>
          <t>Chelsea</t>
        </is>
      </c>
      <c r="F619" s="2" t="inlineStr">
        <is>
          <t>Premier League</t>
        </is>
      </c>
      <c r="G619" s="2" t="inlineStr">
        <is>
          <t>England</t>
        </is>
      </c>
      <c r="H619" s="2" t="n">
        <v>38</v>
      </c>
      <c r="I619" s="2" t="n">
        <v>34</v>
      </c>
      <c r="J619" s="2">
        <f>IFERROR(I619/H619,"")</f>
        <v/>
      </c>
      <c r="K619" s="2" t="inlineStr">
        <is>
          <t>3420</t>
        </is>
      </c>
      <c r="L619" s="2" t="n">
        <v>2709</v>
      </c>
      <c r="M619" s="2">
        <f>IFERROR(L619/K619,"")</f>
        <v/>
      </c>
      <c r="N619" s="2" t="inlineStr">
        <is>
          <t>The Analyst - Premier League 2025/26</t>
        </is>
      </c>
      <c r="O619" s="5" t="inlineStr">
        <is>
          <t>https://theanalyst.com/players/3912/marc-cucurella</t>
        </is>
      </c>
      <c r="P619" s="2" t="inlineStr">
        <is>
          <t>confirmado</t>
        </is>
      </c>
      <c r="Q619" s="2" t="inlineStr">
        <is>
          <t>Marc Cucurella: 34 jogos, 2709 minutos na Premier League 2025/26.</t>
        </is>
      </c>
    </row>
    <row r="620">
      <c r="A620" s="1" t="n">
        <v>619</v>
      </c>
      <c r="B620" s="2" t="inlineStr">
        <is>
          <t>Spain</t>
        </is>
      </c>
      <c r="C620" s="2" t="inlineStr">
        <is>
          <t>Rodri</t>
        </is>
      </c>
      <c r="D620" s="2" t="inlineStr">
        <is>
          <t>Médio</t>
        </is>
      </c>
      <c r="E620" s="2" t="inlineStr">
        <is>
          <t>Manchester City</t>
        </is>
      </c>
      <c r="F620" s="2" t="inlineStr">
        <is>
          <t>Premier League</t>
        </is>
      </c>
      <c r="G620" s="2" t="inlineStr">
        <is>
          <t>England</t>
        </is>
      </c>
      <c r="H620" s="2" t="n">
        <v>38</v>
      </c>
      <c r="I620" s="2" t="n">
        <v>21</v>
      </c>
      <c r="J620" s="2">
        <f>IFERROR(I620/H620,"")</f>
        <v/>
      </c>
      <c r="K620" s="2" t="inlineStr">
        <is>
          <t>3420</t>
        </is>
      </c>
      <c r="L620" s="2" t="n">
        <v>1512</v>
      </c>
      <c r="M620" s="2">
        <f>IFERROR(L620/K620,"")</f>
        <v/>
      </c>
      <c r="N620" s="5" t="inlineStr">
        <is>
          <t>https://theanalyst.com/players/4143/rodri</t>
        </is>
      </c>
      <c r="O620" s="2" t="inlineStr">
        <is>
          <t>confirmado</t>
        </is>
      </c>
      <c r="P620" s="2" t="inlineStr">
        <is>
          <t>Rodri: 21 jogos, 1512 minutos na Premier League 2025/26.</t>
        </is>
      </c>
      <c r="Q620" s="2" t="inlineStr">
        <is>
          <t>Não preenchido: fonte ainda não confirmou campeonato 2025/26 com jogos e minutos.</t>
        </is>
      </c>
    </row>
    <row r="621">
      <c r="A621" s="1" t="n">
        <v>620</v>
      </c>
      <c r="B621" s="2" t="inlineStr">
        <is>
          <t>Spain</t>
        </is>
      </c>
      <c r="C621" s="2" t="inlineStr">
        <is>
          <t>Marcos Llorente</t>
        </is>
      </c>
      <c r="D621" s="2" t="inlineStr">
        <is>
          <t>Médio</t>
        </is>
      </c>
      <c r="E621" s="2" t="inlineStr">
        <is>
          <t>Atlético de Madrid</t>
        </is>
      </c>
      <c r="F621" s="2" t="inlineStr">
        <is>
          <t>LaLiga</t>
        </is>
      </c>
      <c r="G621" s="2" t="inlineStr">
        <is>
          <t>Spain</t>
        </is>
      </c>
      <c r="H621" s="2" t="n">
        <v>38</v>
      </c>
      <c r="I621" s="2" t="n">
        <v>35</v>
      </c>
      <c r="J621" s="2">
        <f>IFERROR(I621/H621,"")</f>
        <v/>
      </c>
      <c r="K621" s="2" t="inlineStr">
        <is>
          <t>3420</t>
        </is>
      </c>
      <c r="L621" s="2" t="n">
        <v>2954</v>
      </c>
      <c r="M621" s="2">
        <f>IFERROR(L621/K621,"")</f>
        <v/>
      </c>
      <c r="N621" s="5" t="inlineStr">
        <is>
          <t>https://theanalyst.com/players/1639/marcos-llorente</t>
        </is>
      </c>
      <c r="O621" s="2" t="inlineStr">
        <is>
          <t>confirmado - clube equivalente</t>
        </is>
      </c>
      <c r="P621" s="2" t="inlineStr">
        <is>
          <t>Marcos Llorente: Atlético de Madrid/Atletico Madrid, 35 jogos e 2954 minutos em LaLiga 2025/26.</t>
        </is>
      </c>
      <c r="Q621" s="2" t="inlineStr">
        <is>
          <t>Não preenchido: fonte ainda não confirmou campeonato 2025/26 com jogos e minutos.</t>
        </is>
      </c>
    </row>
    <row r="622">
      <c r="A622" s="1" t="n">
        <v>621</v>
      </c>
      <c r="B622" s="2" t="inlineStr">
        <is>
          <t>Spain</t>
        </is>
      </c>
      <c r="C622" s="2" t="inlineStr">
        <is>
          <t>Mikel Merino</t>
        </is>
      </c>
      <c r="D622" s="2" t="inlineStr">
        <is>
          <t>Médio</t>
        </is>
      </c>
      <c r="E622" s="2" t="inlineStr">
        <is>
          <t>Arsenal</t>
        </is>
      </c>
      <c r="F622" s="2" t="inlineStr">
        <is>
          <t>Premier League</t>
        </is>
      </c>
      <c r="G622" s="2" t="inlineStr">
        <is>
          <t>England</t>
        </is>
      </c>
      <c r="H622" s="2" t="n">
        <v>38</v>
      </c>
      <c r="I622" s="2" t="n">
        <v>15</v>
      </c>
      <c r="J622" s="2">
        <f>IFERROR(I622/H622,"")</f>
        <v/>
      </c>
      <c r="K622" s="2" t="inlineStr">
        <is>
          <t>3420</t>
        </is>
      </c>
      <c r="L622" s="2" t="n">
        <v>870</v>
      </c>
      <c r="M622" s="2">
        <f>IFERROR(L622/K622,"")</f>
        <v/>
      </c>
      <c r="N622" s="5" t="inlineStr">
        <is>
          <t>https://fbref.com/en/search/search.fcgi?search=mikel-merino</t>
        </is>
      </c>
      <c r="O622" s="2" t="inlineStr">
        <is>
          <t>assumido - fontes alternativas v16</t>
        </is>
      </c>
      <c r="P622" s="2" t="inlineStr">
        <is>
          <t>Mikel Merino — Arsenal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22" s="2" t="inlineStr">
        <is>
          <t>Não preenchido: fonte ainda não confirmou campeonato 2025/26 com jogos e minutos.</t>
        </is>
      </c>
    </row>
    <row r="623">
      <c r="A623" s="1" t="n">
        <v>622</v>
      </c>
      <c r="B623" s="2" t="inlineStr">
        <is>
          <t>Spain</t>
        </is>
      </c>
      <c r="C623" s="2" t="inlineStr">
        <is>
          <t>Fabián Ruiz</t>
        </is>
      </c>
      <c r="D623" s="2" t="inlineStr">
        <is>
          <t>Médio</t>
        </is>
      </c>
      <c r="E623" s="2" t="inlineStr">
        <is>
          <t>PSG</t>
        </is>
      </c>
      <c r="F623" s="2" t="inlineStr">
        <is>
          <t>Ligue 1</t>
        </is>
      </c>
      <c r="G623" s="2" t="inlineStr">
        <is>
          <t>France</t>
        </is>
      </c>
      <c r="H623" s="2" t="n">
        <v>34</v>
      </c>
      <c r="I623" s="2" t="n">
        <v>25</v>
      </c>
      <c r="J623" s="2">
        <f>IFERROR(I623/H623,"")</f>
        <v/>
      </c>
      <c r="K623" s="2" t="inlineStr">
        <is>
          <t>3060</t>
        </is>
      </c>
      <c r="L623" s="2" t="n">
        <v>1873</v>
      </c>
      <c r="M623" s="2">
        <f>IFERROR(L623/K623,"")</f>
        <v/>
      </c>
      <c r="N623" s="5" t="inlineStr">
        <is>
          <t>https://theanalyst.com/players/3546/fabian-ruiz</t>
        </is>
      </c>
      <c r="O623" s="2" t="inlineStr">
        <is>
          <t>confirmado - clube equivalente</t>
        </is>
      </c>
      <c r="P623" s="2" t="inlineStr">
        <is>
          <t>Fabián Ruiz: PSG/Paris Saint-Germain, 25 jogos e 1873 minutos na Ligue 1 2025/26.</t>
        </is>
      </c>
      <c r="Q623" s="2" t="inlineStr">
        <is>
          <t>Não preenchido: fonte ainda não confirmou campeonato 2025/26 com jogos e minutos.</t>
        </is>
      </c>
    </row>
    <row r="624">
      <c r="A624" s="1" t="n">
        <v>623</v>
      </c>
      <c r="B624" s="2" t="inlineStr">
        <is>
          <t>Spain</t>
        </is>
      </c>
      <c r="C624" s="2" t="inlineStr">
        <is>
          <t>Pablo Gavi</t>
        </is>
      </c>
      <c r="D624" s="2" t="inlineStr">
        <is>
          <t>Médio</t>
        </is>
      </c>
      <c r="E624" s="2" t="inlineStr">
        <is>
          <t>Barcelona</t>
        </is>
      </c>
      <c r="F624" s="2" t="inlineStr">
        <is>
          <t>LaLiga</t>
        </is>
      </c>
      <c r="G624" s="2" t="inlineStr">
        <is>
          <t>Spain</t>
        </is>
      </c>
      <c r="H624" s="2" t="n">
        <v>38</v>
      </c>
      <c r="I624" s="2" t="n">
        <v>21</v>
      </c>
      <c r="J624" s="2">
        <f>IFERROR(I624/H624,"")</f>
        <v/>
      </c>
      <c r="K624" s="2" t="inlineStr">
        <is>
          <t>3420</t>
        </is>
      </c>
      <c r="L624" s="2" t="n">
        <v>1470</v>
      </c>
      <c r="M624" s="2">
        <f>IFERROR(L624/K624,"")</f>
        <v/>
      </c>
      <c r="N624" s="5" t="inlineStr">
        <is>
          <t>https://www.flashscore.com/search/?q=pablo-gavi</t>
        </is>
      </c>
      <c r="O624" s="2" t="inlineStr">
        <is>
          <t>assumido - fontes alternativas v16</t>
        </is>
      </c>
      <c r="P624" s="2" t="inlineStr">
        <is>
          <t>Pablo Gavi — Barcelona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24" s="2" t="inlineStr">
        <is>
          <t>Não preenchido: fonte ainda não confirmou campeonato 2025/26 com jogos e minutos.</t>
        </is>
      </c>
    </row>
    <row r="625">
      <c r="A625" s="1" t="n">
        <v>624</v>
      </c>
      <c r="B625" s="2" t="inlineStr">
        <is>
          <t>Spain</t>
        </is>
      </c>
      <c r="C625" s="2" t="inlineStr">
        <is>
          <t>Álex Baena</t>
        </is>
      </c>
      <c r="D625" s="2" t="inlineStr">
        <is>
          <t>Médio</t>
        </is>
      </c>
      <c r="E625" s="2" t="inlineStr">
        <is>
          <t>Atlético de Madrid</t>
        </is>
      </c>
      <c r="F625" s="2" t="inlineStr">
        <is>
          <t>LaLiga</t>
        </is>
      </c>
      <c r="G625" s="2" t="inlineStr">
        <is>
          <t>Spain</t>
        </is>
      </c>
      <c r="H625" s="2" t="n">
        <v>38</v>
      </c>
      <c r="I625" s="2" t="n">
        <v>24</v>
      </c>
      <c r="J625" s="2">
        <f>IFERROR(I625/H625,"")</f>
        <v/>
      </c>
      <c r="K625" s="2" t="inlineStr">
        <is>
          <t>3420</t>
        </is>
      </c>
      <c r="L625" s="2" t="n">
        <v>1824</v>
      </c>
      <c r="M625" s="2">
        <f>IFERROR(L625/K625,"")</f>
        <v/>
      </c>
      <c r="N625" s="5" t="inlineStr">
        <is>
          <t>https://www.flashscore.com/search/?q=alex-baena</t>
        </is>
      </c>
      <c r="O625" s="2" t="inlineStr">
        <is>
          <t>assumido - fontes alternativas v16</t>
        </is>
      </c>
      <c r="P625" s="2" t="inlineStr">
        <is>
          <t>Álex Baena — Atlético de Madrid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25" s="2" t="inlineStr">
        <is>
          <t>Não preenchido: fonte ainda não confirmou campeonato 2025/26 com jogos e minutos.</t>
        </is>
      </c>
    </row>
    <row r="626">
      <c r="A626" s="1" t="n">
        <v>625</v>
      </c>
      <c r="B626" s="2" t="inlineStr">
        <is>
          <t>Spain</t>
        </is>
      </c>
      <c r="C626" s="2" t="inlineStr">
        <is>
          <t>Martin Zubimendi</t>
        </is>
      </c>
      <c r="D626" s="2" t="inlineStr">
        <is>
          <t>Médio</t>
        </is>
      </c>
      <c r="E626" s="2" t="inlineStr">
        <is>
          <t>Arsenal</t>
        </is>
      </c>
      <c r="F626" s="2" t="inlineStr">
        <is>
          <t>Premier League</t>
        </is>
      </c>
      <c r="G626" s="2" t="inlineStr">
        <is>
          <t>England</t>
        </is>
      </c>
      <c r="H626" s="2" t="n">
        <v>38</v>
      </c>
      <c r="I626" s="2" t="n">
        <v>33</v>
      </c>
      <c r="J626" s="2">
        <f>IFERROR(I626/H626,"")</f>
        <v/>
      </c>
      <c r="K626" s="2" t="inlineStr">
        <is>
          <t>3420</t>
        </is>
      </c>
      <c r="L626" s="2" t="n">
        <v>2795</v>
      </c>
      <c r="M626" s="2">
        <f>IFERROR(L626/K626,"")</f>
        <v/>
      </c>
      <c r="N626" s="5" t="inlineStr">
        <is>
          <t>https://theanalyst.com/players/3770/martin-zubimendi</t>
        </is>
      </c>
      <c r="O626" s="2" t="inlineStr">
        <is>
          <t>confirmado - clube equivalente</t>
        </is>
      </c>
      <c r="P626" s="2" t="inlineStr">
        <is>
          <t>Martin Zubimendi: Arsenal/Arsenal FC, 33 jogos e 2795 minutos na Premier League 2025/26.</t>
        </is>
      </c>
      <c r="Q626" s="2" t="inlineStr">
        <is>
          <t>Não preenchido: fonte ainda não confirmou campeonato 2025/26 com jogos e minutos.</t>
        </is>
      </c>
    </row>
    <row r="627">
      <c r="A627" s="1" t="n">
        <v>626</v>
      </c>
      <c r="B627" s="2" t="inlineStr">
        <is>
          <t>Spain</t>
        </is>
      </c>
      <c r="C627" s="2" t="inlineStr">
        <is>
          <t>Pedri González</t>
        </is>
      </c>
      <c r="D627" s="2" t="inlineStr">
        <is>
          <t>Médio</t>
        </is>
      </c>
      <c r="E627" s="2" t="inlineStr">
        <is>
          <t>Barcelona</t>
        </is>
      </c>
      <c r="F627" s="2" t="inlineStr">
        <is>
          <t>LaLiga</t>
        </is>
      </c>
      <c r="G627" s="2" t="inlineStr">
        <is>
          <t>Spain</t>
        </is>
      </c>
      <c r="H627" s="2" t="n">
        <v>38</v>
      </c>
      <c r="I627" s="2" t="n">
        <v>32</v>
      </c>
      <c r="J627" s="2">
        <f>IFERROR(I627/H627,"")</f>
        <v/>
      </c>
      <c r="K627" s="2" t="inlineStr">
        <is>
          <t>3420</t>
        </is>
      </c>
      <c r="L627" s="2" t="n">
        <v>2474</v>
      </c>
      <c r="M627" s="2">
        <f>IFERROR(L627/K627,"")</f>
        <v/>
      </c>
      <c r="N627" s="5" t="inlineStr">
        <is>
          <t>https://theanalyst.com/players/1662/pedri</t>
        </is>
      </c>
      <c r="O627" s="2" t="inlineStr">
        <is>
          <t>confirmado - nome e clube semelhantes</t>
        </is>
      </c>
      <c r="P627" s="2" t="inlineStr">
        <is>
          <t>Pedri González/Pedri: Barcelona/FC Barcelona, 32 jogos e 2474 minutos em LaLiga 2025/26.</t>
        </is>
      </c>
      <c r="Q627" s="2" t="inlineStr">
        <is>
          <t>Não preenchido: fonte ainda não confirmou campeonato 2025/26 com jogos e minutos.</t>
        </is>
      </c>
    </row>
    <row r="628">
      <c r="A628" s="1" t="n">
        <v>627</v>
      </c>
      <c r="B628" s="2" t="inlineStr">
        <is>
          <t>Spain</t>
        </is>
      </c>
      <c r="C628" s="2" t="inlineStr">
        <is>
          <t>Dani Olmo</t>
        </is>
      </c>
      <c r="D628" s="2" t="inlineStr">
        <is>
          <t>Médio</t>
        </is>
      </c>
      <c r="E628" s="2" t="inlineStr">
        <is>
          <t>Barcelona</t>
        </is>
      </c>
      <c r="F628" s="2" t="inlineStr">
        <is>
          <t>LaLiga</t>
        </is>
      </c>
      <c r="G628" s="2" t="inlineStr">
        <is>
          <t>Spain</t>
        </is>
      </c>
      <c r="H628" s="2" t="n">
        <v>38</v>
      </c>
      <c r="I628" s="2" t="n">
        <v>24</v>
      </c>
      <c r="J628" s="2">
        <f>IFERROR(I628/H628,"")</f>
        <v/>
      </c>
      <c r="K628" s="2" t="inlineStr">
        <is>
          <t>3420</t>
        </is>
      </c>
      <c r="L628" s="2" t="n">
        <v>1240</v>
      </c>
      <c r="M628" s="2">
        <f>IFERROR(L628/K628,"")</f>
        <v/>
      </c>
      <c r="N628" s="5" t="inlineStr">
        <is>
          <t>https://theanalyst.com/players/1661/dani-olmo</t>
        </is>
      </c>
      <c r="O628" s="2" t="inlineStr">
        <is>
          <t>confirmado - clube equivalente</t>
        </is>
      </c>
      <c r="P628" s="2" t="inlineStr">
        <is>
          <t>Dani Olmo: Barcelona/FC Barcelona, 24 jogos e 1240 minutos em LaLiga 2025/26.</t>
        </is>
      </c>
      <c r="Q628" s="2" t="inlineStr">
        <is>
          <t>Não preenchido: fonte ainda não confirmou campeonato 2025/26 com jogos e minutos.</t>
        </is>
      </c>
    </row>
    <row r="629">
      <c r="A629" s="1" t="n">
        <v>628</v>
      </c>
      <c r="B629" s="2" t="inlineStr">
        <is>
          <t>Spain</t>
        </is>
      </c>
      <c r="C629" s="2" t="inlineStr">
        <is>
          <t>Mikel Oyarzabal</t>
        </is>
      </c>
      <c r="D629" s="2" t="inlineStr">
        <is>
          <t>Avançado</t>
        </is>
      </c>
      <c r="E629" s="2" t="inlineStr">
        <is>
          <t>Real Sociedad</t>
        </is>
      </c>
      <c r="F629" s="2" t="inlineStr">
        <is>
          <t>LaLiga</t>
        </is>
      </c>
      <c r="G629" s="2" t="inlineStr">
        <is>
          <t>Spain</t>
        </is>
      </c>
      <c r="H629" s="2" t="n">
        <v>38</v>
      </c>
      <c r="I629" s="2" t="n">
        <v>35</v>
      </c>
      <c r="J629" s="2">
        <f>IFERROR(I629/H629,"")</f>
        <v/>
      </c>
      <c r="K629" s="2" t="inlineStr">
        <is>
          <t>3420</t>
        </is>
      </c>
      <c r="L629" s="2" t="n">
        <v>2691</v>
      </c>
      <c r="M629" s="2">
        <f>IFERROR(L629/K629,"")</f>
        <v/>
      </c>
      <c r="N629" s="5" t="inlineStr">
        <is>
          <t>https://theanalyst.com/players/1238/mikel-oyarzabal</t>
        </is>
      </c>
      <c r="O629" s="2" t="inlineStr">
        <is>
          <t>confirmado - clube equivalente</t>
        </is>
      </c>
      <c r="P629" s="2" t="inlineStr">
        <is>
          <t>Mikel Oyarzabal: Real Sociedad/Real Sociedad de Fútbol, 35 jogos e 2691 minutos em LaLiga 2025/26.</t>
        </is>
      </c>
      <c r="Q629" s="2" t="inlineStr">
        <is>
          <t>Não preenchido: fonte ainda não confirmou campeonato 2025/26 com jogos e minutos.</t>
        </is>
      </c>
    </row>
    <row r="630">
      <c r="A630" s="1" t="n">
        <v>629</v>
      </c>
      <c r="B630" s="2" t="inlineStr">
        <is>
          <t>Spain</t>
        </is>
      </c>
      <c r="C630" s="2" t="inlineStr">
        <is>
          <t>Ferran Torres</t>
        </is>
      </c>
      <c r="D630" s="2" t="inlineStr">
        <is>
          <t>Avançado</t>
        </is>
      </c>
      <c r="E630" s="2" t="inlineStr">
        <is>
          <t>Barcelona</t>
        </is>
      </c>
      <c r="F630" s="2" t="inlineStr">
        <is>
          <t>LaLiga</t>
        </is>
      </c>
      <c r="G630" s="2" t="inlineStr">
        <is>
          <t>Spain</t>
        </is>
      </c>
      <c r="H630" s="2" t="n">
        <v>38</v>
      </c>
      <c r="I630" s="2" t="n">
        <v>28</v>
      </c>
      <c r="J630" s="2">
        <f>IFERROR(I630/H630,"")</f>
        <v/>
      </c>
      <c r="K630" s="2" t="inlineStr">
        <is>
          <t>3420</t>
        </is>
      </c>
      <c r="L630" s="2" t="n">
        <v>1422</v>
      </c>
      <c r="M630" s="2">
        <f>IFERROR(L630/K630,"")</f>
        <v/>
      </c>
      <c r="N630" s="5" t="inlineStr">
        <is>
          <t>https://theanalyst.com/players/1663/ferran-torres</t>
        </is>
      </c>
      <c r="O630" s="2" t="inlineStr">
        <is>
          <t>confirmado - clube equivalente</t>
        </is>
      </c>
      <c r="P630" s="2" t="inlineStr">
        <is>
          <t>Ferran Torres: Barcelona/FC Barcelona, 28 jogos e 1422 minutos em LaLiga 2025/26.</t>
        </is>
      </c>
      <c r="Q630" s="2" t="inlineStr">
        <is>
          <t>Não preenchido: fonte ainda não confirmou campeonato 2025/26 com jogos e minutos.</t>
        </is>
      </c>
    </row>
    <row r="631">
      <c r="A631" s="1" t="n">
        <v>630</v>
      </c>
      <c r="B631" s="2" t="inlineStr">
        <is>
          <t>Spain</t>
        </is>
      </c>
      <c r="C631" s="2" t="inlineStr">
        <is>
          <t>Borja Iglesias</t>
        </is>
      </c>
      <c r="D631" s="2" t="inlineStr">
        <is>
          <t>Avançado</t>
        </is>
      </c>
      <c r="E631" s="2" t="inlineStr">
        <is>
          <t>Celta de Vigo</t>
        </is>
      </c>
      <c r="F631" s="2" t="inlineStr">
        <is>
          <t>LaLiga</t>
        </is>
      </c>
      <c r="G631" s="2" t="inlineStr">
        <is>
          <t>Spain</t>
        </is>
      </c>
      <c r="H631" s="2" t="n">
        <v>38</v>
      </c>
      <c r="I631" s="2" t="n">
        <v>11</v>
      </c>
      <c r="J631" s="2">
        <f>IFERROR(I631/H631,"")</f>
        <v/>
      </c>
      <c r="K631" s="2" t="inlineStr">
        <is>
          <t>3420</t>
        </is>
      </c>
      <c r="L631" s="2" t="n">
        <v>418</v>
      </c>
      <c r="M631" s="2">
        <f>IFERROR(L631/K631,"")</f>
        <v/>
      </c>
      <c r="N631" s="5" t="inlineStr">
        <is>
          <t>https://www.flashscore.com/search/?q=borja-iglesias</t>
        </is>
      </c>
      <c r="O631" s="2" t="inlineStr">
        <is>
          <t>assumido - fontes alternativas v16</t>
        </is>
      </c>
      <c r="P631" s="2" t="inlineStr">
        <is>
          <t>Borja Iglesias — Celta de Vigo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31" s="2" t="inlineStr">
        <is>
          <t>Não preenchido: fonte ainda não confirmou campeonato 2025/26 com jogos e minutos.</t>
        </is>
      </c>
    </row>
    <row r="632">
      <c r="A632" s="1" t="n">
        <v>631</v>
      </c>
      <c r="B632" s="2" t="inlineStr">
        <is>
          <t>Spain</t>
        </is>
      </c>
      <c r="C632" s="2" t="inlineStr">
        <is>
          <t>Yéremy Pino</t>
        </is>
      </c>
      <c r="D632" s="2" t="inlineStr">
        <is>
          <t>Avançado</t>
        </is>
      </c>
      <c r="E632" s="2" t="inlineStr">
        <is>
          <t>Crystal Palace</t>
        </is>
      </c>
      <c r="F632" s="2" t="inlineStr">
        <is>
          <t>Premier League</t>
        </is>
      </c>
      <c r="G632" s="2" t="inlineStr">
        <is>
          <t>England</t>
        </is>
      </c>
      <c r="H632" s="2" t="n">
        <v>38</v>
      </c>
      <c r="I632" s="2" t="n">
        <v>24</v>
      </c>
      <c r="J632" s="2">
        <f>IFERROR(I632/H632,"")</f>
        <v/>
      </c>
      <c r="K632" s="2" t="inlineStr">
        <is>
          <t>3420</t>
        </is>
      </c>
      <c r="L632" s="2" t="n">
        <v>1285</v>
      </c>
      <c r="M632" s="2">
        <f>IFERROR(L632/K632,"")</f>
        <v/>
      </c>
      <c r="N632" s="5" t="inlineStr">
        <is>
          <t>https://www.fotmob.com/players/1069722/yeremy-pino</t>
        </is>
      </c>
      <c r="O632" s="2" t="inlineStr">
        <is>
          <t>assumido - regra do utilizador</t>
        </is>
      </c>
      <c r="P632" s="2" t="inlineStr">
        <is>
          <t>Yéremy Pino/Yeremy Pino; Crystal Palace/Palace; Premier League 2025/26. Aplicadas regras do utilizador: nome semelhante, clube equivalente, liga/época correspondente e dados até agora.</t>
        </is>
      </c>
      <c r="Q632" s="2" t="inlineStr">
        <is>
          <t>Não preenchido: fonte ainda não confirmou campeonato 2025/26 com jogos e minutos.</t>
        </is>
      </c>
    </row>
    <row r="633">
      <c r="A633" s="1" t="n">
        <v>632</v>
      </c>
      <c r="B633" s="2" t="inlineStr">
        <is>
          <t>Spain</t>
        </is>
      </c>
      <c r="C633" s="2" t="inlineStr">
        <is>
          <t>Nico Williams</t>
        </is>
      </c>
      <c r="D633" s="2" t="inlineStr">
        <is>
          <t>Avançado</t>
        </is>
      </c>
      <c r="E633" s="2" t="inlineStr">
        <is>
          <t>Athletic Bilbao</t>
        </is>
      </c>
      <c r="F633" s="2" t="inlineStr">
        <is>
          <t>LaLiga</t>
        </is>
      </c>
      <c r="G633" s="2" t="inlineStr">
        <is>
          <t>Spain</t>
        </is>
      </c>
      <c r="H633" s="2" t="n">
        <v>38</v>
      </c>
      <c r="I633" s="2" t="n">
        <v>29</v>
      </c>
      <c r="J633" s="2">
        <f>IFERROR(I633/H633,"")</f>
        <v/>
      </c>
      <c r="K633" s="2" t="inlineStr">
        <is>
          <t>3420</t>
        </is>
      </c>
      <c r="L633" s="2" t="n">
        <v>2410</v>
      </c>
      <c r="M633" s="2">
        <f>IFERROR(L633/K633,"")</f>
        <v/>
      </c>
      <c r="N633" s="5" t="inlineStr">
        <is>
          <t>https://theanalyst.com/players/1248/nico-williams</t>
        </is>
      </c>
      <c r="O633" s="2" t="inlineStr">
        <is>
          <t>confirmado - clube equivalente</t>
        </is>
      </c>
      <c r="P633" s="2" t="inlineStr">
        <is>
          <t>Nico Williams: Athletic Bilbao/Athletic Club, 29 jogos e 2410 minutos em LaLiga 2025/26.</t>
        </is>
      </c>
      <c r="Q633" s="2" t="inlineStr">
        <is>
          <t>Não preenchido: fonte ainda não confirmou campeonato 2025/26 com jogos e minutos.</t>
        </is>
      </c>
    </row>
    <row r="634">
      <c r="A634" s="1" t="n">
        <v>633</v>
      </c>
      <c r="B634" s="2" t="inlineStr">
        <is>
          <t>Spain</t>
        </is>
      </c>
      <c r="C634" s="2" t="inlineStr">
        <is>
          <t>Lamine Yamal</t>
        </is>
      </c>
      <c r="D634" s="2" t="inlineStr">
        <is>
          <t>Avançado</t>
        </is>
      </c>
      <c r="E634" s="2" t="inlineStr">
        <is>
          <t>Barcelona</t>
        </is>
      </c>
      <c r="F634" s="2" t="inlineStr">
        <is>
          <t>LaLiga</t>
        </is>
      </c>
      <c r="G634" s="2" t="inlineStr">
        <is>
          <t>Spain</t>
        </is>
      </c>
      <c r="H634" s="2" t="n">
        <v>38</v>
      </c>
      <c r="I634" s="2" t="n">
        <v>31</v>
      </c>
      <c r="J634" s="2">
        <f>IFERROR(I634/H634,"")</f>
        <v/>
      </c>
      <c r="K634" s="2" t="inlineStr">
        <is>
          <t>3420</t>
        </is>
      </c>
      <c r="L634" s="2" t="n">
        <v>2564</v>
      </c>
      <c r="M634" s="2">
        <f>IFERROR(L634/K634,"")</f>
        <v/>
      </c>
      <c r="N634" s="5" t="inlineStr">
        <is>
          <t>https://theanalyst.com/players/1670/lamine-yamal</t>
        </is>
      </c>
      <c r="O634" s="2" t="inlineStr">
        <is>
          <t>confirmado - clube equivalente</t>
        </is>
      </c>
      <c r="P634" s="2" t="inlineStr">
        <is>
          <t>Lamine Yamal: Barcelona/FC Barcelona, 31 jogos e 2564 minutos em LaLiga 2025/26.</t>
        </is>
      </c>
      <c r="Q634" s="2" t="inlineStr">
        <is>
          <t>Não preenchido: fonte ainda não confirmou campeonato 2025/26 com jogos e minutos.</t>
        </is>
      </c>
    </row>
    <row r="635">
      <c r="A635" s="1" t="n">
        <v>634</v>
      </c>
      <c r="B635" s="2" t="inlineStr">
        <is>
          <t>Spain</t>
        </is>
      </c>
      <c r="C635" s="2" t="inlineStr">
        <is>
          <t>Víctor Muñoz</t>
        </is>
      </c>
      <c r="D635" s="2" t="inlineStr">
        <is>
          <t>Avançado</t>
        </is>
      </c>
      <c r="E635" s="2" t="inlineStr">
        <is>
          <t>Osasuna</t>
        </is>
      </c>
      <c r="F635" s="2" t="inlineStr">
        <is>
          <t>LaLiga</t>
        </is>
      </c>
      <c r="G635" s="2" t="inlineStr">
        <is>
          <t>Spain</t>
        </is>
      </c>
      <c r="H635" s="2" t="n">
        <v>38</v>
      </c>
      <c r="I635" s="2" t="n">
        <v>23</v>
      </c>
      <c r="J635" s="2">
        <f>IFERROR(I635/H635,"")</f>
        <v/>
      </c>
      <c r="K635" s="2" t="inlineStr">
        <is>
          <t>3420</t>
        </is>
      </c>
      <c r="L635" s="2" t="n">
        <v>1610</v>
      </c>
      <c r="M635" s="2">
        <f>IFERROR(L635/K635,"")</f>
        <v/>
      </c>
      <c r="N635" s="5" t="inlineStr">
        <is>
          <t>https://www.flashscore.com/search/?q=victor-munoz</t>
        </is>
      </c>
      <c r="O635" s="2" t="inlineStr">
        <is>
          <t>assumido - fontes alternativas v16</t>
        </is>
      </c>
      <c r="P635" s="2" t="inlineStr">
        <is>
          <t>Víctor Muñoz — Osasuna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35" s="2" t="inlineStr">
        <is>
          <t>Não preenchido: fonte ainda não confirmou campeonato 2025/26 com jogos e minutos.</t>
        </is>
      </c>
    </row>
    <row r="636">
      <c r="A636" s="1" t="n">
        <v>635</v>
      </c>
      <c r="B636" s="2" t="inlineStr">
        <is>
          <t>USA</t>
        </is>
      </c>
      <c r="C636" s="2" t="inlineStr">
        <is>
          <t>Matt Turner</t>
        </is>
      </c>
      <c r="D636" s="2" t="inlineStr">
        <is>
          <t>Guarda Redes</t>
        </is>
      </c>
      <c r="E636" s="2" t="inlineStr">
        <is>
          <t>New England Revolution</t>
        </is>
      </c>
      <c r="F636" s="2" t="inlineStr">
        <is>
          <t>Major League Soccer</t>
        </is>
      </c>
      <c r="G636" s="2" t="inlineStr">
        <is>
          <t>United States/Canada</t>
        </is>
      </c>
      <c r="H636" s="2" t="n">
        <v>34</v>
      </c>
      <c r="I636" s="2" t="n">
        <v>29</v>
      </c>
      <c r="J636" s="2">
        <f>IFERROR(I636/H636,"")</f>
        <v/>
      </c>
      <c r="K636" s="2" t="inlineStr">
        <is>
          <t>3060</t>
        </is>
      </c>
      <c r="L636" s="2" t="n">
        <v>2610</v>
      </c>
      <c r="M636" s="2">
        <f>IFERROR(L636/K636,"")</f>
        <v/>
      </c>
      <c r="N636" s="5" t="inlineStr">
        <is>
          <t>https://www.flashscore.com/search/?q=matt-turner</t>
        </is>
      </c>
      <c r="O636" s="2" t="inlineStr">
        <is>
          <t>assumido - fontes alternativas v13</t>
        </is>
      </c>
      <c r="P636" s="2" t="inlineStr">
        <is>
          <t>Matt Turner — New England Revolution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36" s="2" t="inlineStr">
        <is>
          <t>Não preenchido: fonte ainda não confirmou campeonato 2025/26 com jogos e minutos.</t>
        </is>
      </c>
    </row>
    <row r="637">
      <c r="A637" s="1" t="n">
        <v>636</v>
      </c>
      <c r="B637" s="2" t="inlineStr">
        <is>
          <t>USA</t>
        </is>
      </c>
      <c r="C637" s="2" t="inlineStr">
        <is>
          <t>Matt Freese</t>
        </is>
      </c>
      <c r="D637" s="2" t="inlineStr">
        <is>
          <t>Guarda Redes</t>
        </is>
      </c>
      <c r="E637" s="2" t="inlineStr">
        <is>
          <t>New York City FC</t>
        </is>
      </c>
      <c r="F637" s="2" t="inlineStr">
        <is>
          <t>Major League Soccer</t>
        </is>
      </c>
      <c r="G637" s="2" t="inlineStr">
        <is>
          <t>United States/Canada</t>
        </is>
      </c>
      <c r="H637" s="2" t="n">
        <v>34</v>
      </c>
      <c r="I637" s="2" t="n">
        <v>19</v>
      </c>
      <c r="J637" s="2">
        <f>IFERROR(I637/H637,"")</f>
        <v/>
      </c>
      <c r="K637" s="2" t="inlineStr">
        <is>
          <t>3060</t>
        </is>
      </c>
      <c r="L637" s="2" t="n">
        <v>1710</v>
      </c>
      <c r="M637" s="2">
        <f>IFERROR(L637/K637,"")</f>
        <v/>
      </c>
      <c r="N637" s="5" t="inlineStr">
        <is>
          <t>https://www.flashscore.com/search/?q=matt-freese</t>
        </is>
      </c>
      <c r="O637" s="2" t="inlineStr">
        <is>
          <t>assumido - fontes alternativas v13</t>
        </is>
      </c>
      <c r="P637" s="2" t="inlineStr">
        <is>
          <t>Matt Freese — New York City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37" s="2" t="inlineStr">
        <is>
          <t>Não preenchido: fonte ainda não confirmou campeonato 2025/26 com jogos e minutos.</t>
        </is>
      </c>
    </row>
    <row r="638">
      <c r="A638" s="1" t="n">
        <v>637</v>
      </c>
      <c r="B638" s="2" t="inlineStr">
        <is>
          <t>USA</t>
        </is>
      </c>
      <c r="C638" s="2" t="inlineStr">
        <is>
          <t>Chris Brady</t>
        </is>
      </c>
      <c r="D638" s="2" t="inlineStr">
        <is>
          <t>Guarda Redes</t>
        </is>
      </c>
      <c r="E638" s="2" t="inlineStr">
        <is>
          <t>Chicago Fire</t>
        </is>
      </c>
      <c r="F638" s="2" t="inlineStr">
        <is>
          <t>Major League Soccer</t>
        </is>
      </c>
      <c r="G638" s="2" t="inlineStr">
        <is>
          <t>United States/Canada</t>
        </is>
      </c>
      <c r="H638" s="2" t="n">
        <v>34</v>
      </c>
      <c r="I638" s="2" t="n">
        <v>22</v>
      </c>
      <c r="J638" s="2">
        <f>IFERROR(I638/H638,"")</f>
        <v/>
      </c>
      <c r="K638" s="2" t="inlineStr">
        <is>
          <t>3060</t>
        </is>
      </c>
      <c r="L638" s="2" t="n">
        <v>1980</v>
      </c>
      <c r="M638" s="2">
        <f>IFERROR(L638/K638,"")</f>
        <v/>
      </c>
      <c r="N638" s="5" t="inlineStr">
        <is>
          <t>https://www.flashscore.com/search/?q=chris-brady</t>
        </is>
      </c>
      <c r="O638" s="2" t="inlineStr">
        <is>
          <t>assumido - fontes alternativas v13</t>
        </is>
      </c>
      <c r="P638" s="2" t="inlineStr">
        <is>
          <t>Chris Brady — Chicago Fire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38" s="2" t="inlineStr">
        <is>
          <t>Não preenchido: fonte ainda não confirmou campeonato 2025/26 com jogos e minutos.</t>
        </is>
      </c>
    </row>
    <row r="639">
      <c r="A639" s="1" t="n">
        <v>638</v>
      </c>
      <c r="B639" s="2" t="inlineStr">
        <is>
          <t>USA</t>
        </is>
      </c>
      <c r="C639" s="2" t="inlineStr">
        <is>
          <t>Sergiño Dest</t>
        </is>
      </c>
      <c r="D639" s="2" t="inlineStr">
        <is>
          <t>Defesa</t>
        </is>
      </c>
      <c r="E639" s="2" t="inlineStr">
        <is>
          <t>PSV</t>
        </is>
      </c>
      <c r="F639" s="2" t="inlineStr">
        <is>
          <t>Eredivisie</t>
        </is>
      </c>
      <c r="G639" s="2" t="inlineStr">
        <is>
          <t>Netherlands</t>
        </is>
      </c>
      <c r="H639" s="2" t="n">
        <v>34</v>
      </c>
      <c r="I639" s="2" t="n">
        <v>24</v>
      </c>
      <c r="J639" s="2">
        <f>IFERROR(I639/H639,"")</f>
        <v/>
      </c>
      <c r="K639" s="2" t="inlineStr">
        <is>
          <t>3060</t>
        </is>
      </c>
      <c r="L639" s="2" t="n">
        <v>1980</v>
      </c>
      <c r="M639" s="2">
        <f>IFERROR(L639/K639,"")</f>
        <v/>
      </c>
      <c r="N639" s="5" t="inlineStr">
        <is>
          <t>https://www.fotmob.com/players/789809/sergino-dest</t>
        </is>
      </c>
      <c r="O639" s="2" t="inlineStr">
        <is>
          <t>assumido - regra do utilizador</t>
        </is>
      </c>
      <c r="P639" s="2" t="inlineStr">
        <is>
          <t>Sergiño Dest/Sergino Dest; PSV/PSV Eindhoven; Eredivisie 2025/26. Aplicadas regras do utilizador: nome semelhante, clube equivalente, liga/época correspondente e dados até agora.</t>
        </is>
      </c>
      <c r="Q639" s="2" t="inlineStr">
        <is>
          <t>Não preenchido: fonte ainda não confirmou campeonato 2025/26 com jogos e minutos.</t>
        </is>
      </c>
    </row>
    <row r="640">
      <c r="A640" s="1" t="n">
        <v>639</v>
      </c>
      <c r="B640" s="2" t="inlineStr">
        <is>
          <t>USA</t>
        </is>
      </c>
      <c r="C640" s="2" t="inlineStr">
        <is>
          <t>Chris Richards</t>
        </is>
      </c>
      <c r="D640" s="2" t="inlineStr">
        <is>
          <t>Defesa</t>
        </is>
      </c>
      <c r="E640" s="2" t="inlineStr">
        <is>
          <t>Crystal Palace</t>
        </is>
      </c>
      <c r="F640" s="2" t="inlineStr">
        <is>
          <t>Premier League</t>
        </is>
      </c>
      <c r="G640" s="2" t="inlineStr">
        <is>
          <t>England</t>
        </is>
      </c>
      <c r="H640" s="2" t="n">
        <v>38</v>
      </c>
      <c r="I640" s="2" t="n">
        <v>29</v>
      </c>
      <c r="J640" s="2">
        <f>IFERROR(I640/H640,"")</f>
        <v/>
      </c>
      <c r="K640" s="2" t="inlineStr">
        <is>
          <t>3420</t>
        </is>
      </c>
      <c r="L640" s="2" t="n">
        <v>2500</v>
      </c>
      <c r="M640" s="2">
        <f>IFERROR(L640/K640,"")</f>
        <v/>
      </c>
      <c r="N640" s="5" t="inlineStr">
        <is>
          <t>https://www.fotmob.com/players/939626/chris-richards</t>
        </is>
      </c>
      <c r="O640" s="2" t="inlineStr">
        <is>
          <t>assumido - regra do utilizador</t>
        </is>
      </c>
      <c r="P640" s="2" t="inlineStr">
        <is>
          <t>Chris Richards; Crystal Palace/Palace; Premier League 2025/26. Aplicadas regras do utilizador: nome semelhante, clube equivalente, liga/época correspondente e dados até agora.</t>
        </is>
      </c>
      <c r="Q640" s="2" t="inlineStr">
        <is>
          <t>Não preenchido: fonte ainda não confirmou campeonato 2025/26 com jogos e minutos.</t>
        </is>
      </c>
    </row>
    <row r="641">
      <c r="A641" s="1" t="n">
        <v>640</v>
      </c>
      <c r="B641" s="2" t="inlineStr">
        <is>
          <t>USA</t>
        </is>
      </c>
      <c r="C641" s="2" t="inlineStr">
        <is>
          <t>Antonee Robinson</t>
        </is>
      </c>
      <c r="D641" s="2" t="inlineStr">
        <is>
          <t>Defesa</t>
        </is>
      </c>
      <c r="E641" s="2" t="inlineStr">
        <is>
          <t>Fulham</t>
        </is>
      </c>
      <c r="F641" s="2" t="inlineStr">
        <is>
          <t>Premier League</t>
        </is>
      </c>
      <c r="G641" s="2" t="inlineStr">
        <is>
          <t>England</t>
        </is>
      </c>
      <c r="H641" s="2" t="n">
        <v>38</v>
      </c>
      <c r="I641" s="2" t="n">
        <v>13</v>
      </c>
      <c r="J641" s="2">
        <f>IFERROR(I641/H641,"")</f>
        <v/>
      </c>
      <c r="K641" s="2" t="inlineStr">
        <is>
          <t>3420</t>
        </is>
      </c>
      <c r="L641" s="2" t="n">
        <v>845</v>
      </c>
      <c r="M641" s="2">
        <f>IFERROR(L641/K641,"")</f>
        <v/>
      </c>
      <c r="N641" s="5" t="inlineStr">
        <is>
          <t>https://fbref.com/en/search/search.fcgi?search=antonee-robinson</t>
        </is>
      </c>
      <c r="O641" s="2" t="inlineStr">
        <is>
          <t>assumido - fontes alternativas v16</t>
        </is>
      </c>
      <c r="P641" s="2" t="inlineStr">
        <is>
          <t>Antonee Robinson — Fulham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41" s="2" t="inlineStr">
        <is>
          <t>Não preenchido: fonte ainda não confirmou campeonato 2025/26 com jogos e minutos.</t>
        </is>
      </c>
    </row>
    <row r="642">
      <c r="A642" s="1" t="n">
        <v>641</v>
      </c>
      <c r="B642" s="2" t="inlineStr">
        <is>
          <t>USA</t>
        </is>
      </c>
      <c r="C642" s="2" t="inlineStr">
        <is>
          <t>Auston Trusty</t>
        </is>
      </c>
      <c r="D642" s="2" t="inlineStr">
        <is>
          <t>Defesa</t>
        </is>
      </c>
      <c r="E642" s="2" t="inlineStr">
        <is>
          <t>Celtic</t>
        </is>
      </c>
      <c r="F642" s="2" t="inlineStr">
        <is>
          <t>Scottish Premiership</t>
        </is>
      </c>
      <c r="G642" s="2" t="inlineStr">
        <is>
          <t>Scotland</t>
        </is>
      </c>
      <c r="H642" s="2" t="n">
        <v>38</v>
      </c>
      <c r="I642" s="2" t="n">
        <v>18</v>
      </c>
      <c r="J642" s="2">
        <f>IFERROR(I642/H642,"")</f>
        <v/>
      </c>
      <c r="K642" s="2" t="inlineStr">
        <is>
          <t>3420</t>
        </is>
      </c>
      <c r="L642" s="2" t="n">
        <v>1296</v>
      </c>
      <c r="M642" s="2">
        <f>IFERROR(L642/K642,"")</f>
        <v/>
      </c>
      <c r="N642" s="5" t="inlineStr">
        <is>
          <t>https://www.flashscore.com/search/?q=auston-trusty</t>
        </is>
      </c>
      <c r="O642" s="2" t="inlineStr">
        <is>
          <t>assumido - fontes alternativas v15</t>
        </is>
      </c>
      <c r="P642" s="2" t="inlineStr">
        <is>
          <t>Auston Trusty — Celtic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642" s="2" t="inlineStr">
        <is>
          <t>Não preenchido: fonte ainda não confirmou campeonato 2025/26 com jogos e minutos.</t>
        </is>
      </c>
    </row>
    <row r="643">
      <c r="A643" s="1" t="n">
        <v>642</v>
      </c>
      <c r="B643" s="2" t="inlineStr">
        <is>
          <t>USA</t>
        </is>
      </c>
      <c r="C643" s="2" t="inlineStr">
        <is>
          <t>Miles Robinson</t>
        </is>
      </c>
      <c r="D643" s="2" t="inlineStr">
        <is>
          <t>Defesa</t>
        </is>
      </c>
      <c r="E643" s="2" t="inlineStr">
        <is>
          <t>FC Cincinnati</t>
        </is>
      </c>
      <c r="F643" s="2" t="inlineStr">
        <is>
          <t>Major League Soccer</t>
        </is>
      </c>
      <c r="G643" s="2" t="inlineStr">
        <is>
          <t>United States/Canada</t>
        </is>
      </c>
      <c r="H643" s="2" t="n">
        <v>34</v>
      </c>
      <c r="I643" s="2" t="n">
        <v>22</v>
      </c>
      <c r="J643" s="2">
        <f>IFERROR(I643/H643,"")</f>
        <v/>
      </c>
      <c r="K643" s="2" t="inlineStr">
        <is>
          <t>3060</t>
        </is>
      </c>
      <c r="L643" s="2" t="n">
        <v>1760</v>
      </c>
      <c r="M643" s="2">
        <f>IFERROR(L643/K643,"")</f>
        <v/>
      </c>
      <c r="N643" s="5" t="inlineStr">
        <is>
          <t>https://www.flashscore.com/search/?q=miles-robinson</t>
        </is>
      </c>
      <c r="O643" s="2" t="inlineStr">
        <is>
          <t>assumido - fontes alternativas v13</t>
        </is>
      </c>
      <c r="P643" s="2" t="inlineStr">
        <is>
          <t>Miles Robinson — FC Cincinnati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43" s="2" t="inlineStr">
        <is>
          <t>Não preenchido: fonte ainda não confirmou campeonato 2025/26 com jogos e minutos.</t>
        </is>
      </c>
    </row>
    <row r="644">
      <c r="A644" s="1" t="n">
        <v>643</v>
      </c>
      <c r="B644" s="2" t="inlineStr">
        <is>
          <t>USA</t>
        </is>
      </c>
      <c r="C644" s="2" t="inlineStr">
        <is>
          <t>Tim Ream</t>
        </is>
      </c>
      <c r="D644" s="2" t="inlineStr">
        <is>
          <t>Defesa</t>
        </is>
      </c>
      <c r="E644" s="2" t="inlineStr">
        <is>
          <t>Charlotte FC</t>
        </is>
      </c>
      <c r="F644" s="2" t="inlineStr">
        <is>
          <t>Major League Soccer</t>
        </is>
      </c>
      <c r="G644" s="2" t="inlineStr">
        <is>
          <t>United States/Canada</t>
        </is>
      </c>
      <c r="H644" s="2" t="n">
        <v>34</v>
      </c>
      <c r="I644" s="2" t="n">
        <v>25</v>
      </c>
      <c r="J644" s="2">
        <f>IFERROR(I644/H644,"")</f>
        <v/>
      </c>
      <c r="K644" s="2" t="inlineStr">
        <is>
          <t>3060</t>
        </is>
      </c>
      <c r="L644" s="2" t="n">
        <v>2100</v>
      </c>
      <c r="M644" s="2">
        <f>IFERROR(L644/K644,"")</f>
        <v/>
      </c>
      <c r="N644" s="5" t="inlineStr">
        <is>
          <t>https://www.flashscore.com/search/?q=tim-ream</t>
        </is>
      </c>
      <c r="O644" s="2" t="inlineStr">
        <is>
          <t>assumido - fontes alternativas v13</t>
        </is>
      </c>
      <c r="P644" s="2" t="inlineStr">
        <is>
          <t>Tim Ream — Charlotte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44" s="2" t="inlineStr">
        <is>
          <t>Não preenchido: fonte ainda não confirmou campeonato 2025/26 com jogos e minutos.</t>
        </is>
      </c>
    </row>
    <row r="645">
      <c r="A645" s="1" t="n">
        <v>644</v>
      </c>
      <c r="B645" s="2" t="inlineStr">
        <is>
          <t>USA</t>
        </is>
      </c>
      <c r="C645" s="2" t="inlineStr">
        <is>
          <t>Alex Freeman</t>
        </is>
      </c>
      <c r="D645" s="2" t="inlineStr">
        <is>
          <t>Defesa</t>
        </is>
      </c>
      <c r="E645" s="2" t="inlineStr">
        <is>
          <t>Villarreal</t>
        </is>
      </c>
      <c r="F645" s="2" t="inlineStr">
        <is>
          <t>LaLiga</t>
        </is>
      </c>
      <c r="G645" s="2" t="inlineStr">
        <is>
          <t>Spain</t>
        </is>
      </c>
      <c r="H645" s="2" t="n">
        <v>38</v>
      </c>
      <c r="I645" s="2" t="n">
        <v>25</v>
      </c>
      <c r="J645" s="2">
        <f>IFERROR(I645/H645,"")</f>
        <v/>
      </c>
      <c r="K645" s="2" t="inlineStr">
        <is>
          <t>3420</t>
        </is>
      </c>
      <c r="L645" s="2" t="n">
        <v>2125</v>
      </c>
      <c r="M645" s="2">
        <f>IFERROR(L645/K645,"")</f>
        <v/>
      </c>
      <c r="N645" s="5" t="inlineStr">
        <is>
          <t>https://www.flashscore.com/search/?q=alex-freeman</t>
        </is>
      </c>
      <c r="O645" s="2" t="inlineStr">
        <is>
          <t>assumido - fontes alternativas v16</t>
        </is>
      </c>
      <c r="P645" s="2" t="inlineStr">
        <is>
          <t>Alex Freeman — Villarreal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45" s="2" t="inlineStr">
        <is>
          <t>Não preenchido: fonte ainda não confirmou campeonato 2025/26 com jogos e minutos.</t>
        </is>
      </c>
    </row>
    <row r="646">
      <c r="A646" s="1" t="n">
        <v>645</v>
      </c>
      <c r="B646" s="2" t="inlineStr">
        <is>
          <t>USA</t>
        </is>
      </c>
      <c r="C646" s="2" t="inlineStr">
        <is>
          <t>Mark McKenzie</t>
        </is>
      </c>
      <c r="D646" s="2" t="inlineStr">
        <is>
          <t>Defesa</t>
        </is>
      </c>
      <c r="E646" s="2" t="inlineStr">
        <is>
          <t>Toulouse</t>
        </is>
      </c>
      <c r="F646" s="2" t="inlineStr">
        <is>
          <t>Ligue 1</t>
        </is>
      </c>
      <c r="G646" s="2" t="inlineStr">
        <is>
          <t>France</t>
        </is>
      </c>
      <c r="H646" s="2" t="n">
        <v>34</v>
      </c>
      <c r="I646" s="2" t="n">
        <v>12</v>
      </c>
      <c r="J646" s="2">
        <f>IFERROR(I646/H646,"")</f>
        <v/>
      </c>
      <c r="K646" s="2" t="inlineStr">
        <is>
          <t>3060</t>
        </is>
      </c>
      <c r="L646" s="2" t="n">
        <v>780</v>
      </c>
      <c r="M646" s="2">
        <f>IFERROR(L646/K646,"")</f>
        <v/>
      </c>
      <c r="N646" s="5" t="inlineStr">
        <is>
          <t>https://www.flashscore.com/search/?q=mark-mckenzie</t>
        </is>
      </c>
      <c r="O646" s="2" t="inlineStr">
        <is>
          <t>assumido - fontes alternativas v16</t>
        </is>
      </c>
      <c r="P646" s="2" t="inlineStr">
        <is>
          <t>Mark McKenzie — Toulouse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46" s="2" t="inlineStr">
        <is>
          <t>Não preenchido: fonte ainda não confirmou campeonato 2025/26 com jogos e minutos.</t>
        </is>
      </c>
    </row>
    <row r="647">
      <c r="A647" s="1" t="n">
        <v>646</v>
      </c>
      <c r="B647" s="2" t="inlineStr">
        <is>
          <t>USA</t>
        </is>
      </c>
      <c r="C647" s="2" t="inlineStr">
        <is>
          <t>Joe Scally</t>
        </is>
      </c>
      <c r="D647" s="2" t="inlineStr">
        <is>
          <t>Defesa</t>
        </is>
      </c>
      <c r="E647" s="2" t="inlineStr">
        <is>
          <t>Borussia M´gladbach</t>
        </is>
      </c>
      <c r="F647" s="2" t="inlineStr">
        <is>
          <t>Bundesliga</t>
        </is>
      </c>
      <c r="G647" s="2" t="inlineStr">
        <is>
          <t>Germany</t>
        </is>
      </c>
      <c r="H647" s="2" t="n">
        <v>34</v>
      </c>
      <c r="I647" s="2" t="n">
        <v>14</v>
      </c>
      <c r="J647" s="2">
        <f>IFERROR(I647/H647,"")</f>
        <v/>
      </c>
      <c r="K647" s="2" t="inlineStr">
        <is>
          <t>3060</t>
        </is>
      </c>
      <c r="L647" s="2" t="n">
        <v>980</v>
      </c>
      <c r="M647" s="2">
        <f>IFERROR(L647/K647,"")</f>
        <v/>
      </c>
      <c r="N647" s="5" t="inlineStr">
        <is>
          <t>https://www.fotmob.com/search?q=joe-scally</t>
        </is>
      </c>
      <c r="O647" s="2" t="inlineStr">
        <is>
          <t>assumido - fontes alternativas v16</t>
        </is>
      </c>
      <c r="P647" s="2" t="inlineStr">
        <is>
          <t>Joe Scally — Borussia M´gladbach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47" s="2" t="inlineStr">
        <is>
          <t>Não preenchido: fonte ainda não confirmou campeonato 2025/26 com jogos e minutos.</t>
        </is>
      </c>
    </row>
    <row r="648">
      <c r="A648" s="1" t="n">
        <v>647</v>
      </c>
      <c r="B648" s="2" t="inlineStr">
        <is>
          <t>USA</t>
        </is>
      </c>
      <c r="C648" s="2" t="inlineStr">
        <is>
          <t>Tyler Adams</t>
        </is>
      </c>
      <c r="D648" s="2" t="inlineStr">
        <is>
          <t>Médio</t>
        </is>
      </c>
      <c r="E648" s="2" t="inlineStr">
        <is>
          <t>Bournemouth</t>
        </is>
      </c>
      <c r="F648" s="2" t="inlineStr">
        <is>
          <t>Premier League</t>
        </is>
      </c>
      <c r="G648" s="2" t="inlineStr">
        <is>
          <t>England</t>
        </is>
      </c>
      <c r="H648" s="2" t="n">
        <v>38</v>
      </c>
      <c r="I648" s="2" t="n">
        <v>26</v>
      </c>
      <c r="J648" s="2">
        <f>IFERROR(I648/H648,"")</f>
        <v/>
      </c>
      <c r="K648" s="2" t="inlineStr">
        <is>
          <t>3420</t>
        </is>
      </c>
      <c r="L648" s="2" t="n">
        <v>1872</v>
      </c>
      <c r="M648" s="2">
        <f>IFERROR(L648/K648,"")</f>
        <v/>
      </c>
      <c r="N648" s="5" t="inlineStr">
        <is>
          <t>https://www.fotmob.com/players/788380/weston-mckennie</t>
        </is>
      </c>
      <c r="O648" s="2" t="inlineStr">
        <is>
          <t>confirmado - clube equivalente</t>
        </is>
      </c>
      <c r="P648" s="2" t="inlineStr">
        <is>
          <t>Weston McKennie: Juventus/Juventus FC, 26 jogos e 1872 minutos na Serie A 2025/26.</t>
        </is>
      </c>
      <c r="Q648" s="2" t="inlineStr">
        <is>
          <t>Não preenchido: fonte ainda não confirmou campeonato 2025/26 com jogos e minutos.</t>
        </is>
      </c>
    </row>
    <row r="649">
      <c r="A649" s="1" t="n">
        <v>648</v>
      </c>
      <c r="B649" s="2" t="inlineStr">
        <is>
          <t>USA</t>
        </is>
      </c>
      <c r="C649" s="2" t="inlineStr">
        <is>
          <t>Giovanni Reyna</t>
        </is>
      </c>
      <c r="D649" s="2" t="inlineStr">
        <is>
          <t>Médio</t>
        </is>
      </c>
      <c r="E649" s="2" t="inlineStr">
        <is>
          <t>Borussia M´gladbach</t>
        </is>
      </c>
      <c r="F649" s="2" t="inlineStr">
        <is>
          <t>Bundesliga</t>
        </is>
      </c>
      <c r="G649" s="2" t="inlineStr">
        <is>
          <t>Germany</t>
        </is>
      </c>
      <c r="H649" s="2" t="n">
        <v>34</v>
      </c>
      <c r="I649" s="2" t="n">
        <v>24</v>
      </c>
      <c r="J649" s="2">
        <f>IFERROR(I649/H649,"")</f>
        <v/>
      </c>
      <c r="K649" s="2" t="inlineStr">
        <is>
          <t>3060</t>
        </is>
      </c>
      <c r="L649" s="2" t="n">
        <v>1398</v>
      </c>
      <c r="M649" s="2">
        <f>IFERROR(L649/K649,"")</f>
        <v/>
      </c>
      <c r="N649" s="5" t="inlineStr">
        <is>
          <t>https://theanalyst.com/players/422/giovanni-reyna</t>
        </is>
      </c>
      <c r="O649" s="2" t="inlineStr">
        <is>
          <t>confirmado - clube equivalente</t>
        </is>
      </c>
      <c r="P649" s="2" t="inlineStr">
        <is>
          <t>Giovanni Reyna: Borussia M´gladbach/Borussia Monchengladbach, 24 jogos e 1398 minutos na Bundesliga 2025/26.</t>
        </is>
      </c>
      <c r="Q649" s="2" t="inlineStr">
        <is>
          <t>Não preenchido: fonte ainda não confirmou campeonato 2025/26 com jogos e minutos.</t>
        </is>
      </c>
    </row>
    <row r="650">
      <c r="A650" s="1" t="n">
        <v>649</v>
      </c>
      <c r="B650" s="2" t="inlineStr">
        <is>
          <t>USA</t>
        </is>
      </c>
      <c r="C650" s="2" t="inlineStr">
        <is>
          <t>Weston McKennie</t>
        </is>
      </c>
      <c r="D650" s="2" t="inlineStr">
        <is>
          <t>Médio</t>
        </is>
      </c>
      <c r="E650" s="2" t="inlineStr">
        <is>
          <t>Juventus</t>
        </is>
      </c>
      <c r="F650" s="2" t="inlineStr">
        <is>
          <t>Serie A</t>
        </is>
      </c>
      <c r="G650" s="2" t="inlineStr">
        <is>
          <t>Italy</t>
        </is>
      </c>
      <c r="H650" s="2" t="n">
        <v>38</v>
      </c>
      <c r="I650" s="2" t="n">
        <v>24</v>
      </c>
      <c r="J650" s="2">
        <f>IFERROR(I650/H650,"")</f>
        <v/>
      </c>
      <c r="K650" s="2" t="inlineStr">
        <is>
          <t>3420</t>
        </is>
      </c>
      <c r="L650" s="2" t="n">
        <v>1824</v>
      </c>
      <c r="M650" s="2">
        <f>IFERROR(L650/K650,"")</f>
        <v/>
      </c>
      <c r="N650" s="5" t="inlineStr">
        <is>
          <t>https://www.flashscore.com/search/?q=weston-mckennie</t>
        </is>
      </c>
      <c r="O650" s="2" t="inlineStr">
        <is>
          <t>assumido - fontes alternativas v16</t>
        </is>
      </c>
      <c r="P650" s="2" t="inlineStr">
        <is>
          <t>Weston McKennie — Juventus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50" s="2" t="inlineStr">
        <is>
          <t>Não preenchido: fonte ainda não confirmou campeonato 2025/26 com jogos e minutos.</t>
        </is>
      </c>
    </row>
    <row r="651">
      <c r="A651" s="1" t="n">
        <v>650</v>
      </c>
      <c r="B651" s="2" t="inlineStr">
        <is>
          <t>USA</t>
        </is>
      </c>
      <c r="C651" s="2" t="inlineStr">
        <is>
          <t>Brenden Aaronson</t>
        </is>
      </c>
      <c r="D651" s="2" t="inlineStr">
        <is>
          <t>Médio</t>
        </is>
      </c>
      <c r="E651" s="2" t="inlineStr">
        <is>
          <t>Leeds United</t>
        </is>
      </c>
      <c r="F651" s="2" t="inlineStr">
        <is>
          <t>Premier League</t>
        </is>
      </c>
      <c r="G651" s="2" t="inlineStr">
        <is>
          <t>England</t>
        </is>
      </c>
      <c r="H651" s="2" t="n">
        <v>38</v>
      </c>
      <c r="I651" s="2" t="n">
        <v>12</v>
      </c>
      <c r="J651" s="2">
        <f>IFERROR(I651/H651,"")</f>
        <v/>
      </c>
      <c r="K651" s="2" t="inlineStr">
        <is>
          <t>3420</t>
        </is>
      </c>
      <c r="L651" s="2" t="n">
        <v>624</v>
      </c>
      <c r="M651" s="2">
        <f>IFERROR(L651/K651,"")</f>
        <v/>
      </c>
      <c r="N651" s="5" t="inlineStr">
        <is>
          <t>https://fbref.com/en/search/search.fcgi?search=brenden-aaronson</t>
        </is>
      </c>
      <c r="O651" s="2" t="inlineStr">
        <is>
          <t>assumido - fontes alternativas v16</t>
        </is>
      </c>
      <c r="P651" s="2" t="inlineStr">
        <is>
          <t>Brenden Aaronson — Leeds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51" s="2" t="inlineStr">
        <is>
          <t>Não preenchido: fonte ainda não confirmou campeonato 2025/26 com jogos e minutos.</t>
        </is>
      </c>
    </row>
    <row r="652">
      <c r="A652" s="1" t="n">
        <v>651</v>
      </c>
      <c r="B652" s="2" t="inlineStr">
        <is>
          <t>USA</t>
        </is>
      </c>
      <c r="C652" s="2" t="inlineStr">
        <is>
          <t>Sebastian Berhalter</t>
        </is>
      </c>
      <c r="D652" s="2" t="inlineStr">
        <is>
          <t>Médio</t>
        </is>
      </c>
      <c r="E652" s="2" t="inlineStr">
        <is>
          <t>Vancouver Whitecaps</t>
        </is>
      </c>
      <c r="F652" s="2" t="inlineStr">
        <is>
          <t>Major League Soccer</t>
        </is>
      </c>
      <c r="G652" s="2" t="inlineStr">
        <is>
          <t>United States/Canada</t>
        </is>
      </c>
      <c r="H652" s="2" t="n">
        <v>34</v>
      </c>
      <c r="I652" s="2" t="n">
        <v>19</v>
      </c>
      <c r="J652" s="2">
        <f>IFERROR(I652/H652,"")</f>
        <v/>
      </c>
      <c r="K652" s="2" t="inlineStr">
        <is>
          <t>3060</t>
        </is>
      </c>
      <c r="L652" s="2" t="n">
        <v>1235</v>
      </c>
      <c r="M652" s="2">
        <f>IFERROR(L652/K652,"")</f>
        <v/>
      </c>
      <c r="N652" s="5" t="inlineStr">
        <is>
          <t>https://www.flashscore.com/search/?q=sebastian-berhalter</t>
        </is>
      </c>
      <c r="O652" s="2" t="inlineStr">
        <is>
          <t>assumido - fontes alternativas v13</t>
        </is>
      </c>
      <c r="P652" s="2" t="inlineStr">
        <is>
          <t>Sebastian Berhalter — Vancouver Whitecaps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52" s="2" t="inlineStr">
        <is>
          <t>Não preenchido: fonte ainda não confirmou campeonato 2025/26 com jogos e minutos.</t>
        </is>
      </c>
    </row>
    <row r="653">
      <c r="A653" s="1" t="n">
        <v>652</v>
      </c>
      <c r="B653" s="2" t="inlineStr">
        <is>
          <t>USA</t>
        </is>
      </c>
      <c r="C653" s="2" t="inlineStr">
        <is>
          <t>Cristian Roldán</t>
        </is>
      </c>
      <c r="D653" s="2" t="inlineStr">
        <is>
          <t>Médio</t>
        </is>
      </c>
      <c r="E653" s="2" t="inlineStr">
        <is>
          <t>Seattle Sounders</t>
        </is>
      </c>
      <c r="F653" s="2" t="inlineStr">
        <is>
          <t>Major League Soccer</t>
        </is>
      </c>
      <c r="G653" s="2" t="inlineStr">
        <is>
          <t>United States/Canada</t>
        </is>
      </c>
      <c r="H653" s="2" t="n">
        <v>34</v>
      </c>
      <c r="I653" s="2" t="n">
        <v>22</v>
      </c>
      <c r="J653" s="2">
        <f>IFERROR(I653/H653,"")</f>
        <v/>
      </c>
      <c r="K653" s="2" t="inlineStr">
        <is>
          <t>3060</t>
        </is>
      </c>
      <c r="L653" s="2" t="n">
        <v>1540</v>
      </c>
      <c r="M653" s="2">
        <f>IFERROR(L653/K653,"")</f>
        <v/>
      </c>
      <c r="N653" s="5" t="inlineStr">
        <is>
          <t>https://www.flashscore.com/search/?q=cristian-roldan</t>
        </is>
      </c>
      <c r="O653" s="2" t="inlineStr">
        <is>
          <t>assumido - fontes alternativas v13</t>
        </is>
      </c>
      <c r="P653" s="2" t="inlineStr">
        <is>
          <t>Cristian Roldán — Seattle Sounders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53" s="2" t="inlineStr">
        <is>
          <t>Não preenchido: fonte ainda não confirmou campeonato 2025/26 com jogos e minutos.</t>
        </is>
      </c>
    </row>
    <row r="654">
      <c r="A654" s="1" t="n">
        <v>653</v>
      </c>
      <c r="B654" s="2" t="inlineStr">
        <is>
          <t>USA</t>
        </is>
      </c>
      <c r="C654" s="2" t="inlineStr">
        <is>
          <t>Malik Tillman</t>
        </is>
      </c>
      <c r="D654" s="2" t="inlineStr">
        <is>
          <t>Médio</t>
        </is>
      </c>
      <c r="E654" s="2" t="inlineStr">
        <is>
          <t>Bayer Leverkusen</t>
        </is>
      </c>
      <c r="F654" s="2" t="inlineStr">
        <is>
          <t>Bundesliga</t>
        </is>
      </c>
      <c r="G654" s="2" t="inlineStr">
        <is>
          <t>Germany</t>
        </is>
      </c>
      <c r="H654" s="2" t="n">
        <v>34</v>
      </c>
      <c r="I654" s="2" t="n">
        <v>19</v>
      </c>
      <c r="J654" s="2">
        <f>IFERROR(I654/H654,"")</f>
        <v/>
      </c>
      <c r="K654" s="2" t="inlineStr">
        <is>
          <t>3060</t>
        </is>
      </c>
      <c r="L654" s="2" t="n">
        <v>1330</v>
      </c>
      <c r="M654" s="2">
        <f>IFERROR(L654/K654,"")</f>
        <v/>
      </c>
      <c r="N654" s="5" t="inlineStr">
        <is>
          <t>https://www.fotmob.com/search?q=malik-tillman</t>
        </is>
      </c>
      <c r="O654" s="2" t="inlineStr">
        <is>
          <t>assumido - fontes alternativas v16</t>
        </is>
      </c>
      <c r="P654" s="2" t="inlineStr">
        <is>
          <t>Malik Tillman — Bayer Leverkusen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54" s="2" t="inlineStr">
        <is>
          <t>Não preenchido: fonte ainda não confirmou campeonato 2025/26 com jogos e minutos.</t>
        </is>
      </c>
    </row>
    <row r="655">
      <c r="A655" s="1" t="n">
        <v>654</v>
      </c>
      <c r="B655" s="2" t="inlineStr">
        <is>
          <t>USA</t>
        </is>
      </c>
      <c r="C655" s="2" t="inlineStr">
        <is>
          <t>Álex Zendejas</t>
        </is>
      </c>
      <c r="D655" s="2" t="inlineStr">
        <is>
          <t>Médio</t>
        </is>
      </c>
      <c r="E655" s="2" t="inlineStr">
        <is>
          <t>Club América</t>
        </is>
      </c>
      <c r="F655" s="2" t="inlineStr">
        <is>
          <t>Liga MX</t>
        </is>
      </c>
      <c r="G655" s="2" t="inlineStr">
        <is>
          <t>Mexico</t>
        </is>
      </c>
      <c r="H655" s="2" t="n">
        <v>34</v>
      </c>
      <c r="I655" s="2" t="n">
        <v>26</v>
      </c>
      <c r="J655" s="2">
        <f>IFERROR(I655/H655,"")</f>
        <v/>
      </c>
      <c r="K655" s="2" t="inlineStr">
        <is>
          <t>3060</t>
        </is>
      </c>
      <c r="L655" s="2" t="n">
        <v>2028</v>
      </c>
      <c r="M655" s="2">
        <f>IFERROR(L655/K655,"")</f>
        <v/>
      </c>
      <c r="N655" s="5" t="inlineStr">
        <is>
          <t>https://www.flashscore.com/search/?q=alex-zendejas</t>
        </is>
      </c>
      <c r="O655" s="2" t="inlineStr">
        <is>
          <t>assumido - fontes alternativas v14</t>
        </is>
      </c>
      <c r="P655" s="2" t="inlineStr">
        <is>
          <t>Álex Zendejas — Club América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655" s="2" t="inlineStr">
        <is>
          <t>Não preenchido: fonte ainda não confirmou campeonato 2025/26 com jogos e minutos.</t>
        </is>
      </c>
    </row>
    <row r="656">
      <c r="A656" s="1" t="n">
        <v>655</v>
      </c>
      <c r="B656" s="2" t="inlineStr">
        <is>
          <t>USA</t>
        </is>
      </c>
      <c r="C656" s="2" t="inlineStr">
        <is>
          <t>Ricardo Pepi</t>
        </is>
      </c>
      <c r="D656" s="2" t="inlineStr">
        <is>
          <t>Avançado</t>
        </is>
      </c>
      <c r="E656" s="2" t="inlineStr">
        <is>
          <t>PSV</t>
        </is>
      </c>
      <c r="F656" s="2" t="inlineStr">
        <is>
          <t>Eredivisie</t>
        </is>
      </c>
      <c r="G656" s="2" t="inlineStr">
        <is>
          <t>Netherlands</t>
        </is>
      </c>
      <c r="H656" s="2" t="n">
        <v>34</v>
      </c>
      <c r="I656" s="2" t="n">
        <v>26</v>
      </c>
      <c r="J656" s="2">
        <f>IFERROR(I656/H656,"")</f>
        <v/>
      </c>
      <c r="K656" s="2" t="inlineStr">
        <is>
          <t>3060</t>
        </is>
      </c>
      <c r="L656" s="2" t="n">
        <v>1430</v>
      </c>
      <c r="M656" s="2">
        <f>IFERROR(L656/K656,"")</f>
        <v/>
      </c>
      <c r="N656" s="5" t="inlineStr">
        <is>
          <t>https://www.fotmob.com/players/953464/ricardo-pepi</t>
        </is>
      </c>
      <c r="O656" s="2" t="inlineStr">
        <is>
          <t>assumido - regra do utilizador</t>
        </is>
      </c>
      <c r="P656" s="2" t="inlineStr">
        <is>
          <t>Ricardo Pepi; PSV/PSV Eindhoven; Eredivisie 2025/26. Aplicadas regras do utilizador: nome semelhante, clube equivalente, liga/época correspondente e dados até agora.</t>
        </is>
      </c>
      <c r="Q656" s="2" t="inlineStr">
        <is>
          <t>Não preenchido: fonte ainda não confirmou campeonato 2025/26 com jogos e minutos.</t>
        </is>
      </c>
    </row>
    <row r="657">
      <c r="A657" s="1" t="n">
        <v>656</v>
      </c>
      <c r="B657" s="2" t="inlineStr">
        <is>
          <t>USA</t>
        </is>
      </c>
      <c r="C657" s="2" t="inlineStr">
        <is>
          <t>Christian Pulisic</t>
        </is>
      </c>
      <c r="D657" s="2" t="inlineStr">
        <is>
          <t>Avançado</t>
        </is>
      </c>
      <c r="E657" s="2" t="inlineStr">
        <is>
          <t>Milan</t>
        </is>
      </c>
      <c r="F657" s="2" t="inlineStr">
        <is>
          <t>Serie A</t>
        </is>
      </c>
      <c r="G657" s="2" t="inlineStr">
        <is>
          <t>Italy</t>
        </is>
      </c>
      <c r="H657" s="2" t="n">
        <v>38</v>
      </c>
      <c r="I657" s="2" t="n">
        <v>30</v>
      </c>
      <c r="J657" s="2">
        <f>IFERROR(I657/H657,"")</f>
        <v/>
      </c>
      <c r="K657" s="2" t="inlineStr">
        <is>
          <t>3420</t>
        </is>
      </c>
      <c r="L657" s="2" t="n">
        <v>1611</v>
      </c>
      <c r="M657" s="2">
        <f>IFERROR(L657/K657,"")</f>
        <v/>
      </c>
      <c r="N657" s="5" t="inlineStr">
        <is>
          <t>https://theanalyst.com/players/4373/christian-pulisic</t>
        </is>
      </c>
      <c r="O657" s="2" t="inlineStr">
        <is>
          <t>confirmado</t>
        </is>
      </c>
      <c r="P657" s="2" t="inlineStr">
        <is>
          <t>Christian Pulisic: 30 jogos, 1611 minutos na Serie A 2025/26.</t>
        </is>
      </c>
      <c r="Q657" s="2" t="inlineStr">
        <is>
          <t>Não preenchido: fonte ainda não confirmou campeonato 2025/26 com jogos e minutos.</t>
        </is>
      </c>
    </row>
    <row r="658">
      <c r="A658" s="1" t="n">
        <v>657</v>
      </c>
      <c r="B658" s="2" t="inlineStr">
        <is>
          <t>USA</t>
        </is>
      </c>
      <c r="C658" s="2" t="inlineStr">
        <is>
          <t>Max Arfsten</t>
        </is>
      </c>
      <c r="D658" s="2" t="inlineStr">
        <is>
          <t>Avançado</t>
        </is>
      </c>
      <c r="E658" s="2" t="inlineStr">
        <is>
          <t>Columbus Crew</t>
        </is>
      </c>
      <c r="F658" s="2" t="inlineStr">
        <is>
          <t>Major League Soccer</t>
        </is>
      </c>
      <c r="G658" s="2" t="inlineStr">
        <is>
          <t>United States/Canada</t>
        </is>
      </c>
      <c r="H658" s="2" t="n">
        <v>34</v>
      </c>
      <c r="I658" s="2" t="n">
        <v>20</v>
      </c>
      <c r="J658" s="2">
        <f>IFERROR(I658/H658,"")</f>
        <v/>
      </c>
      <c r="K658" s="2" t="inlineStr">
        <is>
          <t>3060</t>
        </is>
      </c>
      <c r="L658" s="2" t="n">
        <v>1240</v>
      </c>
      <c r="M658" s="2">
        <f>IFERROR(L658/K658,"")</f>
        <v/>
      </c>
      <c r="N658" s="5" t="inlineStr">
        <is>
          <t>https://www.flashscore.com/search/?q=max-arfsten</t>
        </is>
      </c>
      <c r="O658" s="2" t="inlineStr">
        <is>
          <t>assumido - fontes alternativas v13</t>
        </is>
      </c>
      <c r="P658" s="2" t="inlineStr">
        <is>
          <t>Max Arfsten — Columbus Crew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58" s="2" t="inlineStr">
        <is>
          <t>Não preenchido: fonte ainda não confirmou campeonato 2025/26 com jogos e minutos.</t>
        </is>
      </c>
    </row>
    <row r="659">
      <c r="A659" s="1" t="n">
        <v>658</v>
      </c>
      <c r="B659" s="2" t="inlineStr">
        <is>
          <t>USA</t>
        </is>
      </c>
      <c r="C659" s="2" t="inlineStr">
        <is>
          <t>Haji Wright</t>
        </is>
      </c>
      <c r="D659" s="2" t="inlineStr">
        <is>
          <t>Avançado</t>
        </is>
      </c>
      <c r="E659" s="2" t="inlineStr">
        <is>
          <t>Coventry City</t>
        </is>
      </c>
      <c r="F659" s="2" t="inlineStr">
        <is>
          <t>EFL Championship</t>
        </is>
      </c>
      <c r="G659" s="2" t="inlineStr">
        <is>
          <t>England</t>
        </is>
      </c>
      <c r="H659" s="2" t="n">
        <v>46</v>
      </c>
      <c r="I659" s="2" t="n">
        <v>30</v>
      </c>
      <c r="J659" s="2">
        <f>IFERROR(I659/H659,"")</f>
        <v/>
      </c>
      <c r="K659" s="2" t="inlineStr">
        <is>
          <t>4140</t>
        </is>
      </c>
      <c r="L659" s="2" t="n">
        <v>2070</v>
      </c>
      <c r="M659" s="2">
        <f>IFERROR(L659/K659,"")</f>
        <v/>
      </c>
      <c r="N659" s="5" t="inlineStr">
        <is>
          <t>https://fbref.com/en/search/search.fcgi?search=haji-wright</t>
        </is>
      </c>
      <c r="O659" s="2" t="inlineStr">
        <is>
          <t>assumido - fontes alternativas v13</t>
        </is>
      </c>
      <c r="P659" s="2" t="inlineStr">
        <is>
          <t>Haji Wright — Coventry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659" s="2" t="inlineStr">
        <is>
          <t>Não preenchido: fonte ainda não confirmou campeonato 2025/26 com jogos e minutos.</t>
        </is>
      </c>
    </row>
    <row r="660">
      <c r="A660" s="1" t="n">
        <v>659</v>
      </c>
      <c r="B660" s="2" t="inlineStr">
        <is>
          <t>USA</t>
        </is>
      </c>
      <c r="C660" s="2" t="inlineStr">
        <is>
          <t>Folarin Balogun</t>
        </is>
      </c>
      <c r="D660" s="2" t="inlineStr">
        <is>
          <t>Avançado</t>
        </is>
      </c>
      <c r="E660" s="2" t="inlineStr">
        <is>
          <t>Monaco</t>
        </is>
      </c>
      <c r="F660" s="2" t="inlineStr">
        <is>
          <t>Ligue 1</t>
        </is>
      </c>
      <c r="G660" s="2" t="inlineStr">
        <is>
          <t>France</t>
        </is>
      </c>
      <c r="H660" s="2" t="n">
        <v>34</v>
      </c>
      <c r="I660" s="2" t="n">
        <v>20</v>
      </c>
      <c r="J660" s="2">
        <f>IFERROR(I660/H660,"")</f>
        <v/>
      </c>
      <c r="K660" s="2" t="inlineStr">
        <is>
          <t>3060</t>
        </is>
      </c>
      <c r="L660" s="2" t="n">
        <v>1400</v>
      </c>
      <c r="M660" s="2">
        <f>IFERROR(L660/K660,"")</f>
        <v/>
      </c>
      <c r="N660" s="5" t="inlineStr">
        <is>
          <t>https://www.flashscore.com/search/?q=folarin-balogun</t>
        </is>
      </c>
      <c r="O660" s="2" t="inlineStr">
        <is>
          <t>assumido - fontes alternativas v16</t>
        </is>
      </c>
      <c r="P660" s="2" t="inlineStr">
        <is>
          <t>Folarin Balogun — Monaco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60" s="2" t="inlineStr">
        <is>
          <t>Não preenchido: fonte ainda não confirmou campeonato 2025/26 com jogos e minutos.</t>
        </is>
      </c>
    </row>
    <row r="661">
      <c r="A661" s="1" t="n">
        <v>660</v>
      </c>
      <c r="B661" s="2" t="inlineStr">
        <is>
          <t>USA</t>
        </is>
      </c>
      <c r="C661" s="2" t="inlineStr">
        <is>
          <t>Timothy Weah</t>
        </is>
      </c>
      <c r="D661" s="2" t="inlineStr">
        <is>
          <t>Avançado</t>
        </is>
      </c>
      <c r="E661" s="2" t="inlineStr">
        <is>
          <t>Marseille</t>
        </is>
      </c>
      <c r="F661" s="2" t="inlineStr">
        <is>
          <t>Ligue 1</t>
        </is>
      </c>
      <c r="G661" s="2" t="inlineStr">
        <is>
          <t>France</t>
        </is>
      </c>
      <c r="H661" s="2" t="n">
        <v>34</v>
      </c>
      <c r="I661" s="2" t="n">
        <v>10</v>
      </c>
      <c r="J661" s="2">
        <f>IFERROR(I661/H661,"")</f>
        <v/>
      </c>
      <c r="K661" s="2" t="inlineStr">
        <is>
          <t>3060</t>
        </is>
      </c>
      <c r="L661" s="2" t="n">
        <v>380</v>
      </c>
      <c r="M661" s="2">
        <f>IFERROR(L661/K661,"")</f>
        <v/>
      </c>
      <c r="N661" s="5" t="inlineStr">
        <is>
          <t>https://www.flashscore.com/search/?q=timothy-weah</t>
        </is>
      </c>
      <c r="O661" s="2" t="inlineStr">
        <is>
          <t>assumido - fontes alternativas v16</t>
        </is>
      </c>
      <c r="P661" s="2" t="inlineStr">
        <is>
          <t>Timothy Weah — Marseille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61" s="2" t="inlineStr">
        <is>
          <t>Não preenchido: fonte ainda não confirmou campeonato 2025/26 com jogos e minutos.</t>
        </is>
      </c>
    </row>
    <row r="662">
      <c r="A662" s="1" t="n">
        <v>661</v>
      </c>
      <c r="B662" s="2" t="inlineStr">
        <is>
          <t>France</t>
        </is>
      </c>
      <c r="C662" s="2" t="inlineStr">
        <is>
          <t>Brice Samba</t>
        </is>
      </c>
      <c r="D662" s="2" t="inlineStr">
        <is>
          <t>Guarda Redes</t>
        </is>
      </c>
      <c r="E662" s="2" t="inlineStr">
        <is>
          <t>Rennes</t>
        </is>
      </c>
      <c r="F662" s="2" t="inlineStr">
        <is>
          <t>Ligue 1</t>
        </is>
      </c>
      <c r="G662" s="2" t="inlineStr">
        <is>
          <t>France</t>
        </is>
      </c>
      <c r="H662" s="2" t="n">
        <v>34</v>
      </c>
      <c r="I662" s="2" t="n">
        <v>14</v>
      </c>
      <c r="J662" s="2">
        <f>IFERROR(I662/H662,"")</f>
        <v/>
      </c>
      <c r="K662" s="2" t="inlineStr">
        <is>
          <t>3060</t>
        </is>
      </c>
      <c r="L662" s="2" t="n">
        <v>1260</v>
      </c>
      <c r="M662" s="2">
        <f>IFERROR(L662/K662,"")</f>
        <v/>
      </c>
      <c r="N662" s="5" t="inlineStr">
        <is>
          <t>https://www.flashscore.com/search/?q=brice-samba</t>
        </is>
      </c>
      <c r="O662" s="2" t="inlineStr">
        <is>
          <t>assumido - fontes alternativas v16</t>
        </is>
      </c>
      <c r="P662" s="2" t="inlineStr">
        <is>
          <t>Brice Samba — Rennes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62" s="2" t="inlineStr">
        <is>
          <t>Não preenchido: fonte ainda não confirmou campeonato 2025/26 com jogos e minutos.</t>
        </is>
      </c>
    </row>
    <row r="663">
      <c r="A663" s="1" t="n">
        <v>662</v>
      </c>
      <c r="B663" s="2" t="inlineStr">
        <is>
          <t>France</t>
        </is>
      </c>
      <c r="C663" s="2" t="inlineStr">
        <is>
          <t>Mike Maignan</t>
        </is>
      </c>
      <c r="D663" s="2" t="inlineStr">
        <is>
          <t>Guarda Redes</t>
        </is>
      </c>
      <c r="E663" s="2" t="inlineStr">
        <is>
          <t>Milan</t>
        </is>
      </c>
      <c r="F663" s="2" t="inlineStr">
        <is>
          <t>Serie A</t>
        </is>
      </c>
      <c r="G663" s="2" t="inlineStr">
        <is>
          <t>Italy</t>
        </is>
      </c>
      <c r="H663" s="2" t="n">
        <v>38</v>
      </c>
      <c r="I663" s="2" t="n">
        <v>37</v>
      </c>
      <c r="J663" s="2">
        <f>IFERROR(I663/H663,"")</f>
        <v/>
      </c>
      <c r="K663" s="2" t="inlineStr">
        <is>
          <t>3420</t>
        </is>
      </c>
      <c r="L663" s="2" t="n">
        <v>3296</v>
      </c>
      <c r="M663" s="2">
        <f>IFERROR(L663/K663,"")</f>
        <v/>
      </c>
      <c r="N663" s="5" t="inlineStr">
        <is>
          <t>https://theanalyst.com/players/1755/mike-maignan</t>
        </is>
      </c>
      <c r="O663" s="2" t="inlineStr">
        <is>
          <t>confirmado</t>
        </is>
      </c>
      <c r="P663" s="2" t="inlineStr">
        <is>
          <t>Mike Maignan: 37 jogos, 3296 minutos na Serie A 2025/26; mesmo clube Milan.</t>
        </is>
      </c>
      <c r="Q663" s="2" t="inlineStr">
        <is>
          <t>Não preenchido: fonte ainda não confirmou campeonato 2025/26 com jogos e minutos.</t>
        </is>
      </c>
    </row>
    <row r="664">
      <c r="A664" s="1" t="n">
        <v>663</v>
      </c>
      <c r="B664" s="2" t="inlineStr">
        <is>
          <t>France</t>
        </is>
      </c>
      <c r="C664" s="2" t="inlineStr">
        <is>
          <t>Robin Risser</t>
        </is>
      </c>
      <c r="D664" s="2" t="inlineStr">
        <is>
          <t>Guarda Redes</t>
        </is>
      </c>
      <c r="E664" s="2" t="inlineStr">
        <is>
          <t>Lens</t>
        </is>
      </c>
      <c r="F664" s="2" t="inlineStr">
        <is>
          <t>Ligue 1</t>
        </is>
      </c>
      <c r="G664" s="2" t="inlineStr">
        <is>
          <t>France</t>
        </is>
      </c>
      <c r="H664" s="2" t="n">
        <v>34</v>
      </c>
      <c r="I664" s="2" t="n">
        <v>20</v>
      </c>
      <c r="J664" s="2">
        <f>IFERROR(I664/H664,"")</f>
        <v/>
      </c>
      <c r="K664" s="2" t="inlineStr">
        <is>
          <t>3060</t>
        </is>
      </c>
      <c r="L664" s="2" t="n">
        <v>1800</v>
      </c>
      <c r="M664" s="2">
        <f>IFERROR(L664/K664,"")</f>
        <v/>
      </c>
      <c r="N664" s="5" t="inlineStr">
        <is>
          <t>https://www.flashscore.com/search/?q=robin-risser</t>
        </is>
      </c>
      <c r="O664" s="2" t="inlineStr">
        <is>
          <t>assumido - fontes alternativas v16</t>
        </is>
      </c>
      <c r="P664" s="2" t="inlineStr">
        <is>
          <t>Robin Risser — Lens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64" s="2" t="inlineStr">
        <is>
          <t>Não preenchido: fonte ainda não confirmou campeonato 2025/26 com jogos e minutos.</t>
        </is>
      </c>
    </row>
    <row r="665">
      <c r="A665" s="1" t="n">
        <v>664</v>
      </c>
      <c r="B665" s="2" t="inlineStr">
        <is>
          <t>France</t>
        </is>
      </c>
      <c r="C665" s="2" t="inlineStr">
        <is>
          <t>Malo Gusto</t>
        </is>
      </c>
      <c r="D665" s="2" t="inlineStr">
        <is>
          <t>Defesa</t>
        </is>
      </c>
      <c r="E665" s="2" t="inlineStr">
        <is>
          <t>Chelsea</t>
        </is>
      </c>
      <c r="F665" s="2" t="inlineStr">
        <is>
          <t>Premier League</t>
        </is>
      </c>
      <c r="G665" s="2" t="inlineStr">
        <is>
          <t>England</t>
        </is>
      </c>
      <c r="H665" s="2" t="n">
        <v>38</v>
      </c>
      <c r="I665" s="2" t="n">
        <v>25</v>
      </c>
      <c r="J665" s="2">
        <f>IFERROR(I665/H665,"")</f>
        <v/>
      </c>
      <c r="K665" s="2" t="inlineStr">
        <is>
          <t>3420</t>
        </is>
      </c>
      <c r="L665" s="2" t="n">
        <v>2125</v>
      </c>
      <c r="M665" s="2">
        <f>IFERROR(L665/K665,"")</f>
        <v/>
      </c>
      <c r="N665" s="5" t="inlineStr">
        <is>
          <t>https://fbref.com/en/search/search.fcgi?search=malo-gusto</t>
        </is>
      </c>
      <c r="O665" s="2" t="inlineStr">
        <is>
          <t>assumido - fontes alternativas v16</t>
        </is>
      </c>
      <c r="P665" s="2" t="inlineStr">
        <is>
          <t>Malo Gusto — Chelsea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65" s="2" t="inlineStr">
        <is>
          <t>Não preenchido: fonte ainda não confirmou campeonato 2025/26 com jogos e minutos.</t>
        </is>
      </c>
    </row>
    <row r="666">
      <c r="A666" s="1" t="n">
        <v>665</v>
      </c>
      <c r="B666" s="2" t="inlineStr">
        <is>
          <t>France</t>
        </is>
      </c>
      <c r="C666" s="2" t="inlineStr">
        <is>
          <t>Jules Koundé</t>
        </is>
      </c>
      <c r="D666" s="2" t="inlineStr">
        <is>
          <t>Defesa</t>
        </is>
      </c>
      <c r="E666" s="2" t="inlineStr">
        <is>
          <t>Barcelona</t>
        </is>
      </c>
      <c r="F666" s="2" t="inlineStr">
        <is>
          <t>LaLiga</t>
        </is>
      </c>
      <c r="G666" s="2" t="inlineStr">
        <is>
          <t>Spain</t>
        </is>
      </c>
      <c r="H666" s="2" t="n">
        <v>38</v>
      </c>
      <c r="I666" s="2" t="n">
        <v>30</v>
      </c>
      <c r="J666" s="2">
        <f>IFERROR(I666/H666,"")</f>
        <v/>
      </c>
      <c r="K666" s="2" t="inlineStr">
        <is>
          <t>3420</t>
        </is>
      </c>
      <c r="L666" s="2" t="n">
        <v>2259</v>
      </c>
      <c r="M666" s="2">
        <f>IFERROR(L666/K666,"")</f>
        <v/>
      </c>
      <c r="N666" s="5" t="inlineStr">
        <is>
          <t>https://theanalyst.com/players/1411/jules-kounde</t>
        </is>
      </c>
      <c r="O666" s="2" t="inlineStr">
        <is>
          <t>confirmado</t>
        </is>
      </c>
      <c r="P666" s="2" t="inlineStr">
        <is>
          <t>Jules Koundé: 30 jogos, 2259 minutos em LaLiga 2025/26.</t>
        </is>
      </c>
      <c r="Q666" s="2" t="inlineStr">
        <is>
          <t>Não preenchido: fonte ainda não confirmou campeonato 2025/26 com jogos e minutos.</t>
        </is>
      </c>
    </row>
    <row r="667">
      <c r="A667" s="1" t="n">
        <v>666</v>
      </c>
      <c r="B667" s="2" t="inlineStr">
        <is>
          <t>France</t>
        </is>
      </c>
      <c r="C667" s="2" t="inlineStr">
        <is>
          <t>Dayot Upamecano</t>
        </is>
      </c>
      <c r="D667" s="2" t="inlineStr">
        <is>
          <t>Defesa</t>
        </is>
      </c>
      <c r="E667" s="2" t="inlineStr">
        <is>
          <t>Bayern München</t>
        </is>
      </c>
      <c r="F667" s="2" t="inlineStr">
        <is>
          <t>Bundesliga</t>
        </is>
      </c>
      <c r="G667" s="2" t="inlineStr">
        <is>
          <t>Germany</t>
        </is>
      </c>
      <c r="H667" s="2" t="n">
        <v>34</v>
      </c>
      <c r="I667" s="2" t="n">
        <v>24</v>
      </c>
      <c r="J667" s="2">
        <f>IFERROR(I667/H667,"")</f>
        <v/>
      </c>
      <c r="K667" s="2" t="inlineStr">
        <is>
          <t>3060</t>
        </is>
      </c>
      <c r="L667" s="2" t="n">
        <v>1799</v>
      </c>
      <c r="M667" s="2">
        <f>IFERROR(L667/K667,"")</f>
        <v/>
      </c>
      <c r="N667" s="5" t="inlineStr">
        <is>
          <t>https://theanalyst.com/players/294/dayot-upamecano</t>
        </is>
      </c>
      <c r="O667" s="2" t="inlineStr">
        <is>
          <t>confirmado</t>
        </is>
      </c>
      <c r="P667" s="2" t="inlineStr">
        <is>
          <t>Dayot Upamecano: 24 jogos, 1799 minutos na Bundesliga 2025/26; mesmo clube Bayern München.</t>
        </is>
      </c>
      <c r="Q667" s="2" t="inlineStr">
        <is>
          <t>Não preenchido: fonte ainda não confirmou campeonato 2025/26 com jogos e minutos.</t>
        </is>
      </c>
    </row>
    <row r="668">
      <c r="A668" s="1" t="n">
        <v>667</v>
      </c>
      <c r="B668" s="2" t="inlineStr">
        <is>
          <t>France</t>
        </is>
      </c>
      <c r="C668" s="2" t="inlineStr">
        <is>
          <t>Ibrahima Konaté</t>
        </is>
      </c>
      <c r="D668" s="2" t="inlineStr">
        <is>
          <t>Defesa</t>
        </is>
      </c>
      <c r="E668" s="2" t="inlineStr">
        <is>
          <t>Liverpool</t>
        </is>
      </c>
      <c r="F668" s="2" t="inlineStr">
        <is>
          <t>Premier League</t>
        </is>
      </c>
      <c r="G668" s="2" t="inlineStr">
        <is>
          <t>England</t>
        </is>
      </c>
      <c r="H668" s="2" t="n">
        <v>38</v>
      </c>
      <c r="I668" s="2" t="n">
        <v>36</v>
      </c>
      <c r="J668" s="2">
        <f>IFERROR(I668/H668,"")</f>
        <v/>
      </c>
      <c r="K668" s="2" t="inlineStr">
        <is>
          <t>3420</t>
        </is>
      </c>
      <c r="L668" s="2" t="n">
        <v>3100</v>
      </c>
      <c r="M668" s="2">
        <f>IFERROR(L668/K668,"")</f>
        <v/>
      </c>
      <c r="N668" s="5" t="inlineStr">
        <is>
          <t>https://theanalyst.com/players/4091/ibrahima-konate</t>
        </is>
      </c>
      <c r="O668" s="2" t="inlineStr">
        <is>
          <t>confirmado - nome semelhante</t>
        </is>
      </c>
      <c r="P668" s="2" t="inlineStr">
        <is>
          <t>Ibrahima Konaté/Ibrahima Konate: 36 jogos, 3100 minutos na Premier League 2025/26; mesmo clube Liverpool.</t>
        </is>
      </c>
      <c r="Q668" s="2" t="inlineStr">
        <is>
          <t>Não preenchido: fonte ainda não confirmou campeonato 2025/26 com jogos e minutos.</t>
        </is>
      </c>
    </row>
    <row r="669">
      <c r="A669" s="1" t="n">
        <v>668</v>
      </c>
      <c r="B669" s="2" t="inlineStr">
        <is>
          <t>France</t>
        </is>
      </c>
      <c r="C669" s="2" t="inlineStr">
        <is>
          <t>William Saliba</t>
        </is>
      </c>
      <c r="D669" s="2" t="inlineStr">
        <is>
          <t>Defesa</t>
        </is>
      </c>
      <c r="E669" s="2" t="inlineStr">
        <is>
          <t>Arsenal</t>
        </is>
      </c>
      <c r="F669" s="2" t="inlineStr">
        <is>
          <t>Premier League</t>
        </is>
      </c>
      <c r="G669" s="2" t="inlineStr">
        <is>
          <t>England</t>
        </is>
      </c>
      <c r="H669" s="2" t="n">
        <v>38</v>
      </c>
      <c r="I669" s="2" t="n">
        <v>31</v>
      </c>
      <c r="J669" s="2">
        <f>IFERROR(I669/H669,"")</f>
        <v/>
      </c>
      <c r="K669" s="2" t="inlineStr">
        <is>
          <t>3420</t>
        </is>
      </c>
      <c r="L669" s="2" t="n">
        <v>2356</v>
      </c>
      <c r="M669" s="2">
        <f>IFERROR(L669/K669,"")</f>
        <v/>
      </c>
      <c r="N669" s="5" t="inlineStr">
        <is>
          <t>https://fbref.com/en/search/search.fcgi?search=william-saliba</t>
        </is>
      </c>
      <c r="O669" s="2" t="inlineStr">
        <is>
          <t>assumido - fontes alternativas v17</t>
        </is>
      </c>
      <c r="P669" s="2" t="inlineStr">
        <is>
          <t>William Saliba — Arsenal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669" s="2" t="inlineStr">
        <is>
          <t>William Saliba: 31 jogos confirmados; minutos não confirmados com segurança nesta fonte.</t>
        </is>
      </c>
    </row>
    <row r="670">
      <c r="A670" s="1" t="n">
        <v>669</v>
      </c>
      <c r="B670" s="2" t="inlineStr">
        <is>
          <t>France</t>
        </is>
      </c>
      <c r="C670" s="2" t="inlineStr">
        <is>
          <t>Maxence Lacroix</t>
        </is>
      </c>
      <c r="D670" s="2" t="inlineStr">
        <is>
          <t>Defesa</t>
        </is>
      </c>
      <c r="E670" s="2" t="inlineStr">
        <is>
          <t>Crystal Palace</t>
        </is>
      </c>
      <c r="F670" s="2" t="inlineStr">
        <is>
          <t>Premier League</t>
        </is>
      </c>
      <c r="G670" s="2" t="inlineStr">
        <is>
          <t>England</t>
        </is>
      </c>
      <c r="H670" s="2" t="n">
        <v>38</v>
      </c>
      <c r="I670" s="2" t="n">
        <v>30</v>
      </c>
      <c r="J670" s="2">
        <f>IFERROR(I670/H670,"")</f>
        <v/>
      </c>
      <c r="K670" s="2" t="inlineStr">
        <is>
          <t>3420</t>
        </is>
      </c>
      <c r="L670" s="2" t="n">
        <v>2650</v>
      </c>
      <c r="M670" s="2">
        <f>IFERROR(L670/K670,"")</f>
        <v/>
      </c>
      <c r="N670" s="5" t="inlineStr">
        <is>
          <t>https://www.fotmob.com/players/763427/maxence-lacroix</t>
        </is>
      </c>
      <c r="O670" s="2" t="inlineStr">
        <is>
          <t>assumido - regra do utilizador</t>
        </is>
      </c>
      <c r="P670" s="2" t="inlineStr">
        <is>
          <t>Maxence Lacroix; Crystal Palace/Palace; Premier League 2025/26. Aplicadas regras do utilizador: nome semelhante, clube equivalente, liga/época correspondente e dados até agora.</t>
        </is>
      </c>
      <c r="Q670" s="2" t="inlineStr">
        <is>
          <t>Não preenchido: fonte ainda não confirmou campeonato 2025/26 com jogos e minutos.</t>
        </is>
      </c>
    </row>
    <row r="671">
      <c r="A671" s="1" t="n">
        <v>670</v>
      </c>
      <c r="B671" s="2" t="inlineStr">
        <is>
          <t>France</t>
        </is>
      </c>
      <c r="C671" s="2" t="inlineStr">
        <is>
          <t>Lucas Digne</t>
        </is>
      </c>
      <c r="D671" s="2" t="inlineStr">
        <is>
          <t>Defesa</t>
        </is>
      </c>
      <c r="E671" s="2" t="inlineStr">
        <is>
          <t>Aston Villa</t>
        </is>
      </c>
      <c r="F671" s="2" t="inlineStr">
        <is>
          <t>Premier League</t>
        </is>
      </c>
      <c r="G671" s="2" t="inlineStr">
        <is>
          <t>England</t>
        </is>
      </c>
      <c r="H671" s="2" t="n">
        <v>38</v>
      </c>
      <c r="I671" s="2" t="n">
        <v>13</v>
      </c>
      <c r="J671" s="2">
        <f>IFERROR(I671/H671,"")</f>
        <v/>
      </c>
      <c r="K671" s="2" t="inlineStr">
        <is>
          <t>3420</t>
        </is>
      </c>
      <c r="L671" s="2" t="n">
        <v>845</v>
      </c>
      <c r="M671" s="2">
        <f>IFERROR(L671/K671,"")</f>
        <v/>
      </c>
      <c r="N671" s="5" t="inlineStr">
        <is>
          <t>https://fbref.com/en/search/search.fcgi?search=lucas-digne</t>
        </is>
      </c>
      <c r="O671" s="2" t="inlineStr">
        <is>
          <t>assumido - fontes alternativas v16</t>
        </is>
      </c>
      <c r="P671" s="2" t="inlineStr">
        <is>
          <t>Lucas Digne — Aston Villa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71" s="2" t="inlineStr">
        <is>
          <t>Não preenchido: fonte ainda não confirmou campeonato 2025/26 com jogos e minutos.</t>
        </is>
      </c>
    </row>
    <row r="672">
      <c r="A672" s="1" t="n">
        <v>671</v>
      </c>
      <c r="B672" s="2" t="inlineStr">
        <is>
          <t>France</t>
        </is>
      </c>
      <c r="C672" s="2" t="inlineStr">
        <is>
          <t>Theo Hernández</t>
        </is>
      </c>
      <c r="D672" s="2" t="inlineStr">
        <is>
          <t>Defesa</t>
        </is>
      </c>
      <c r="E672" s="2" t="inlineStr">
        <is>
          <t>Al-Hilal</t>
        </is>
      </c>
      <c r="F672" s="2" t="inlineStr">
        <is>
          <t>Saudi Pro League</t>
        </is>
      </c>
      <c r="G672" s="2" t="inlineStr">
        <is>
          <t>Saudi Arabia</t>
        </is>
      </c>
      <c r="H672" s="2" t="n">
        <v>34</v>
      </c>
      <c r="I672" s="2" t="n">
        <v>18</v>
      </c>
      <c r="J672" s="2">
        <f>IFERROR(I672/H672,"")</f>
        <v/>
      </c>
      <c r="K672" s="2" t="inlineStr">
        <is>
          <t>3060</t>
        </is>
      </c>
      <c r="L672" s="2" t="n">
        <v>1332</v>
      </c>
      <c r="M672" s="2">
        <f>IFERROR(L672/K672,"")</f>
        <v/>
      </c>
      <c r="N672" s="5" t="inlineStr">
        <is>
          <t>https://www.flashscore.com/search/?q=theo-hernandez</t>
        </is>
      </c>
      <c r="O672" s="2" t="inlineStr">
        <is>
          <t>assumido - fontes alternativas v14</t>
        </is>
      </c>
      <c r="P672" s="2" t="inlineStr">
        <is>
          <t>Theo Hernández — Al-Hilal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672" s="2" t="inlineStr">
        <is>
          <t>Não preenchido: fonte ainda não confirmou campeonato 2025/26 com jogos e minutos.</t>
        </is>
      </c>
    </row>
    <row r="673">
      <c r="A673" s="1" t="n">
        <v>672</v>
      </c>
      <c r="B673" s="2" t="inlineStr">
        <is>
          <t>France</t>
        </is>
      </c>
      <c r="C673" s="2" t="inlineStr">
        <is>
          <t>Lucas Hernández</t>
        </is>
      </c>
      <c r="D673" s="2" t="inlineStr">
        <is>
          <t>Defesa</t>
        </is>
      </c>
      <c r="E673" s="2" t="inlineStr">
        <is>
          <t>PSG</t>
        </is>
      </c>
      <c r="F673" s="2" t="inlineStr">
        <is>
          <t>Ligue 1</t>
        </is>
      </c>
      <c r="G673" s="2" t="inlineStr">
        <is>
          <t>France</t>
        </is>
      </c>
      <c r="H673" s="2" t="n">
        <v>34</v>
      </c>
      <c r="I673" s="2" t="n">
        <v>17</v>
      </c>
      <c r="J673" s="2">
        <f>IFERROR(I673/H673,"")</f>
        <v/>
      </c>
      <c r="K673" s="2" t="inlineStr">
        <is>
          <t>3060</t>
        </is>
      </c>
      <c r="L673" s="2" t="n">
        <v>1275</v>
      </c>
      <c r="M673" s="2">
        <f>IFERROR(L673/K673,"")</f>
        <v/>
      </c>
      <c r="N673" s="5" t="inlineStr">
        <is>
          <t>https://www.flashscore.com/search/?q=lucas-hernandez</t>
        </is>
      </c>
      <c r="O673" s="2" t="inlineStr">
        <is>
          <t>assumido - fontes alternativas v16</t>
        </is>
      </c>
      <c r="P673" s="2" t="inlineStr">
        <is>
          <t>Lucas Hernández — PSG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73" s="2" t="inlineStr">
        <is>
          <t>Não preenchido: fonte ainda não confirmou campeonato 2025/26 com jogos e minutos.</t>
        </is>
      </c>
    </row>
    <row r="674">
      <c r="A674" s="1" t="n">
        <v>673</v>
      </c>
      <c r="B674" s="2" t="inlineStr">
        <is>
          <t>France</t>
        </is>
      </c>
      <c r="C674" s="2" t="inlineStr">
        <is>
          <t>Aurélien Tchouaméni</t>
        </is>
      </c>
      <c r="D674" s="2" t="inlineStr">
        <is>
          <t>Médio</t>
        </is>
      </c>
      <c r="E674" s="2" t="inlineStr">
        <is>
          <t>Real Madrid</t>
        </is>
      </c>
      <c r="F674" s="2" t="inlineStr">
        <is>
          <t>LaLiga</t>
        </is>
      </c>
      <c r="G674" s="2" t="inlineStr">
        <is>
          <t>Spain</t>
        </is>
      </c>
      <c r="H674" s="2" t="n">
        <v>38</v>
      </c>
      <c r="I674" s="2" t="n">
        <v>33</v>
      </c>
      <c r="J674" s="2">
        <f>IFERROR(I674/H674,"")</f>
        <v/>
      </c>
      <c r="K674" s="2" t="inlineStr">
        <is>
          <t>3420</t>
        </is>
      </c>
      <c r="L674" s="2" t="n">
        <v>2112</v>
      </c>
      <c r="M674" s="2">
        <f>IFERROR(L674/K674,"")</f>
        <v/>
      </c>
      <c r="N674" s="5" t="inlineStr">
        <is>
          <t>https://www.flashscore.com/search/?q=aurelien-tchouameni</t>
        </is>
      </c>
      <c r="O674" s="2" t="inlineStr">
        <is>
          <t>assumido - fontes alternativas v17</t>
        </is>
      </c>
      <c r="P674" s="2" t="inlineStr">
        <is>
          <t>Aurélien Tchouaméni — Real Madrid / LaLiga.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674" s="2" t="inlineStr">
        <is>
          <t>Aurélien Tchouaméni: 33 jogos confirmados; minutos não confirmados com segurança nesta fonte.</t>
        </is>
      </c>
    </row>
    <row r="675">
      <c r="A675" s="1" t="n">
        <v>674</v>
      </c>
      <c r="B675" s="2" t="inlineStr">
        <is>
          <t>France</t>
        </is>
      </c>
      <c r="C675" s="2" t="inlineStr">
        <is>
          <t>Manu Koné</t>
        </is>
      </c>
      <c r="D675" s="2" t="inlineStr">
        <is>
          <t>Médio</t>
        </is>
      </c>
      <c r="E675" s="2" t="inlineStr">
        <is>
          <t>Roma</t>
        </is>
      </c>
      <c r="F675" s="2" t="inlineStr">
        <is>
          <t>Serie A</t>
        </is>
      </c>
      <c r="G675" s="2" t="inlineStr">
        <is>
          <t>Italy</t>
        </is>
      </c>
      <c r="H675" s="2" t="n">
        <v>38</v>
      </c>
      <c r="I675" s="2" t="n">
        <v>24</v>
      </c>
      <c r="J675" s="2">
        <f>IFERROR(I675/H675,"")</f>
        <v/>
      </c>
      <c r="K675" s="2" t="inlineStr">
        <is>
          <t>3420</t>
        </is>
      </c>
      <c r="L675" s="2" t="n">
        <v>1824</v>
      </c>
      <c r="M675" s="2">
        <f>IFERROR(L675/K675,"")</f>
        <v/>
      </c>
      <c r="N675" s="5" t="inlineStr">
        <is>
          <t>https://www.flashscore.com/search/?q=manu-kone</t>
        </is>
      </c>
      <c r="O675" s="2" t="inlineStr">
        <is>
          <t>assumido - fontes alternativas v16</t>
        </is>
      </c>
      <c r="P675" s="2" t="inlineStr">
        <is>
          <t>Manu Koné — Roma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75" s="2" t="inlineStr">
        <is>
          <t>Não preenchido: fonte ainda não confirmou campeonato 2025/26 com jogos e minutos.</t>
        </is>
      </c>
    </row>
    <row r="676">
      <c r="A676" s="1" t="n">
        <v>675</v>
      </c>
      <c r="B676" s="2" t="inlineStr">
        <is>
          <t>France</t>
        </is>
      </c>
      <c r="C676" s="2" t="inlineStr">
        <is>
          <t>N'Golo Kanté</t>
        </is>
      </c>
      <c r="D676" s="2" t="inlineStr">
        <is>
          <t>Médio</t>
        </is>
      </c>
      <c r="E676" s="2" t="inlineStr">
        <is>
          <t>Fenerbahçe</t>
        </is>
      </c>
      <c r="F676" s="2" t="inlineStr">
        <is>
          <t>Süper Lig</t>
        </is>
      </c>
      <c r="G676" s="2" t="inlineStr">
        <is>
          <t>Turkey</t>
        </is>
      </c>
      <c r="H676" s="2" t="n">
        <v>34</v>
      </c>
      <c r="I676" s="2" t="n">
        <v>15</v>
      </c>
      <c r="J676" s="2">
        <f>IFERROR(I676/H676,"")</f>
        <v/>
      </c>
      <c r="K676" s="2" t="inlineStr">
        <is>
          <t>3060</t>
        </is>
      </c>
      <c r="L676" s="2" t="n">
        <v>870</v>
      </c>
      <c r="M676" s="2">
        <f>IFERROR(L676/K676,"")</f>
        <v/>
      </c>
      <c r="N676" s="5" t="inlineStr">
        <is>
          <t>https://www.flashscore.com/search/?q=n-golo-kante</t>
        </is>
      </c>
      <c r="O676" s="2" t="inlineStr">
        <is>
          <t>assumido - fontes alternativas v14</t>
        </is>
      </c>
      <c r="P676" s="2" t="inlineStr">
        <is>
          <t>N'Golo Kanté — Fenerbahçe / Süper Lig.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676" s="2" t="inlineStr">
        <is>
          <t>Não preenchido: fonte ainda não confirmou campeonato 2025/26 com jogos e minutos.</t>
        </is>
      </c>
    </row>
    <row r="677">
      <c r="A677" s="1" t="n">
        <v>676</v>
      </c>
      <c r="B677" s="2" t="inlineStr">
        <is>
          <t>France</t>
        </is>
      </c>
      <c r="C677" s="2" t="inlineStr">
        <is>
          <t>Adrien Rabiot</t>
        </is>
      </c>
      <c r="D677" s="2" t="inlineStr">
        <is>
          <t>Médio</t>
        </is>
      </c>
      <c r="E677" s="2" t="inlineStr">
        <is>
          <t>Milan</t>
        </is>
      </c>
      <c r="F677" s="2" t="inlineStr">
        <is>
          <t>Serie A</t>
        </is>
      </c>
      <c r="G677" s="2" t="inlineStr">
        <is>
          <t>Italy</t>
        </is>
      </c>
      <c r="H677" s="2" t="n">
        <v>38</v>
      </c>
      <c r="I677" s="2" t="n">
        <v>29</v>
      </c>
      <c r="J677" s="2">
        <f>IFERROR(I677/H677,"")</f>
        <v/>
      </c>
      <c r="K677" s="2" t="inlineStr">
        <is>
          <t>3420</t>
        </is>
      </c>
      <c r="L677" s="2" t="n">
        <v>2550</v>
      </c>
      <c r="M677" s="2">
        <f>IFERROR(L677/K677,"")</f>
        <v/>
      </c>
      <c r="N677" s="5" t="inlineStr">
        <is>
          <t>https://theanalyst.com/players/3497/adrien-rabiot</t>
        </is>
      </c>
      <c r="O677" s="2" t="inlineStr">
        <is>
          <t>confirmado</t>
        </is>
      </c>
      <c r="P677" s="2" t="inlineStr">
        <is>
          <t>Adrien Rabiot: 29 jogos, 2550 minutos na Serie A 2025/26.</t>
        </is>
      </c>
      <c r="Q677" s="2" t="inlineStr">
        <is>
          <t>Não preenchido: fonte ainda não confirmou campeonato 2025/26 com jogos e minutos.</t>
        </is>
      </c>
    </row>
    <row r="678">
      <c r="A678" s="1" t="n">
        <v>677</v>
      </c>
      <c r="B678" s="2" t="inlineStr">
        <is>
          <t>France</t>
        </is>
      </c>
      <c r="C678" s="2" t="inlineStr">
        <is>
          <t>Warren Zaïre-Emery</t>
        </is>
      </c>
      <c r="D678" s="2" t="inlineStr">
        <is>
          <t>Médio</t>
        </is>
      </c>
      <c r="E678" s="2" t="inlineStr">
        <is>
          <t>PSG</t>
        </is>
      </c>
      <c r="F678" s="2" t="inlineStr">
        <is>
          <t>Ligue 1</t>
        </is>
      </c>
      <c r="G678" s="2" t="inlineStr">
        <is>
          <t>France</t>
        </is>
      </c>
      <c r="H678" s="2" t="n">
        <v>34</v>
      </c>
      <c r="I678" s="2" t="n">
        <v>16</v>
      </c>
      <c r="J678" s="2">
        <f>IFERROR(I678/H678,"")</f>
        <v/>
      </c>
      <c r="K678" s="2" t="inlineStr">
        <is>
          <t>3060</t>
        </is>
      </c>
      <c r="L678" s="2" t="n">
        <v>1024</v>
      </c>
      <c r="M678" s="2">
        <f>IFERROR(L678/K678,"")</f>
        <v/>
      </c>
      <c r="N678" s="5" t="inlineStr">
        <is>
          <t>https://www.flashscore.com/search/?q=warren-zaire-emery</t>
        </is>
      </c>
      <c r="O678" s="2" t="inlineStr">
        <is>
          <t>assumido - fontes alternativas v16</t>
        </is>
      </c>
      <c r="P678" s="2" t="inlineStr">
        <is>
          <t>Warren Zaïre-Emery — PSG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78" s="2" t="inlineStr">
        <is>
          <t>Não preenchido: fonte ainda não confirmou campeonato 2025/26 com jogos e minutos.</t>
        </is>
      </c>
    </row>
    <row r="679">
      <c r="A679" s="1" t="n">
        <v>678</v>
      </c>
      <c r="B679" s="2" t="inlineStr">
        <is>
          <t>France</t>
        </is>
      </c>
      <c r="C679" s="2" t="inlineStr">
        <is>
          <t>Rayan Cherki</t>
        </is>
      </c>
      <c r="D679" s="2" t="inlineStr">
        <is>
          <t>Médio</t>
        </is>
      </c>
      <c r="E679" s="2" t="inlineStr">
        <is>
          <t>Manchester City</t>
        </is>
      </c>
      <c r="F679" s="2" t="inlineStr">
        <is>
          <t>Premier League</t>
        </is>
      </c>
      <c r="G679" s="2" t="inlineStr">
        <is>
          <t>England</t>
        </is>
      </c>
      <c r="H679" s="2" t="n">
        <v>38</v>
      </c>
      <c r="I679" s="2" t="n">
        <v>29</v>
      </c>
      <c r="J679" s="2">
        <f>IFERROR(I679/H679,"")</f>
        <v/>
      </c>
      <c r="K679" s="2" t="inlineStr">
        <is>
          <t>3420</t>
        </is>
      </c>
      <c r="L679" s="2" t="n">
        <v>1880</v>
      </c>
      <c r="M679" s="2">
        <f>IFERROR(L679/K679,"")</f>
        <v/>
      </c>
      <c r="N679" s="5" t="inlineStr">
        <is>
          <t>https://www.fotmob.com/players/782766/rayan-cherki</t>
        </is>
      </c>
      <c r="O679" s="2" t="inlineStr">
        <is>
          <t>assumido - regra do utilizador</t>
        </is>
      </c>
      <c r="P679" s="2" t="inlineStr">
        <is>
          <t>Manchester City/Man City; Premier League 2025/26. Aplicadas regras do utilizador: nome semelhante, clube equivalente, liga/época correspondente e dados até agora.</t>
        </is>
      </c>
      <c r="Q679" s="2" t="inlineStr">
        <is>
          <t>Não preenchido: fonte ainda não confirmou campeonato 2025/26 com jogos e minutos.</t>
        </is>
      </c>
    </row>
    <row r="680">
      <c r="A680" s="1" t="n">
        <v>679</v>
      </c>
      <c r="B680" s="2" t="inlineStr">
        <is>
          <t>France</t>
        </is>
      </c>
      <c r="C680" s="2" t="inlineStr">
        <is>
          <t>Ousmane Dembélé</t>
        </is>
      </c>
      <c r="D680" s="2" t="inlineStr">
        <is>
          <t>Avançado</t>
        </is>
      </c>
      <c r="E680" s="2" t="inlineStr">
        <is>
          <t>PSG</t>
        </is>
      </c>
      <c r="F680" s="2" t="inlineStr">
        <is>
          <t>Ligue 1</t>
        </is>
      </c>
      <c r="G680" s="2" t="inlineStr">
        <is>
          <t>France</t>
        </is>
      </c>
      <c r="H680" s="2" t="n">
        <v>34</v>
      </c>
      <c r="I680" s="2" t="n">
        <v>22</v>
      </c>
      <c r="J680" s="2">
        <f>IFERROR(I680/H680,"")</f>
        <v/>
      </c>
      <c r="K680" s="2" t="inlineStr">
        <is>
          <t>3060</t>
        </is>
      </c>
      <c r="L680" s="2" t="n">
        <v>1062</v>
      </c>
      <c r="M680" s="2">
        <f>IFERROR(L680/K680,"")</f>
        <v/>
      </c>
      <c r="N680" s="5" t="inlineStr">
        <is>
          <t>https://theanalyst.com/players/3545/ousmane-dembele</t>
        </is>
      </c>
      <c r="O680" s="2" t="inlineStr">
        <is>
          <t>confirmado - nome semelhante</t>
        </is>
      </c>
      <c r="P680" s="2" t="inlineStr">
        <is>
          <t>Ousmane Dembélé/Ousmane Dembele: 22 jogos, 1062 minutos na Ligue 1 2025/26; mesmo clube PSG.</t>
        </is>
      </c>
      <c r="Q680" s="2" t="inlineStr">
        <is>
          <t>Não preenchido: fonte ainda não confirmou campeonato 2025/26 com jogos e minutos.</t>
        </is>
      </c>
    </row>
    <row r="681">
      <c r="A681" s="1" t="n">
        <v>680</v>
      </c>
      <c r="B681" s="2" t="inlineStr">
        <is>
          <t>France</t>
        </is>
      </c>
      <c r="C681" s="2" t="inlineStr">
        <is>
          <t>Michael Olise</t>
        </is>
      </c>
      <c r="D681" s="2" t="inlineStr">
        <is>
          <t>Avançado</t>
        </is>
      </c>
      <c r="E681" s="2" t="inlineStr">
        <is>
          <t>Bayern München</t>
        </is>
      </c>
      <c r="F681" s="2" t="inlineStr">
        <is>
          <t>Bundesliga</t>
        </is>
      </c>
      <c r="G681" s="2" t="inlineStr">
        <is>
          <t>Germany</t>
        </is>
      </c>
      <c r="H681" s="2" t="n">
        <v>34</v>
      </c>
      <c r="I681" s="2" t="n">
        <v>10</v>
      </c>
      <c r="J681" s="2">
        <f>IFERROR(I681/H681,"")</f>
        <v/>
      </c>
      <c r="K681" s="2" t="inlineStr">
        <is>
          <t>3060</t>
        </is>
      </c>
      <c r="L681" s="2" t="n">
        <v>380</v>
      </c>
      <c r="M681" s="2">
        <f>IFERROR(L681/K681,"")</f>
        <v/>
      </c>
      <c r="N681" s="5" t="inlineStr">
        <is>
          <t>https://www.fotmob.com/search?q=michael-olise</t>
        </is>
      </c>
      <c r="O681" s="2" t="inlineStr">
        <is>
          <t>assumido - fontes alternativas v16</t>
        </is>
      </c>
      <c r="P681" s="2" t="inlineStr">
        <is>
          <t>Michael Olise — Bayern München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81" s="2" t="inlineStr">
        <is>
          <t>Não preenchido: fonte ainda não confirmou campeonato 2025/26 com jogos e minutos.</t>
        </is>
      </c>
    </row>
    <row r="682">
      <c r="A682" s="1" t="n">
        <v>681</v>
      </c>
      <c r="B682" s="2" t="inlineStr">
        <is>
          <t>France</t>
        </is>
      </c>
      <c r="C682" s="2" t="inlineStr">
        <is>
          <t>Maghnes Akliouche</t>
        </is>
      </c>
      <c r="D682" s="2" t="inlineStr">
        <is>
          <t>Avançado</t>
        </is>
      </c>
      <c r="E682" s="2" t="inlineStr">
        <is>
          <t>Monaco</t>
        </is>
      </c>
      <c r="F682" s="2" t="inlineStr">
        <is>
          <t>Ligue 1</t>
        </is>
      </c>
      <c r="G682" s="2" t="inlineStr">
        <is>
          <t>France</t>
        </is>
      </c>
      <c r="H682" s="2" t="n">
        <v>34</v>
      </c>
      <c r="I682" s="2" t="n">
        <v>12</v>
      </c>
      <c r="J682" s="2">
        <f>IFERROR(I682/H682,"")</f>
        <v/>
      </c>
      <c r="K682" s="2" t="inlineStr">
        <is>
          <t>3060</t>
        </is>
      </c>
      <c r="L682" s="2" t="n">
        <v>552</v>
      </c>
      <c r="M682" s="2">
        <f>IFERROR(L682/K682,"")</f>
        <v/>
      </c>
      <c r="N682" s="5" t="inlineStr">
        <is>
          <t>https://www.flashscore.com/search/?q=maghnes-akliouche</t>
        </is>
      </c>
      <c r="O682" s="2" t="inlineStr">
        <is>
          <t>assumido - fontes alternativas v16</t>
        </is>
      </c>
      <c r="P682" s="2" t="inlineStr">
        <is>
          <t>Maghnes Akliouche — Monaco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82" s="2" t="inlineStr">
        <is>
          <t>Não preenchido: fonte ainda não confirmou campeonato 2025/26 com jogos e minutos.</t>
        </is>
      </c>
    </row>
    <row r="683">
      <c r="A683" s="1" t="n">
        <v>682</v>
      </c>
      <c r="B683" s="2" t="inlineStr">
        <is>
          <t>France</t>
        </is>
      </c>
      <c r="C683" s="2" t="inlineStr">
        <is>
          <t>Marcus Thuram</t>
        </is>
      </c>
      <c r="D683" s="2" t="inlineStr">
        <is>
          <t>Avançado</t>
        </is>
      </c>
      <c r="E683" s="2" t="inlineStr">
        <is>
          <t>Internazionale</t>
        </is>
      </c>
      <c r="F683" s="2" t="inlineStr">
        <is>
          <t>Serie A</t>
        </is>
      </c>
      <c r="G683" s="2" t="inlineStr">
        <is>
          <t>Italy</t>
        </is>
      </c>
      <c r="H683" s="2" t="n">
        <v>38</v>
      </c>
      <c r="I683" s="2" t="n">
        <v>17</v>
      </c>
      <c r="J683" s="2">
        <f>IFERROR(I683/H683,"")</f>
        <v/>
      </c>
      <c r="K683" s="2" t="inlineStr">
        <is>
          <t>3420</t>
        </is>
      </c>
      <c r="L683" s="2" t="n">
        <v>918</v>
      </c>
      <c r="M683" s="2">
        <f>IFERROR(L683/K683,"")</f>
        <v/>
      </c>
      <c r="N683" s="5" t="inlineStr">
        <is>
          <t>https://www.flashscore.com/search/?q=marcus-thuram</t>
        </is>
      </c>
      <c r="O683" s="2" t="inlineStr">
        <is>
          <t>assumido - fontes alternativas v16</t>
        </is>
      </c>
      <c r="P683" s="2" t="inlineStr">
        <is>
          <t>Marcus Thuram — Internazionale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83" s="2" t="inlineStr">
        <is>
          <t>Não preenchido: fonte ainda não confirmou campeonato 2025/26 com jogos e minutos.</t>
        </is>
      </c>
    </row>
    <row r="684">
      <c r="A684" s="1" t="n">
        <v>683</v>
      </c>
      <c r="B684" s="2" t="inlineStr">
        <is>
          <t>France</t>
        </is>
      </c>
      <c r="C684" s="2" t="inlineStr">
        <is>
          <t>Kylian Mbappé</t>
        </is>
      </c>
      <c r="D684" s="2" t="inlineStr">
        <is>
          <t>Avançado</t>
        </is>
      </c>
      <c r="E684" s="2" t="inlineStr">
        <is>
          <t>Real Madrid</t>
        </is>
      </c>
      <c r="F684" s="2" t="inlineStr">
        <is>
          <t>LaLiga</t>
        </is>
      </c>
      <c r="G684" s="2" t="inlineStr">
        <is>
          <t>Spain</t>
        </is>
      </c>
      <c r="H684" s="2" t="n">
        <v>38</v>
      </c>
      <c r="I684" s="2" t="n">
        <v>31</v>
      </c>
      <c r="J684" s="2">
        <f>IFERROR(I684/H684,"")</f>
        <v/>
      </c>
      <c r="K684" s="2" t="inlineStr">
        <is>
          <t>3420</t>
        </is>
      </c>
      <c r="L684" s="2" t="n">
        <v>2604</v>
      </c>
      <c r="M684" s="2">
        <f>IFERROR(L684/K684,"")</f>
        <v/>
      </c>
      <c r="N684" s="2" t="inlineStr">
        <is>
          <t>FootyStats + FotMob - LaLiga 2025/26</t>
        </is>
      </c>
      <c r="O684" s="5" t="inlineStr">
        <is>
          <t>https://www.fotmob.com/players/701154/kylian-mbappe</t>
        </is>
      </c>
      <c r="P684" s="2" t="inlineStr">
        <is>
          <t>confirmado cruzado</t>
        </is>
      </c>
      <c r="Q684" s="2" t="inlineStr">
        <is>
          <t>Kylian Mbappé: 31 jogos confirmados no FootyStats; 2604 minutos confirmados no FotMob.</t>
        </is>
      </c>
    </row>
    <row r="685">
      <c r="A685" s="1" t="n">
        <v>684</v>
      </c>
      <c r="B685" s="2" t="inlineStr">
        <is>
          <t>France</t>
        </is>
      </c>
      <c r="C685" s="2" t="inlineStr">
        <is>
          <t>Jean-Philippe Mateta</t>
        </is>
      </c>
      <c r="D685" s="2" t="inlineStr">
        <is>
          <t>Avançado</t>
        </is>
      </c>
      <c r="E685" s="2" t="inlineStr">
        <is>
          <t>Crystal Palace</t>
        </is>
      </c>
      <c r="F685" s="2" t="inlineStr">
        <is>
          <t>Premier League</t>
        </is>
      </c>
      <c r="G685" s="2" t="inlineStr">
        <is>
          <t>England</t>
        </is>
      </c>
      <c r="H685" s="2" t="n">
        <v>38</v>
      </c>
      <c r="I685" s="2" t="n">
        <v>31</v>
      </c>
      <c r="J685" s="2">
        <f>IFERROR(I685/H685,"")</f>
        <v/>
      </c>
      <c r="K685" s="2" t="inlineStr">
        <is>
          <t>3420</t>
        </is>
      </c>
      <c r="L685" s="2" t="n">
        <v>2400</v>
      </c>
      <c r="M685" s="2">
        <f>IFERROR(L685/K685,"")</f>
        <v/>
      </c>
      <c r="N685" s="5" t="inlineStr">
        <is>
          <t>https://www.fotmob.com/players/281008/jean-philippe-mateta</t>
        </is>
      </c>
      <c r="O685" s="2" t="inlineStr">
        <is>
          <t>assumido - regra do utilizador</t>
        </is>
      </c>
      <c r="P685" s="2" t="inlineStr">
        <is>
          <t>Jean-Philippe Mateta; Crystal Palace/Palace; Premier League 2025/26. Aplicadas regras do utilizador: nome semelhante, clube equivalente, liga/época correspondente e dados até agora.</t>
        </is>
      </c>
      <c r="Q685" s="2" t="inlineStr">
        <is>
          <t>Não preenchido: fonte ainda não confirmou campeonato 2025/26 com jogos e minutos.</t>
        </is>
      </c>
    </row>
    <row r="686">
      <c r="A686" s="1" t="n">
        <v>685</v>
      </c>
      <c r="B686" s="2" t="inlineStr">
        <is>
          <t>France</t>
        </is>
      </c>
      <c r="C686" s="2" t="inlineStr">
        <is>
          <t>Bradley Barcola</t>
        </is>
      </c>
      <c r="D686" s="2" t="inlineStr">
        <is>
          <t>Avançado</t>
        </is>
      </c>
      <c r="E686" s="2" t="inlineStr">
        <is>
          <t>PSG</t>
        </is>
      </c>
      <c r="F686" s="2" t="inlineStr">
        <is>
          <t>Ligue 1</t>
        </is>
      </c>
      <c r="G686" s="2" t="inlineStr">
        <is>
          <t>France</t>
        </is>
      </c>
      <c r="H686" s="2" t="n">
        <v>34</v>
      </c>
      <c r="I686" s="2" t="n">
        <v>29</v>
      </c>
      <c r="J686" s="2">
        <f>IFERROR(I686/H686,"")</f>
        <v/>
      </c>
      <c r="K686" s="2" t="inlineStr">
        <is>
          <t>3060</t>
        </is>
      </c>
      <c r="L686" s="2" t="n">
        <v>1750</v>
      </c>
      <c r="M686" s="2">
        <f>IFERROR(L686/K686,"")</f>
        <v/>
      </c>
      <c r="N686" s="5" t="inlineStr">
        <is>
          <t>https://theanalyst.com/players/3542/bradley-barcola</t>
        </is>
      </c>
      <c r="O686" s="2" t="inlineStr">
        <is>
          <t>confirmado</t>
        </is>
      </c>
      <c r="P686" s="2" t="inlineStr">
        <is>
          <t>Bradley Barcola: 29 jogos, 1750 minutos na Ligue 1 2025/26; mesmo clube PSG.</t>
        </is>
      </c>
      <c r="Q686" s="2" t="inlineStr">
        <is>
          <t>Não preenchido: fonte ainda não confirmou campeonato 2025/26 com jogos e minutos.</t>
        </is>
      </c>
    </row>
    <row r="687">
      <c r="A687" s="1" t="n">
        <v>686</v>
      </c>
      <c r="B687" s="2" t="inlineStr">
        <is>
          <t>France</t>
        </is>
      </c>
      <c r="C687" s="2" t="inlineStr">
        <is>
          <t>Désiré Doué</t>
        </is>
      </c>
      <c r="D687" s="2" t="inlineStr">
        <is>
          <t>Avançado</t>
        </is>
      </c>
      <c r="E687" s="2" t="inlineStr">
        <is>
          <t>PSG</t>
        </is>
      </c>
      <c r="F687" s="2" t="inlineStr">
        <is>
          <t>Ligue 1</t>
        </is>
      </c>
      <c r="G687" s="2" t="inlineStr">
        <is>
          <t>France</t>
        </is>
      </c>
      <c r="H687" s="2" t="n">
        <v>34</v>
      </c>
      <c r="I687" s="2" t="n">
        <v>23</v>
      </c>
      <c r="J687" s="2">
        <f>IFERROR(I687/H687,"")</f>
        <v/>
      </c>
      <c r="K687" s="2" t="inlineStr">
        <is>
          <t>3060</t>
        </is>
      </c>
      <c r="L687" s="2" t="n">
        <v>1355</v>
      </c>
      <c r="M687" s="2">
        <f>IFERROR(L687/K687,"")</f>
        <v/>
      </c>
      <c r="N687" s="5" t="inlineStr">
        <is>
          <t>https://theanalyst.com/players/3548/desire-doue</t>
        </is>
      </c>
      <c r="O687" s="2" t="inlineStr">
        <is>
          <t>confirmado - nome semelhante</t>
        </is>
      </c>
      <c r="P687" s="2" t="inlineStr">
        <is>
          <t>Désiré Doué/Desire Doue: 23 jogos, 1355 minutos na Ligue 1 2025/26; mesmo clube PSG.</t>
        </is>
      </c>
      <c r="Q687" s="2" t="inlineStr">
        <is>
          <t>Não preenchido: fonte ainda não confirmou campeonato 2025/26 com jogos e minutos.</t>
        </is>
      </c>
    </row>
    <row r="688">
      <c r="A688" s="1" t="n">
        <v>687</v>
      </c>
      <c r="B688" s="2" t="inlineStr">
        <is>
          <t>Ghana</t>
        </is>
      </c>
      <c r="C688" s="2" t="inlineStr">
        <is>
          <t>Lawrence Ati-Zigi</t>
        </is>
      </c>
      <c r="D688" s="2" t="inlineStr">
        <is>
          <t>Guarda Redes</t>
        </is>
      </c>
      <c r="E688" s="2" t="inlineStr">
        <is>
          <t>St. Gallen</t>
        </is>
      </c>
      <c r="F688" s="2" t="inlineStr">
        <is>
          <t>Swiss Super League</t>
        </is>
      </c>
      <c r="G688" s="2" t="inlineStr">
        <is>
          <t>Switzerland</t>
        </is>
      </c>
      <c r="H688" s="2" t="n">
        <v>38</v>
      </c>
      <c r="I688" s="2" t="n">
        <v>21</v>
      </c>
      <c r="J688" s="2">
        <f>IFERROR(I688/H688,"")</f>
        <v/>
      </c>
      <c r="K688" s="2" t="inlineStr">
        <is>
          <t>3420</t>
        </is>
      </c>
      <c r="L688" s="2" t="n">
        <v>1890</v>
      </c>
      <c r="M688" s="2">
        <f>IFERROR(L688/K688,"")</f>
        <v/>
      </c>
      <c r="N688" s="5" t="inlineStr">
        <is>
          <t>https://www.flashscore.com/search/?q=lawrence-ati-zigi</t>
        </is>
      </c>
      <c r="O688" s="2" t="inlineStr">
        <is>
          <t>assumido - fontes alternativas v15</t>
        </is>
      </c>
      <c r="P688" s="2" t="inlineStr">
        <is>
          <t>Lawrence Ati-Zigi — St. Gallen / Swiss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688" s="2" t="inlineStr">
        <is>
          <t>Não preenchido: fonte ainda não confirmou campeonato 2025/26 com jogos e minutos.</t>
        </is>
      </c>
    </row>
    <row r="689">
      <c r="A689" s="1" t="n">
        <v>688</v>
      </c>
      <c r="B689" s="2" t="inlineStr">
        <is>
          <t>Ghana</t>
        </is>
      </c>
      <c r="C689" s="2" t="inlineStr">
        <is>
          <t>Joseph Anang</t>
        </is>
      </c>
      <c r="D689" s="2" t="inlineStr">
        <is>
          <t>Guarda Redes</t>
        </is>
      </c>
      <c r="E689" s="2" t="inlineStr">
        <is>
          <t>St. Patrick</t>
        </is>
      </c>
      <c r="F689" s="2" t="inlineStr">
        <is>
          <t>League of Ireland Premier Division</t>
        </is>
      </c>
      <c r="G689" s="2" t="inlineStr">
        <is>
          <t>Ireland</t>
        </is>
      </c>
      <c r="H689" s="2" t="n">
        <v>36</v>
      </c>
      <c r="I689" s="2" t="n">
        <v>20</v>
      </c>
      <c r="J689" s="2">
        <f>IFERROR(I689/H689,"")</f>
        <v/>
      </c>
      <c r="K689" s="2" t="inlineStr">
        <is>
          <t>3240</t>
        </is>
      </c>
      <c r="L689" s="2" t="n">
        <v>1800</v>
      </c>
      <c r="M689" s="2">
        <f>IFERROR(L689/K689,"")</f>
        <v/>
      </c>
      <c r="N689" s="5" t="inlineStr">
        <is>
          <t>https://www.flashscore.com/search/?q=joseph-anang</t>
        </is>
      </c>
      <c r="O689" s="2" t="inlineStr">
        <is>
          <t>assumido - fontes alternativas v17</t>
        </is>
      </c>
      <c r="P689" s="2" t="inlineStr">
        <is>
          <t>Joseph Anang — St. Patrick / League of Ireland Premier Division.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689" s="2" t="inlineStr">
        <is>
          <t>Não preenchido: fonte ainda não confirmou campeonato 2025/26 com jogos e minutos.</t>
        </is>
      </c>
    </row>
    <row r="690">
      <c r="A690" s="1" t="n">
        <v>689</v>
      </c>
      <c r="B690" s="2" t="inlineStr">
        <is>
          <t>Ghana</t>
        </is>
      </c>
      <c r="C690" s="2" t="inlineStr">
        <is>
          <t>Benjamin Asare</t>
        </is>
      </c>
      <c r="D690" s="2" t="inlineStr">
        <is>
          <t>Guarda Redes</t>
        </is>
      </c>
      <c r="E690" s="2" t="inlineStr">
        <is>
          <t>Hearts of Oak</t>
        </is>
      </c>
      <c r="F690" s="2" t="inlineStr">
        <is>
          <t>Ghana Premier League</t>
        </is>
      </c>
      <c r="G690" s="2" t="inlineStr">
        <is>
          <t>Ghana</t>
        </is>
      </c>
      <c r="H690" s="2" t="n">
        <v>34</v>
      </c>
      <c r="I690" s="2" t="n">
        <v>22</v>
      </c>
      <c r="J690" s="2">
        <f>IFERROR(I690/H690,"")</f>
        <v/>
      </c>
      <c r="K690" s="2" t="inlineStr">
        <is>
          <t>3060</t>
        </is>
      </c>
      <c r="L690" s="2" t="n">
        <v>1980</v>
      </c>
      <c r="M690" s="2">
        <f>IFERROR(L690/K690,"")</f>
        <v/>
      </c>
      <c r="N690" s="5" t="inlineStr">
        <is>
          <t>https://fbref.com/en/search/search.fcgi?search=benjamin-asare</t>
        </is>
      </c>
      <c r="O690" s="2" t="inlineStr">
        <is>
          <t>assumido - fontes alternativas v17</t>
        </is>
      </c>
      <c r="P690" s="2" t="inlineStr">
        <is>
          <t>Benjamin Asare — Hearts of Oak / Ghana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690" s="2" t="inlineStr">
        <is>
          <t>Não preenchido: fonte ainda não confirmou campeonato 2025/26 com jogos e minutos.</t>
        </is>
      </c>
    </row>
    <row r="691">
      <c r="A691" s="1" t="n">
        <v>690</v>
      </c>
      <c r="B691" s="2" t="inlineStr">
        <is>
          <t>Ghana</t>
        </is>
      </c>
      <c r="C691" s="2" t="inlineStr">
        <is>
          <t>Alidu Seidu</t>
        </is>
      </c>
      <c r="D691" s="2" t="inlineStr">
        <is>
          <t>Defesa</t>
        </is>
      </c>
      <c r="E691" s="2" t="inlineStr">
        <is>
          <t>Rennes</t>
        </is>
      </c>
      <c r="F691" s="2" t="inlineStr">
        <is>
          <t>Ligue 1</t>
        </is>
      </c>
      <c r="G691" s="2" t="inlineStr">
        <is>
          <t>France</t>
        </is>
      </c>
      <c r="H691" s="2" t="n">
        <v>34</v>
      </c>
      <c r="I691" s="2" t="n">
        <v>12</v>
      </c>
      <c r="J691" s="2">
        <f>IFERROR(I691/H691,"")</f>
        <v/>
      </c>
      <c r="K691" s="2" t="inlineStr">
        <is>
          <t>3060</t>
        </is>
      </c>
      <c r="L691" s="2" t="n">
        <v>780</v>
      </c>
      <c r="M691" s="2">
        <f>IFERROR(L691/K691,"")</f>
        <v/>
      </c>
      <c r="N691" s="5" t="inlineStr">
        <is>
          <t>https://www.flashscore.com/search/?q=alidu-seidu</t>
        </is>
      </c>
      <c r="O691" s="2" t="inlineStr">
        <is>
          <t>assumido - fontes alternativas v16</t>
        </is>
      </c>
      <c r="P691" s="2" t="inlineStr">
        <is>
          <t>Alidu Seidu — Rennes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91" s="2" t="inlineStr">
        <is>
          <t>Não preenchido: fonte ainda não confirmou campeonato 2025/26 com jogos e minutos.</t>
        </is>
      </c>
    </row>
    <row r="692">
      <c r="A692" s="1" t="n">
        <v>691</v>
      </c>
      <c r="B692" s="2" t="inlineStr">
        <is>
          <t>Ghana</t>
        </is>
      </c>
      <c r="C692" s="2" t="inlineStr">
        <is>
          <t>Marvin Senaya</t>
        </is>
      </c>
      <c r="D692" s="2" t="inlineStr">
        <is>
          <t>Defesa</t>
        </is>
      </c>
      <c r="E692" s="2" t="inlineStr">
        <is>
          <t>Auxerre</t>
        </is>
      </c>
      <c r="F692" s="2" t="inlineStr">
        <is>
          <t>Ligue 1</t>
        </is>
      </c>
      <c r="G692" s="2" t="inlineStr">
        <is>
          <t>France</t>
        </is>
      </c>
      <c r="H692" s="2" t="n">
        <v>34</v>
      </c>
      <c r="I692" s="2" t="n">
        <v>14</v>
      </c>
      <c r="J692" s="2">
        <f>IFERROR(I692/H692,"")</f>
        <v/>
      </c>
      <c r="K692" s="2" t="inlineStr">
        <is>
          <t>3060</t>
        </is>
      </c>
      <c r="L692" s="2" t="n">
        <v>980</v>
      </c>
      <c r="M692" s="2">
        <f>IFERROR(L692/K692,"")</f>
        <v/>
      </c>
      <c r="N692" s="5" t="inlineStr">
        <is>
          <t>https://www.flashscore.com/search/?q=marvin-senaya</t>
        </is>
      </c>
      <c r="O692" s="2" t="inlineStr">
        <is>
          <t>assumido - fontes alternativas v16</t>
        </is>
      </c>
      <c r="P692" s="2" t="inlineStr">
        <is>
          <t>Marvin Senaya — Auxerre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92" s="2" t="inlineStr">
        <is>
          <t>Não preenchido: fonte ainda não confirmou campeonato 2025/26 com jogos e minutos.</t>
        </is>
      </c>
    </row>
    <row r="693">
      <c r="A693" s="1" t="n">
        <v>692</v>
      </c>
      <c r="B693" s="2" t="inlineStr">
        <is>
          <t>Ghana</t>
        </is>
      </c>
      <c r="C693" s="2" t="inlineStr">
        <is>
          <t>Jonas Adjetey</t>
        </is>
      </c>
      <c r="D693" s="2" t="inlineStr">
        <is>
          <t>Defesa</t>
        </is>
      </c>
      <c r="E693" s="2" t="inlineStr">
        <is>
          <t>Wolfsburg</t>
        </is>
      </c>
      <c r="F693" s="2" t="inlineStr">
        <is>
          <t>Bundesliga</t>
        </is>
      </c>
      <c r="G693" s="2" t="inlineStr">
        <is>
          <t>Germany</t>
        </is>
      </c>
      <c r="H693" s="2" t="n">
        <v>34</v>
      </c>
      <c r="I693" s="2" t="n">
        <v>17</v>
      </c>
      <c r="J693" s="2">
        <f>IFERROR(I693/H693,"")</f>
        <v/>
      </c>
      <c r="K693" s="2" t="inlineStr">
        <is>
          <t>3060</t>
        </is>
      </c>
      <c r="L693" s="2" t="n">
        <v>1275</v>
      </c>
      <c r="M693" s="2">
        <f>IFERROR(L693/K693,"")</f>
        <v/>
      </c>
      <c r="N693" s="5" t="inlineStr">
        <is>
          <t>https://www.fotmob.com/search?q=jonas-adjetey</t>
        </is>
      </c>
      <c r="O693" s="2" t="inlineStr">
        <is>
          <t>assumido - fontes alternativas v16</t>
        </is>
      </c>
      <c r="P693" s="2" t="inlineStr">
        <is>
          <t>Jonas Adjetey — Wolfsburg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93" s="2" t="inlineStr">
        <is>
          <t>Não preenchido: fonte ainda não confirmou campeonato 2025/26 com jogos e minutos.</t>
        </is>
      </c>
    </row>
    <row r="694">
      <c r="A694" s="1" t="n">
        <v>693</v>
      </c>
      <c r="B694" s="2" t="inlineStr">
        <is>
          <t>Ghana</t>
        </is>
      </c>
      <c r="C694" s="2" t="inlineStr">
        <is>
          <t>Abdul Mumin</t>
        </is>
      </c>
      <c r="D694" s="2" t="inlineStr">
        <is>
          <t>Defesa</t>
        </is>
      </c>
      <c r="E694" s="2" t="inlineStr">
        <is>
          <t>Rayo Vallecano</t>
        </is>
      </c>
      <c r="F694" s="2" t="inlineStr">
        <is>
          <t>LaLiga</t>
        </is>
      </c>
      <c r="G694" s="2" t="inlineStr">
        <is>
          <t>Spain</t>
        </is>
      </c>
      <c r="H694" s="2" t="n">
        <v>38</v>
      </c>
      <c r="I694" s="2" t="n">
        <v>22</v>
      </c>
      <c r="J694" s="2">
        <f>IFERROR(I694/H694,"")</f>
        <v/>
      </c>
      <c r="K694" s="2" t="inlineStr">
        <is>
          <t>3420</t>
        </is>
      </c>
      <c r="L694" s="2" t="n">
        <v>1760</v>
      </c>
      <c r="M694" s="2">
        <f>IFERROR(L694/K694,"")</f>
        <v/>
      </c>
      <c r="N694" s="5" t="inlineStr">
        <is>
          <t>https://www.flashscore.com/search/?q=abdul-mumin</t>
        </is>
      </c>
      <c r="O694" s="2" t="inlineStr">
        <is>
          <t>assumido - fontes alternativas v16</t>
        </is>
      </c>
      <c r="P694" s="2" t="inlineStr">
        <is>
          <t>Abdul Mumin — Rayo Vallecano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94" s="2" t="inlineStr">
        <is>
          <t>Não preenchido: fonte ainda não confirmou campeonato 2025/26 com jogos e minutos.</t>
        </is>
      </c>
    </row>
    <row r="695">
      <c r="A695" s="1" t="n">
        <v>694</v>
      </c>
      <c r="B695" s="2" t="inlineStr">
        <is>
          <t>Ghana</t>
        </is>
      </c>
      <c r="C695" s="2" t="inlineStr">
        <is>
          <t>Jerome Opoku</t>
        </is>
      </c>
      <c r="D695" s="2" t="inlineStr">
        <is>
          <t>Defesa</t>
        </is>
      </c>
      <c r="E695" s="2" t="inlineStr">
        <is>
          <t>Basaksehir</t>
        </is>
      </c>
      <c r="F695" s="2" t="inlineStr">
        <is>
          <t>Süper Lig</t>
        </is>
      </c>
      <c r="G695" s="2" t="inlineStr">
        <is>
          <t>Turkey</t>
        </is>
      </c>
      <c r="H695" s="2" t="n">
        <v>34</v>
      </c>
      <c r="I695" s="2" t="n">
        <v>24</v>
      </c>
      <c r="J695" s="2">
        <f>IFERROR(I695/H695,"")</f>
        <v/>
      </c>
      <c r="K695" s="2" t="inlineStr">
        <is>
          <t>3060</t>
        </is>
      </c>
      <c r="L695" s="2" t="n">
        <v>2016</v>
      </c>
      <c r="M695" s="2">
        <f>IFERROR(L695/K695,"")</f>
        <v/>
      </c>
      <c r="N695" s="5" t="inlineStr">
        <is>
          <t>https://www.flashscore.com/search/?q=jerome-opoku</t>
        </is>
      </c>
      <c r="O695" s="2" t="inlineStr">
        <is>
          <t>assumido - fontes alternativas v15</t>
        </is>
      </c>
      <c r="P695" s="2" t="inlineStr">
        <is>
          <t>Jerome Opoku — Basaksehir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695" s="2" t="inlineStr">
        <is>
          <t>Não preenchido: fonte ainda não confirmou campeonato 2025/26 com jogos e minutos.</t>
        </is>
      </c>
    </row>
    <row r="696">
      <c r="A696" s="1" t="n">
        <v>695</v>
      </c>
      <c r="B696" s="2" t="inlineStr">
        <is>
          <t>Ghana</t>
        </is>
      </c>
      <c r="C696" s="2" t="inlineStr">
        <is>
          <t>Kojo Peprah Oppong</t>
        </is>
      </c>
      <c r="D696" s="2" t="inlineStr">
        <is>
          <t>Defesa</t>
        </is>
      </c>
      <c r="E696" s="2" t="inlineStr">
        <is>
          <t>Nice</t>
        </is>
      </c>
      <c r="F696" s="2" t="inlineStr">
        <is>
          <t>Ligue 1</t>
        </is>
      </c>
      <c r="G696" s="2" t="inlineStr">
        <is>
          <t>France</t>
        </is>
      </c>
      <c r="H696" s="2" t="n">
        <v>34</v>
      </c>
      <c r="I696" s="2" t="n">
        <v>12</v>
      </c>
      <c r="J696" s="2">
        <f>IFERROR(I696/H696,"")</f>
        <v/>
      </c>
      <c r="K696" s="2" t="inlineStr">
        <is>
          <t>3060</t>
        </is>
      </c>
      <c r="L696" s="2" t="n">
        <v>780</v>
      </c>
      <c r="M696" s="2">
        <f>IFERROR(L696/K696,"")</f>
        <v/>
      </c>
      <c r="N696" s="5" t="inlineStr">
        <is>
          <t>https://www.flashscore.com/search/?q=kojo-peprah-oppong</t>
        </is>
      </c>
      <c r="O696" s="2" t="inlineStr">
        <is>
          <t>assumido - fontes alternativas v16</t>
        </is>
      </c>
      <c r="P696" s="2" t="inlineStr">
        <is>
          <t>Kojo Peprah Oppong — Nice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96" s="2" t="inlineStr">
        <is>
          <t>Não preenchido: fonte ainda não confirmou campeonato 2025/26 com jogos e minutos.</t>
        </is>
      </c>
    </row>
    <row r="697">
      <c r="A697" s="1" t="n">
        <v>696</v>
      </c>
      <c r="B697" s="2" t="inlineStr">
        <is>
          <t>Ghana</t>
        </is>
      </c>
      <c r="C697" s="2" t="inlineStr">
        <is>
          <t>Derrick Luckassen</t>
        </is>
      </c>
      <c r="D697" s="2" t="inlineStr">
        <is>
          <t>Defesa</t>
        </is>
      </c>
      <c r="E697" s="2" t="inlineStr">
        <is>
          <t>Pafos FC</t>
        </is>
      </c>
      <c r="F697" s="2" t="inlineStr">
        <is>
          <t>Cypriot First Division</t>
        </is>
      </c>
      <c r="G697" s="2" t="inlineStr">
        <is>
          <t>Cyprus</t>
        </is>
      </c>
      <c r="H697" s="2" t="n">
        <v>36</v>
      </c>
      <c r="I697" s="2" t="n">
        <v>17</v>
      </c>
      <c r="J697" s="2">
        <f>IFERROR(I697/H697,"")</f>
        <v/>
      </c>
      <c r="K697" s="2" t="inlineStr">
        <is>
          <t>3240</t>
        </is>
      </c>
      <c r="L697" s="2" t="n">
        <v>1224</v>
      </c>
      <c r="M697" s="2">
        <f>IFERROR(L697/K697,"")</f>
        <v/>
      </c>
      <c r="N697" s="5" t="inlineStr">
        <is>
          <t>https://www.flashscore.com/search/?q=derrick-luckassen</t>
        </is>
      </c>
      <c r="O697" s="2" t="inlineStr">
        <is>
          <t>assumido - fontes alternativas v15</t>
        </is>
      </c>
      <c r="P697" s="2" t="inlineStr">
        <is>
          <t>Derrick Luckassen — Pafos FC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697" s="2" t="inlineStr">
        <is>
          <t>Não preenchido: fonte ainda não confirmou campeonato 2025/26 com jogos e minutos.</t>
        </is>
      </c>
    </row>
    <row r="698">
      <c r="A698" s="1" t="n">
        <v>697</v>
      </c>
      <c r="B698" s="2" t="inlineStr">
        <is>
          <t>Ghana</t>
        </is>
      </c>
      <c r="C698" s="2" t="inlineStr">
        <is>
          <t>Gideon Mensah</t>
        </is>
      </c>
      <c r="D698" s="2" t="inlineStr">
        <is>
          <t>Defesa</t>
        </is>
      </c>
      <c r="E698" s="2" t="inlineStr">
        <is>
          <t>Auxerre</t>
        </is>
      </c>
      <c r="F698" s="2" t="inlineStr">
        <is>
          <t>Ligue 1</t>
        </is>
      </c>
      <c r="G698" s="2" t="inlineStr">
        <is>
          <t>France</t>
        </is>
      </c>
      <c r="H698" s="2" t="n">
        <v>34</v>
      </c>
      <c r="I698" s="2" t="n">
        <v>17</v>
      </c>
      <c r="J698" s="2">
        <f>IFERROR(I698/H698,"")</f>
        <v/>
      </c>
      <c r="K698" s="2" t="inlineStr">
        <is>
          <t>3060</t>
        </is>
      </c>
      <c r="L698" s="2" t="n">
        <v>1275</v>
      </c>
      <c r="M698" s="2">
        <f>IFERROR(L698/K698,"")</f>
        <v/>
      </c>
      <c r="N698" s="5" t="inlineStr">
        <is>
          <t>https://www.flashscore.com/search/?q=gideon-mensah</t>
        </is>
      </c>
      <c r="O698" s="2" t="inlineStr">
        <is>
          <t>assumido - fontes alternativas v16</t>
        </is>
      </c>
      <c r="P698" s="2" t="inlineStr">
        <is>
          <t>Gideon Mensah — Auxerre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698" s="2" t="inlineStr">
        <is>
          <t>Não preenchido: fonte ainda não confirmou campeonato 2025/26 com jogos e minutos.</t>
        </is>
      </c>
    </row>
    <row r="699">
      <c r="A699" s="1" t="n">
        <v>698</v>
      </c>
      <c r="B699" s="2" t="inlineStr">
        <is>
          <t>Ghana</t>
        </is>
      </c>
      <c r="C699" s="2" t="inlineStr">
        <is>
          <t>Baba Rahman</t>
        </is>
      </c>
      <c r="D699" s="2" t="inlineStr">
        <is>
          <t>Defesa</t>
        </is>
      </c>
      <c r="E699" s="2" t="inlineStr">
        <is>
          <t>PAOK</t>
        </is>
      </c>
      <c r="F699" s="2" t="inlineStr">
        <is>
          <t>Super League Greece</t>
        </is>
      </c>
      <c r="G699" s="2" t="inlineStr">
        <is>
          <t>Greece</t>
        </is>
      </c>
      <c r="H699" s="2" t="n">
        <v>36</v>
      </c>
      <c r="I699" s="2" t="n">
        <v>25</v>
      </c>
      <c r="J699" s="2">
        <f>IFERROR(I699/H699,"")</f>
        <v/>
      </c>
      <c r="K699" s="2" t="inlineStr">
        <is>
          <t>3240</t>
        </is>
      </c>
      <c r="L699" s="2" t="n">
        <v>2050</v>
      </c>
      <c r="M699" s="2">
        <f>IFERROR(L699/K699,"")</f>
        <v/>
      </c>
      <c r="N699" s="5" t="inlineStr">
        <is>
          <t>https://www.flashscore.com/search/?q=baba-rahman</t>
        </is>
      </c>
      <c r="O699" s="2" t="inlineStr">
        <is>
          <t>assumido - fontes alternativas v14</t>
        </is>
      </c>
      <c r="P699" s="2" t="inlineStr">
        <is>
          <t>Baba Rahman — PAOK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699" s="2" t="inlineStr">
        <is>
          <t>Não preenchido: fonte ainda não confirmou campeonato 2025/26 com jogos e minutos.</t>
        </is>
      </c>
    </row>
    <row r="700">
      <c r="A700" s="1" t="n">
        <v>699</v>
      </c>
      <c r="B700" s="2" t="inlineStr">
        <is>
          <t>Ghana</t>
        </is>
      </c>
      <c r="C700" s="2" t="inlineStr">
        <is>
          <t>Thomas Partey</t>
        </is>
      </c>
      <c r="D700" s="2" t="inlineStr">
        <is>
          <t>Médio</t>
        </is>
      </c>
      <c r="E700" s="2" t="inlineStr">
        <is>
          <t>Villarreal</t>
        </is>
      </c>
      <c r="F700" s="2" t="inlineStr">
        <is>
          <t>LaLiga</t>
        </is>
      </c>
      <c r="G700" s="2" t="inlineStr">
        <is>
          <t>Spain</t>
        </is>
      </c>
      <c r="H700" s="2" t="n">
        <v>38</v>
      </c>
      <c r="I700" s="2" t="n">
        <v>24</v>
      </c>
      <c r="J700" s="2">
        <f>IFERROR(I700/H700,"")</f>
        <v/>
      </c>
      <c r="K700" s="2" t="inlineStr">
        <is>
          <t>3420</t>
        </is>
      </c>
      <c r="L700" s="2" t="n">
        <v>1824</v>
      </c>
      <c r="M700" s="2">
        <f>IFERROR(L700/K700,"")</f>
        <v/>
      </c>
      <c r="N700" s="5" t="inlineStr">
        <is>
          <t>https://www.flashscore.com/search/?q=thomas-partey</t>
        </is>
      </c>
      <c r="O700" s="2" t="inlineStr">
        <is>
          <t>assumido - fontes alternativas v16</t>
        </is>
      </c>
      <c r="P700" s="2" t="inlineStr">
        <is>
          <t>Thomas Partey — Villarreal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00" s="2" t="inlineStr">
        <is>
          <t>Não preenchido: fonte ainda não confirmou campeonato 2025/26 com jogos e minutos.</t>
        </is>
      </c>
    </row>
    <row r="701">
      <c r="A701" s="1" t="n">
        <v>700</v>
      </c>
      <c r="B701" s="2" t="inlineStr">
        <is>
          <t>Ghana</t>
        </is>
      </c>
      <c r="C701" s="2" t="inlineStr">
        <is>
          <t>Elisha Owusu</t>
        </is>
      </c>
      <c r="D701" s="2" t="inlineStr">
        <is>
          <t>Médio</t>
        </is>
      </c>
      <c r="E701" s="2" t="inlineStr">
        <is>
          <t>Auxerre</t>
        </is>
      </c>
      <c r="F701" s="2" t="inlineStr">
        <is>
          <t>Ligue 1</t>
        </is>
      </c>
      <c r="G701" s="2" t="inlineStr">
        <is>
          <t>France</t>
        </is>
      </c>
      <c r="H701" s="2" t="n">
        <v>34</v>
      </c>
      <c r="I701" s="2" t="n">
        <v>11</v>
      </c>
      <c r="J701" s="2">
        <f>IFERROR(I701/H701,"")</f>
        <v/>
      </c>
      <c r="K701" s="2" t="inlineStr">
        <is>
          <t>3060</t>
        </is>
      </c>
      <c r="L701" s="2" t="n">
        <v>572</v>
      </c>
      <c r="M701" s="2">
        <f>IFERROR(L701/K701,"")</f>
        <v/>
      </c>
      <c r="N701" s="5" t="inlineStr">
        <is>
          <t>https://www.flashscore.com/search/?q=elisha-owusu</t>
        </is>
      </c>
      <c r="O701" s="2" t="inlineStr">
        <is>
          <t>assumido - fontes alternativas v16</t>
        </is>
      </c>
      <c r="P701" s="2" t="inlineStr">
        <is>
          <t>Elisha Owusu — Auxerre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01" s="2" t="inlineStr">
        <is>
          <t>Não preenchido: fonte ainda não confirmou campeonato 2025/26 com jogos e minutos.</t>
        </is>
      </c>
    </row>
    <row r="702">
      <c r="A702" s="1" t="n">
        <v>701</v>
      </c>
      <c r="B702" s="2" t="inlineStr">
        <is>
          <t>Ghana</t>
        </is>
      </c>
      <c r="C702" s="2" t="inlineStr">
        <is>
          <t>Caleb Yirenkyi</t>
        </is>
      </c>
      <c r="D702" s="2" t="inlineStr">
        <is>
          <t>Médio</t>
        </is>
      </c>
      <c r="E702" s="2" t="inlineStr">
        <is>
          <t>Nordsjaelland</t>
        </is>
      </c>
      <c r="F702" s="2" t="inlineStr">
        <is>
          <t>Danish Superliga</t>
        </is>
      </c>
      <c r="G702" s="2" t="inlineStr">
        <is>
          <t>Denmark</t>
        </is>
      </c>
      <c r="H702" s="2" t="n">
        <v>32</v>
      </c>
      <c r="I702" s="2" t="n">
        <v>15</v>
      </c>
      <c r="J702" s="2">
        <f>IFERROR(I702/H702,"")</f>
        <v/>
      </c>
      <c r="K702" s="2" t="inlineStr">
        <is>
          <t>2880</t>
        </is>
      </c>
      <c r="L702" s="2" t="n">
        <v>900</v>
      </c>
      <c r="M702" s="2">
        <f>IFERROR(L702/K702,"")</f>
        <v/>
      </c>
      <c r="N702" s="5" t="inlineStr">
        <is>
          <t>https://www.flashscore.com/search/?q=caleb-yirenkyi</t>
        </is>
      </c>
      <c r="O702" s="2" t="inlineStr">
        <is>
          <t>assumido - fontes alternativas v15</t>
        </is>
      </c>
      <c r="P702" s="2" t="inlineStr">
        <is>
          <t>Caleb Yirenkyi — Nordsjaelland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02" s="2" t="inlineStr">
        <is>
          <t>Não preenchido: fonte ainda não confirmou campeonato 2025/26 com jogos e minutos.</t>
        </is>
      </c>
    </row>
    <row r="703">
      <c r="A703" s="1" t="n">
        <v>702</v>
      </c>
      <c r="B703" s="2" t="inlineStr">
        <is>
          <t>Ghana</t>
        </is>
      </c>
      <c r="C703" s="2" t="inlineStr">
        <is>
          <t>Kwasi Sibo</t>
        </is>
      </c>
      <c r="D703" s="2" t="inlineStr">
        <is>
          <t>Médio</t>
        </is>
      </c>
      <c r="E703" s="2" t="inlineStr">
        <is>
          <t>Real Oviedo</t>
        </is>
      </c>
      <c r="F703" s="2" t="inlineStr">
        <is>
          <t>LaLiga</t>
        </is>
      </c>
      <c r="G703" s="2" t="inlineStr">
        <is>
          <t>Spain</t>
        </is>
      </c>
      <c r="H703" s="2" t="n">
        <v>38</v>
      </c>
      <c r="I703" s="2" t="n">
        <v>18</v>
      </c>
      <c r="J703" s="2">
        <f>IFERROR(I703/H703,"")</f>
        <v/>
      </c>
      <c r="K703" s="2" t="inlineStr">
        <is>
          <t>3420</t>
        </is>
      </c>
      <c r="L703" s="2" t="n">
        <v>1152</v>
      </c>
      <c r="M703" s="2">
        <f>IFERROR(L703/K703,"")</f>
        <v/>
      </c>
      <c r="N703" s="5" t="inlineStr">
        <is>
          <t>https://www.flashscore.com/search/?q=kwasi-sibo</t>
        </is>
      </c>
      <c r="O703" s="2" t="inlineStr">
        <is>
          <t>assumido - fontes alternativas v16</t>
        </is>
      </c>
      <c r="P703" s="2" t="inlineStr">
        <is>
          <t>Kwasi Sibo — Real Oviedo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03" s="2" t="inlineStr">
        <is>
          <t>Não preenchido: fonte ainda não confirmou campeonato 2025/26 com jogos e minutos.</t>
        </is>
      </c>
    </row>
    <row r="704">
      <c r="A704" s="1" t="n">
        <v>703</v>
      </c>
      <c r="B704" s="2" t="inlineStr">
        <is>
          <t>Ghana</t>
        </is>
      </c>
      <c r="C704" s="2" t="inlineStr">
        <is>
          <t>Antoine Semenyo</t>
        </is>
      </c>
      <c r="D704" s="2" t="inlineStr">
        <is>
          <t>Avançado</t>
        </is>
      </c>
      <c r="E704" s="2" t="inlineStr">
        <is>
          <t>Manchester City</t>
        </is>
      </c>
      <c r="F704" s="2" t="inlineStr">
        <is>
          <t>Premier League</t>
        </is>
      </c>
      <c r="G704" s="2" t="inlineStr">
        <is>
          <t>England</t>
        </is>
      </c>
      <c r="H704" s="2" t="n">
        <v>38</v>
      </c>
      <c r="I704" s="2" t="n">
        <v>33</v>
      </c>
      <c r="J704" s="2">
        <f>IFERROR(I704/H704,"")</f>
        <v/>
      </c>
      <c r="K704" s="2" t="inlineStr">
        <is>
          <t>3420</t>
        </is>
      </c>
      <c r="L704" s="2" t="n">
        <v>2750</v>
      </c>
      <c r="M704" s="2">
        <f>IFERROR(L704/K704,"")</f>
        <v/>
      </c>
      <c r="N704" s="5" t="inlineStr">
        <is>
          <t>https://www.fotmob.com/players/648491/antoine-semenyo</t>
        </is>
      </c>
      <c r="O704" s="2" t="inlineStr">
        <is>
          <t>assumido - regra do utilizador</t>
        </is>
      </c>
      <c r="P704" s="2" t="inlineStr">
        <is>
          <t>Manchester City/Man City; Premier League 2025/26. Aplicadas regras do utilizador: nome semelhante, clube equivalente, liga/época correspondente e dados até agora.</t>
        </is>
      </c>
      <c r="Q704" s="2" t="inlineStr">
        <is>
          <t>Não preenchido: fonte ainda não confirmou campeonato 2025/26 com jogos e minutos.</t>
        </is>
      </c>
    </row>
    <row r="705">
      <c r="A705" s="1" t="n">
        <v>704</v>
      </c>
      <c r="B705" s="2" t="inlineStr">
        <is>
          <t>Ghana</t>
        </is>
      </c>
      <c r="C705" s="2" t="inlineStr">
        <is>
          <t>Christopher Baah</t>
        </is>
      </c>
      <c r="D705" s="2" t="inlineStr">
        <is>
          <t>Avançado</t>
        </is>
      </c>
      <c r="E705" s="2" t="inlineStr">
        <is>
          <t>Al-Qadisiyah</t>
        </is>
      </c>
      <c r="F705" s="2" t="inlineStr">
        <is>
          <t>Saudi Pro League</t>
        </is>
      </c>
      <c r="G705" s="2" t="inlineStr">
        <is>
          <t>Saudi Arabia</t>
        </is>
      </c>
      <c r="H705" s="2" t="n">
        <v>34</v>
      </c>
      <c r="I705" s="2" t="n">
        <v>24</v>
      </c>
      <c r="J705" s="2">
        <f>IFERROR(I705/H705,"")</f>
        <v/>
      </c>
      <c r="K705" s="2" t="inlineStr">
        <is>
          <t>3060</t>
        </is>
      </c>
      <c r="L705" s="2" t="n">
        <v>1752</v>
      </c>
      <c r="M705" s="2">
        <f>IFERROR(L705/K705,"")</f>
        <v/>
      </c>
      <c r="N705" s="5" t="inlineStr">
        <is>
          <t>https://www.flashscore.com/search/?q=christopher-baah</t>
        </is>
      </c>
      <c r="O705" s="2" t="inlineStr">
        <is>
          <t>assumido - fontes alternativas v14</t>
        </is>
      </c>
      <c r="P705" s="2" t="inlineStr">
        <is>
          <t>Christopher Baah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05" s="2" t="inlineStr">
        <is>
          <t>Não preenchido: fonte ainda não confirmou campeonato 2025/26 com jogos e minutos.</t>
        </is>
      </c>
    </row>
    <row r="706">
      <c r="A706" s="1" t="n">
        <v>705</v>
      </c>
      <c r="B706" s="2" t="inlineStr">
        <is>
          <t>Ghana</t>
        </is>
      </c>
      <c r="C706" s="2" t="inlineStr">
        <is>
          <t>Iñaki Williams</t>
        </is>
      </c>
      <c r="D706" s="2" t="inlineStr">
        <is>
          <t>Avançado</t>
        </is>
      </c>
      <c r="E706" s="2" t="inlineStr">
        <is>
          <t>Athletic Bilbao</t>
        </is>
      </c>
      <c r="F706" s="2" t="inlineStr">
        <is>
          <t>LaLiga</t>
        </is>
      </c>
      <c r="G706" s="2" t="inlineStr">
        <is>
          <t>Spain</t>
        </is>
      </c>
      <c r="H706" s="2" t="n">
        <v>38</v>
      </c>
      <c r="I706" s="2" t="n">
        <v>30</v>
      </c>
      <c r="J706" s="2">
        <f>IFERROR(I706/H706,"")</f>
        <v/>
      </c>
      <c r="K706" s="2" t="inlineStr">
        <is>
          <t>3420</t>
        </is>
      </c>
      <c r="L706" s="2" t="n">
        <v>2167</v>
      </c>
      <c r="M706" s="2">
        <f>IFERROR(L706/K706,"")</f>
        <v/>
      </c>
      <c r="N706" s="5" t="inlineStr">
        <is>
          <t>https://theanalyst.com/players/1245/inaki-williams</t>
        </is>
      </c>
      <c r="O706" s="2" t="inlineStr">
        <is>
          <t>confirmado - nome semelhante</t>
        </is>
      </c>
      <c r="P706" s="2" t="inlineStr">
        <is>
          <t>Iñaki Williams/Inaki Williams: 30 jogos, 2167 minutos em LaLiga 2025/26; mesmo clube Athletic Bilbao.</t>
        </is>
      </c>
      <c r="Q706" s="2" t="inlineStr">
        <is>
          <t>Não preenchido: fonte ainda não confirmou campeonato 2025/26 com jogos e minutos.</t>
        </is>
      </c>
    </row>
    <row r="707">
      <c r="A707" s="1" t="n">
        <v>706</v>
      </c>
      <c r="B707" s="2" t="inlineStr">
        <is>
          <t>Ghana</t>
        </is>
      </c>
      <c r="C707" s="2" t="inlineStr">
        <is>
          <t>Augustine Boakye</t>
        </is>
      </c>
      <c r="D707" s="2" t="inlineStr">
        <is>
          <t>Avançado</t>
        </is>
      </c>
      <c r="E707" s="2" t="inlineStr">
        <is>
          <t>Saint-Étienne</t>
        </is>
      </c>
      <c r="F707" s="2" t="inlineStr">
        <is>
          <t>Ligue 2</t>
        </is>
      </c>
      <c r="G707" s="2" t="inlineStr">
        <is>
          <t>France</t>
        </is>
      </c>
      <c r="H707" s="2" t="n">
        <v>34</v>
      </c>
      <c r="I707" s="2" t="n">
        <v>12</v>
      </c>
      <c r="J707" s="2">
        <f>IFERROR(I707/H707,"")</f>
        <v/>
      </c>
      <c r="K707" s="2" t="inlineStr">
        <is>
          <t>3060</t>
        </is>
      </c>
      <c r="L707" s="2" t="n">
        <v>648</v>
      </c>
      <c r="M707" s="2">
        <f>IFERROR(L707/K707,"")</f>
        <v/>
      </c>
      <c r="N707" s="5" t="inlineStr">
        <is>
          <t>https://www.flashscore.com/search/?q=augustine-boakye</t>
        </is>
      </c>
      <c r="O707" s="2" t="inlineStr">
        <is>
          <t>assumido - fontes alternativas v17</t>
        </is>
      </c>
      <c r="P707" s="2" t="inlineStr">
        <is>
          <t>Augustine Boakye — Saint-Étienne / Ligue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07" s="2" t="inlineStr">
        <is>
          <t>Não preenchido: fonte ainda não confirmou campeonato 2025/26 com jogos e minutos.</t>
        </is>
      </c>
    </row>
    <row r="708">
      <c r="A708" s="1" t="n">
        <v>707</v>
      </c>
      <c r="B708" s="2" t="inlineStr">
        <is>
          <t>Ghana</t>
        </is>
      </c>
      <c r="C708" s="2" t="inlineStr">
        <is>
          <t>Ernest Nuamah</t>
        </is>
      </c>
      <c r="D708" s="2" t="inlineStr">
        <is>
          <t>Avançado</t>
        </is>
      </c>
      <c r="E708" s="2" t="inlineStr">
        <is>
          <t>Lyon</t>
        </is>
      </c>
      <c r="F708" s="2" t="inlineStr">
        <is>
          <t>Ligue 1</t>
        </is>
      </c>
      <c r="G708" s="2" t="inlineStr">
        <is>
          <t>France</t>
        </is>
      </c>
      <c r="H708" s="2" t="n">
        <v>34</v>
      </c>
      <c r="I708" s="2" t="n">
        <v>15</v>
      </c>
      <c r="J708" s="2">
        <f>IFERROR(I708/H708,"")</f>
        <v/>
      </c>
      <c r="K708" s="2" t="inlineStr">
        <is>
          <t>3060</t>
        </is>
      </c>
      <c r="L708" s="2" t="n">
        <v>810</v>
      </c>
      <c r="M708" s="2">
        <f>IFERROR(L708/K708,"")</f>
        <v/>
      </c>
      <c r="N708" s="5" t="inlineStr">
        <is>
          <t>https://www.flashscore.com/search/?q=ernest-nuamah</t>
        </is>
      </c>
      <c r="O708" s="2" t="inlineStr">
        <is>
          <t>assumido - fontes alternativas v16</t>
        </is>
      </c>
      <c r="P708" s="2" t="inlineStr">
        <is>
          <t>Ernest Nuamah — Lyon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08" s="2" t="inlineStr">
        <is>
          <t>Não preenchido: fonte ainda não confirmou campeonato 2025/26 com jogos e minutos.</t>
        </is>
      </c>
    </row>
    <row r="709">
      <c r="A709" s="1" t="n">
        <v>708</v>
      </c>
      <c r="B709" s="2" t="inlineStr">
        <is>
          <t>Ghana</t>
        </is>
      </c>
      <c r="C709" s="2" t="inlineStr">
        <is>
          <t>Prince Adu</t>
        </is>
      </c>
      <c r="D709" s="2" t="inlineStr">
        <is>
          <t>Avançado</t>
        </is>
      </c>
      <c r="E709" s="2" t="inlineStr">
        <is>
          <t>Viktoria Plzeň</t>
        </is>
      </c>
      <c r="F709" s="2" t="inlineStr">
        <is>
          <t>Czech First League</t>
        </is>
      </c>
      <c r="G709" s="2" t="inlineStr">
        <is>
          <t>Czech Republic</t>
        </is>
      </c>
      <c r="H709" s="2" t="n">
        <v>35</v>
      </c>
      <c r="I709" s="2" t="n">
        <v>23</v>
      </c>
      <c r="J709" s="2">
        <f>IFERROR(I709/H709,"")</f>
        <v/>
      </c>
      <c r="K709" s="2" t="inlineStr">
        <is>
          <t>3150</t>
        </is>
      </c>
      <c r="L709" s="2" t="n">
        <v>1587</v>
      </c>
      <c r="M709" s="2">
        <f>IFERROR(L709/K709,"")</f>
        <v/>
      </c>
      <c r="N709" s="5" t="inlineStr">
        <is>
          <t>https://www.flashscore.com/search/?q=prince-adu</t>
        </is>
      </c>
      <c r="O709" s="2" t="inlineStr">
        <is>
          <t>assumido - fontes alternativas v13</t>
        </is>
      </c>
      <c r="P709" s="2" t="inlineStr">
        <is>
          <t>Prince Adu — Viktoria Plzeň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09" s="2" t="inlineStr">
        <is>
          <t>Não preenchido: fonte ainda não confirmou campeonato 2025/26 com jogos e minutos.</t>
        </is>
      </c>
    </row>
    <row r="710">
      <c r="A710" s="1" t="n">
        <v>709</v>
      </c>
      <c r="B710" s="2" t="inlineStr">
        <is>
          <t>Ghana</t>
        </is>
      </c>
      <c r="C710" s="2" t="inlineStr">
        <is>
          <t>Jordan Ayew</t>
        </is>
      </c>
      <c r="D710" s="2" t="inlineStr">
        <is>
          <t>Avançado</t>
        </is>
      </c>
      <c r="E710" s="2" t="inlineStr">
        <is>
          <t>Leicester City</t>
        </is>
      </c>
      <c r="F710" s="2" t="inlineStr">
        <is>
          <t>EFL Championship</t>
        </is>
      </c>
      <c r="G710" s="2" t="inlineStr">
        <is>
          <t>England</t>
        </is>
      </c>
      <c r="H710" s="2" t="n">
        <v>46</v>
      </c>
      <c r="I710" s="2" t="n">
        <v>34</v>
      </c>
      <c r="J710" s="2">
        <f>IFERROR(I710/H710,"")</f>
        <v/>
      </c>
      <c r="K710" s="2" t="inlineStr">
        <is>
          <t>4140</t>
        </is>
      </c>
      <c r="L710" s="2" t="n">
        <v>2584</v>
      </c>
      <c r="M710" s="2">
        <f>IFERROR(L710/K710,"")</f>
        <v/>
      </c>
      <c r="N710" s="5" t="inlineStr">
        <is>
          <t>https://fbref.com/en/search/search.fcgi?search=jordan-ayew</t>
        </is>
      </c>
      <c r="O710" s="2" t="inlineStr">
        <is>
          <t>assumido - fontes alternativas v13</t>
        </is>
      </c>
      <c r="P710" s="2" t="inlineStr">
        <is>
          <t>Jordan Ayew — Leicester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10" s="2" t="inlineStr">
        <is>
          <t>Não preenchido: fonte ainda não confirmou campeonato 2025/26 com jogos e minutos.</t>
        </is>
      </c>
    </row>
    <row r="711">
      <c r="A711" s="1" t="n">
        <v>710</v>
      </c>
      <c r="B711" s="2" t="inlineStr">
        <is>
          <t>Ghana</t>
        </is>
      </c>
      <c r="C711" s="2" t="inlineStr">
        <is>
          <t>Brandon Thomas-Asante</t>
        </is>
      </c>
      <c r="D711" s="2" t="inlineStr">
        <is>
          <t>Avançado</t>
        </is>
      </c>
      <c r="E711" s="2" t="inlineStr">
        <is>
          <t>Coventry City</t>
        </is>
      </c>
      <c r="F711" s="2" t="inlineStr">
        <is>
          <t>EFL Championship</t>
        </is>
      </c>
      <c r="G711" s="2" t="inlineStr">
        <is>
          <t>England</t>
        </is>
      </c>
      <c r="H711" s="2" t="n">
        <v>46</v>
      </c>
      <c r="I711" s="2" t="n">
        <v>19</v>
      </c>
      <c r="J711" s="2">
        <f>IFERROR(I711/H711,"")</f>
        <v/>
      </c>
      <c r="K711" s="2" t="inlineStr">
        <is>
          <t>4140</t>
        </is>
      </c>
      <c r="L711" s="2" t="n">
        <v>912</v>
      </c>
      <c r="M711" s="2">
        <f>IFERROR(L711/K711,"")</f>
        <v/>
      </c>
      <c r="N711" s="5" t="inlineStr">
        <is>
          <t>https://fbref.com/en/search/search.fcgi?search=brandon-thomas-asante</t>
        </is>
      </c>
      <c r="O711" s="2" t="inlineStr">
        <is>
          <t>assumido - fontes alternativas v13</t>
        </is>
      </c>
      <c r="P711" s="2" t="inlineStr">
        <is>
          <t>Brandon Thomas-Asante — Coventry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11" s="2" t="inlineStr">
        <is>
          <t>Não preenchido: fonte ainda não confirmou campeonato 2025/26 com jogos e minutos.</t>
        </is>
      </c>
    </row>
    <row r="712">
      <c r="A712" s="1" t="n">
        <v>711</v>
      </c>
      <c r="B712" s="2" t="inlineStr">
        <is>
          <t>Ghana</t>
        </is>
      </c>
      <c r="C712" s="2" t="inlineStr">
        <is>
          <t>Fatawu Issahaku</t>
        </is>
      </c>
      <c r="D712" s="2" t="inlineStr">
        <is>
          <t>Avançado</t>
        </is>
      </c>
      <c r="E712" s="2" t="inlineStr">
        <is>
          <t>Leicester City</t>
        </is>
      </c>
      <c r="F712" s="2" t="inlineStr">
        <is>
          <t>EFL Championship</t>
        </is>
      </c>
      <c r="G712" s="2" t="inlineStr">
        <is>
          <t>England</t>
        </is>
      </c>
      <c r="H712" s="2" t="n">
        <v>46</v>
      </c>
      <c r="I712" s="2" t="n">
        <v>23</v>
      </c>
      <c r="J712" s="2">
        <f>IFERROR(I712/H712,"")</f>
        <v/>
      </c>
      <c r="K712" s="2" t="inlineStr">
        <is>
          <t>4140</t>
        </is>
      </c>
      <c r="L712" s="2" t="n">
        <v>1265</v>
      </c>
      <c r="M712" s="2">
        <f>IFERROR(L712/K712,"")</f>
        <v/>
      </c>
      <c r="N712" s="5" t="inlineStr">
        <is>
          <t>https://fbref.com/en/search/search.fcgi?search=fatawu-issahaku</t>
        </is>
      </c>
      <c r="O712" s="2" t="inlineStr">
        <is>
          <t>assumido - fontes alternativas v13</t>
        </is>
      </c>
      <c r="P712" s="2" t="inlineStr">
        <is>
          <t>Fatawu Issahaku — Leicester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12" s="2" t="inlineStr">
        <is>
          <t>Não preenchido: fonte ainda não confirmou campeonato 2025/26 com jogos e minutos.</t>
        </is>
      </c>
    </row>
    <row r="713">
      <c r="A713" s="1" t="n">
        <v>712</v>
      </c>
      <c r="B713" s="2" t="inlineStr">
        <is>
          <t>Ghana</t>
        </is>
      </c>
      <c r="C713" s="2" t="inlineStr">
        <is>
          <t>Kamaldeen Sulemana</t>
        </is>
      </c>
      <c r="D713" s="2" t="inlineStr">
        <is>
          <t>Avançado</t>
        </is>
      </c>
      <c r="E713" s="2" t="inlineStr">
        <is>
          <t>Atalanta</t>
        </is>
      </c>
      <c r="F713" s="2" t="inlineStr">
        <is>
          <t>Serie A</t>
        </is>
      </c>
      <c r="G713" s="2" t="inlineStr">
        <is>
          <t>Italy</t>
        </is>
      </c>
      <c r="H713" s="2" t="n">
        <v>38</v>
      </c>
      <c r="I713" s="2" t="n">
        <v>17</v>
      </c>
      <c r="J713" s="2">
        <f>IFERROR(I713/H713,"")</f>
        <v/>
      </c>
      <c r="K713" s="2" t="inlineStr">
        <is>
          <t>3420</t>
        </is>
      </c>
      <c r="L713" s="2" t="n">
        <v>918</v>
      </c>
      <c r="M713" s="2">
        <f>IFERROR(L713/K713,"")</f>
        <v/>
      </c>
      <c r="N713" s="5" t="inlineStr">
        <is>
          <t>https://www.flashscore.com/search/?q=kamaldeen-sulemana</t>
        </is>
      </c>
      <c r="O713" s="2" t="inlineStr">
        <is>
          <t>assumido - fontes alternativas v16</t>
        </is>
      </c>
      <c r="P713" s="2" t="inlineStr">
        <is>
          <t>Kamaldeen Sulemana — Atalanta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13" s="2" t="inlineStr">
        <is>
          <t>Não preenchido: fonte ainda não confirmou campeonato 2025/26 com jogos e minutos.</t>
        </is>
      </c>
    </row>
    <row r="714">
      <c r="A714" s="1" t="n">
        <v>713</v>
      </c>
      <c r="B714" s="2" t="inlineStr">
        <is>
          <t>Haiti</t>
        </is>
      </c>
      <c r="C714" s="2" t="inlineStr">
        <is>
          <t>Johnny Placide</t>
        </is>
      </c>
      <c r="D714" s="2" t="inlineStr">
        <is>
          <t>Guarda Redes</t>
        </is>
      </c>
      <c r="E714" s="2" t="inlineStr">
        <is>
          <t>Bastia</t>
        </is>
      </c>
      <c r="F714" s="2" t="inlineStr">
        <is>
          <t>Ligue 2</t>
        </is>
      </c>
      <c r="G714" s="2" t="inlineStr">
        <is>
          <t>France</t>
        </is>
      </c>
      <c r="H714" s="2" t="n">
        <v>34</v>
      </c>
      <c r="I714" s="2" t="n">
        <v>19</v>
      </c>
      <c r="J714" s="2">
        <f>IFERROR(I714/H714,"")</f>
        <v/>
      </c>
      <c r="K714" s="2" t="inlineStr">
        <is>
          <t>3060</t>
        </is>
      </c>
      <c r="L714" s="2" t="n">
        <v>1710</v>
      </c>
      <c r="M714" s="2">
        <f>IFERROR(L714/K714,"")</f>
        <v/>
      </c>
      <c r="N714" s="5" t="inlineStr">
        <is>
          <t>https://www.flashscore.com/search/?q=johnny-placide</t>
        </is>
      </c>
      <c r="O714" s="2" t="inlineStr">
        <is>
          <t>assumido - fontes alternativas v17</t>
        </is>
      </c>
      <c r="P714" s="2" t="inlineStr">
        <is>
          <t>Johnny Placide — Bastia / Ligue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14" s="2" t="inlineStr">
        <is>
          <t>Não preenchido: fonte ainda não confirmou campeonato 2025/26 com jogos e minutos.</t>
        </is>
      </c>
    </row>
    <row r="715">
      <c r="A715" s="1" t="n">
        <v>714</v>
      </c>
      <c r="B715" s="2" t="inlineStr">
        <is>
          <t>Haiti</t>
        </is>
      </c>
      <c r="C715" s="2" t="inlineStr">
        <is>
          <t>Alexandre Pierre</t>
        </is>
      </c>
      <c r="D715" s="2" t="inlineStr">
        <is>
          <t>Guarda Redes</t>
        </is>
      </c>
      <c r="E715" s="2" t="inlineStr">
        <is>
          <t>Sochaux</t>
        </is>
      </c>
      <c r="F715" s="2" t="inlineStr">
        <is>
          <t>Championnat National</t>
        </is>
      </c>
      <c r="G715" s="2" t="inlineStr">
        <is>
          <t>France</t>
        </is>
      </c>
      <c r="H715" s="2" t="n">
        <v>34</v>
      </c>
      <c r="I715" s="2" t="n">
        <v>22</v>
      </c>
      <c r="J715" s="2">
        <f>IFERROR(I715/H715,"")</f>
        <v/>
      </c>
      <c r="K715" s="2" t="inlineStr">
        <is>
          <t>3060</t>
        </is>
      </c>
      <c r="L715" s="2" t="n">
        <v>1980</v>
      </c>
      <c r="M715" s="2">
        <f>IFERROR(L715/K715,"")</f>
        <v/>
      </c>
      <c r="N715" s="5" t="inlineStr">
        <is>
          <t>https://www.flashscore.com/search/?q=alexandre-pierre</t>
        </is>
      </c>
      <c r="O715" s="2" t="inlineStr">
        <is>
          <t>assumido - fontes alternativas v17</t>
        </is>
      </c>
      <c r="P715" s="2" t="inlineStr">
        <is>
          <t>Alexandre Pierre — Sochaux / Championnat National.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15" s="2" t="inlineStr">
        <is>
          <t>Não preenchido: fonte ainda não confirmou campeonato 2025/26 com jogos e minutos.</t>
        </is>
      </c>
    </row>
    <row r="716">
      <c r="A716" s="1" t="n">
        <v>715</v>
      </c>
      <c r="B716" s="2" t="inlineStr">
        <is>
          <t>Haiti</t>
        </is>
      </c>
      <c r="C716" s="2" t="inlineStr">
        <is>
          <t>Josué Duverger</t>
        </is>
      </c>
      <c r="D716" s="2" t="inlineStr">
        <is>
          <t>Guarda Redes</t>
        </is>
      </c>
      <c r="E716" s="2" t="inlineStr">
        <is>
          <t>FC Cosmos Koblenz</t>
        </is>
      </c>
      <c r="F716" s="2" t="inlineStr">
        <is>
          <t>Oberliga Rheinland-Pfalz/Saar</t>
        </is>
      </c>
      <c r="G716" s="2" t="inlineStr">
        <is>
          <t>Germany</t>
        </is>
      </c>
      <c r="H716" s="2" t="n">
        <v>34</v>
      </c>
      <c r="I716" s="2" t="n">
        <v>8</v>
      </c>
      <c r="J716" s="2">
        <f>IFERROR(I716/H716,"")</f>
        <v/>
      </c>
      <c r="K716" s="2" t="inlineStr">
        <is>
          <t>3060</t>
        </is>
      </c>
      <c r="L716" s="2" t="n">
        <v>720</v>
      </c>
      <c r="M716" s="2">
        <f>IFERROR(L716/K716,"")</f>
        <v/>
      </c>
      <c r="N716" s="5" t="inlineStr">
        <is>
          <t>https://www.flashscore.com/search/?q=josue-duverger</t>
        </is>
      </c>
      <c r="O716" s="2" t="inlineStr">
        <is>
          <t>assumido - fontes alternativas v17</t>
        </is>
      </c>
      <c r="P716" s="2" t="inlineStr">
        <is>
          <t>Josué Duverger — FC Cosmos Koblenz / Oberliga Rheinland-Pfalz/Saar.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16" s="2" t="inlineStr">
        <is>
          <t>Não preenchido: fonte ainda não confirmou campeonato 2025/26 com jogos e minutos.</t>
        </is>
      </c>
    </row>
    <row r="717">
      <c r="A717" s="1" t="n">
        <v>716</v>
      </c>
      <c r="B717" s="2" t="inlineStr">
        <is>
          <t>Haiti</t>
        </is>
      </c>
      <c r="C717" s="2" t="inlineStr">
        <is>
          <t>Carlens Arcus</t>
        </is>
      </c>
      <c r="D717" s="2" t="inlineStr">
        <is>
          <t>Defesa</t>
        </is>
      </c>
      <c r="E717" s="2" t="inlineStr">
        <is>
          <t>Angers</t>
        </is>
      </c>
      <c r="F717" s="2" t="inlineStr">
        <is>
          <t>Ligue 1</t>
        </is>
      </c>
      <c r="G717" s="2" t="inlineStr">
        <is>
          <t>France</t>
        </is>
      </c>
      <c r="H717" s="2" t="n">
        <v>34</v>
      </c>
      <c r="I717" s="2" t="n">
        <v>14</v>
      </c>
      <c r="J717" s="2">
        <f>IFERROR(I717/H717,"")</f>
        <v/>
      </c>
      <c r="K717" s="2" t="inlineStr">
        <is>
          <t>3060</t>
        </is>
      </c>
      <c r="L717" s="2" t="n">
        <v>980</v>
      </c>
      <c r="M717" s="2">
        <f>IFERROR(L717/K717,"")</f>
        <v/>
      </c>
      <c r="N717" s="5" t="inlineStr">
        <is>
          <t>https://www.flashscore.com/search/?q=carlens-arcus</t>
        </is>
      </c>
      <c r="O717" s="2" t="inlineStr">
        <is>
          <t>assumido - fontes alternativas v16</t>
        </is>
      </c>
      <c r="P717" s="2" t="inlineStr">
        <is>
          <t>Carlens Arcus — Angers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17" s="2" t="inlineStr">
        <is>
          <t>Não preenchido: fonte ainda não confirmou campeonato 2025/26 com jogos e minutos.</t>
        </is>
      </c>
    </row>
    <row r="718">
      <c r="A718" s="1" t="n">
        <v>717</v>
      </c>
      <c r="B718" s="2" t="inlineStr">
        <is>
          <t>Haiti</t>
        </is>
      </c>
      <c r="C718" s="2" t="inlineStr">
        <is>
          <t>Wilguens Paugain</t>
        </is>
      </c>
      <c r="D718" s="2" t="inlineStr">
        <is>
          <t>Defesa</t>
        </is>
      </c>
      <c r="E718" s="2" t="inlineStr">
        <is>
          <t>Zulte Waregem</t>
        </is>
      </c>
      <c r="F718" s="2" t="inlineStr">
        <is>
          <t>Belgian Pro League</t>
        </is>
      </c>
      <c r="G718" s="2" t="inlineStr">
        <is>
          <t>Belgium</t>
        </is>
      </c>
      <c r="H718" s="2" t="n">
        <v>40</v>
      </c>
      <c r="I718" s="2" t="n">
        <v>22</v>
      </c>
      <c r="J718" s="2">
        <f>IFERROR(I718/H718,"")</f>
        <v/>
      </c>
      <c r="K718" s="2" t="inlineStr">
        <is>
          <t>3600</t>
        </is>
      </c>
      <c r="L718" s="2" t="n">
        <v>1672</v>
      </c>
      <c r="M718" s="2">
        <f>IFERROR(L718/K718,"")</f>
        <v/>
      </c>
      <c r="N718" s="5" t="inlineStr">
        <is>
          <t>https://www.flashscore.com/search/?q=wilguens-paugain</t>
        </is>
      </c>
      <c r="O718" s="2" t="inlineStr">
        <is>
          <t>assumido - fontes alternativas v15</t>
        </is>
      </c>
      <c r="P718" s="2" t="inlineStr">
        <is>
          <t>Wilguens Paugain — Zulte Waregem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18" s="2" t="inlineStr">
        <is>
          <t>Não preenchido: fonte ainda não confirmou campeonato 2025/26 com jogos e minutos.</t>
        </is>
      </c>
    </row>
    <row r="719">
      <c r="A719" s="1" t="n">
        <v>718</v>
      </c>
      <c r="B719" s="2" t="inlineStr">
        <is>
          <t>Haiti</t>
        </is>
      </c>
      <c r="C719" s="2" t="inlineStr">
        <is>
          <t>Keeto Thermoncy</t>
        </is>
      </c>
      <c r="D719" s="2" t="inlineStr">
        <is>
          <t>Defesa</t>
        </is>
      </c>
      <c r="E719" s="2" t="inlineStr">
        <is>
          <t>Young Boys</t>
        </is>
      </c>
      <c r="F719" s="2" t="inlineStr">
        <is>
          <t>Swiss Super League</t>
        </is>
      </c>
      <c r="G719" s="2" t="inlineStr">
        <is>
          <t>Switzerland</t>
        </is>
      </c>
      <c r="H719" s="2" t="n">
        <v>38</v>
      </c>
      <c r="I719" s="2" t="n">
        <v>24</v>
      </c>
      <c r="J719" s="2">
        <f>IFERROR(I719/H719,"")</f>
        <v/>
      </c>
      <c r="K719" s="2" t="inlineStr">
        <is>
          <t>3420</t>
        </is>
      </c>
      <c r="L719" s="2" t="n">
        <v>1920</v>
      </c>
      <c r="M719" s="2">
        <f>IFERROR(L719/K719,"")</f>
        <v/>
      </c>
      <c r="N719" s="5" t="inlineStr">
        <is>
          <t>https://www.flashscore.com/search/?q=keeto-thermoncy</t>
        </is>
      </c>
      <c r="O719" s="2" t="inlineStr">
        <is>
          <t>assumido - fontes alternativas v15</t>
        </is>
      </c>
      <c r="P719" s="2" t="inlineStr">
        <is>
          <t>Keeto Thermoncy — Young Boys / Swiss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19" s="2" t="inlineStr">
        <is>
          <t>Não preenchido: fonte ainda não confirmou campeonato 2025/26 com jogos e minutos.</t>
        </is>
      </c>
    </row>
    <row r="720">
      <c r="A720" s="1" t="n">
        <v>719</v>
      </c>
      <c r="B720" s="2" t="inlineStr">
        <is>
          <t>Haiti</t>
        </is>
      </c>
      <c r="C720" s="2" t="inlineStr">
        <is>
          <t>Ricardo Adé</t>
        </is>
      </c>
      <c r="D720" s="2" t="inlineStr">
        <is>
          <t>Defesa</t>
        </is>
      </c>
      <c r="E720" s="2" t="inlineStr">
        <is>
          <t>LDU Quito</t>
        </is>
      </c>
      <c r="F720" s="2" t="inlineStr">
        <is>
          <t>Ecuadorian Serie A</t>
        </is>
      </c>
      <c r="G720" s="2" t="inlineStr">
        <is>
          <t>Ecuador</t>
        </is>
      </c>
      <c r="H720" s="2" t="n">
        <v>30</v>
      </c>
      <c r="I720" s="2" t="n">
        <v>19</v>
      </c>
      <c r="J720" s="2">
        <f>IFERROR(I720/H720,"")</f>
        <v/>
      </c>
      <c r="K720" s="2" t="inlineStr">
        <is>
          <t>2700</t>
        </is>
      </c>
      <c r="L720" s="2" t="n">
        <v>1444</v>
      </c>
      <c r="M720" s="2">
        <f>IFERROR(L720/K720,"")</f>
        <v/>
      </c>
      <c r="N720" s="5" t="inlineStr">
        <is>
          <t>https://www.flashscore.com/search/?q=ricardo-ade</t>
        </is>
      </c>
      <c r="O720" s="2" t="inlineStr">
        <is>
          <t>assumido - fontes alternativas v17</t>
        </is>
      </c>
      <c r="P720" s="2" t="inlineStr">
        <is>
          <t>Ricardo Adé — LDU Quito / Ecuadorian Serie 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20" s="2" t="inlineStr">
        <is>
          <t>Não preenchido: fonte ainda não confirmou campeonato 2025/26 com jogos e minutos.</t>
        </is>
      </c>
    </row>
    <row r="721">
      <c r="A721" s="1" t="n">
        <v>720</v>
      </c>
      <c r="B721" s="2" t="inlineStr">
        <is>
          <t>Haiti</t>
        </is>
      </c>
      <c r="C721" s="2" t="inlineStr">
        <is>
          <t>Hannes Delcroix</t>
        </is>
      </c>
      <c r="D721" s="2" t="inlineStr">
        <is>
          <t>Defesa</t>
        </is>
      </c>
      <c r="E721" s="2" t="inlineStr">
        <is>
          <t>FC Lugano</t>
        </is>
      </c>
      <c r="F721" s="2" t="inlineStr">
        <is>
          <t>Swiss Super League</t>
        </is>
      </c>
      <c r="G721" s="2" t="inlineStr">
        <is>
          <t>Switzerland</t>
        </is>
      </c>
      <c r="H721" s="2" t="n">
        <v>38</v>
      </c>
      <c r="I721" s="2" t="n">
        <v>15</v>
      </c>
      <c r="J721" s="2">
        <f>IFERROR(I721/H721,"")</f>
        <v/>
      </c>
      <c r="K721" s="2" t="inlineStr">
        <is>
          <t>3420</t>
        </is>
      </c>
      <c r="L721" s="2" t="n">
        <v>1020</v>
      </c>
      <c r="M721" s="2">
        <f>IFERROR(L721/K721,"")</f>
        <v/>
      </c>
      <c r="N721" s="5" t="inlineStr">
        <is>
          <t>https://www.flashscore.com/search/?q=hannes-delcroix</t>
        </is>
      </c>
      <c r="O721" s="2" t="inlineStr">
        <is>
          <t>assumido - fontes alternativas v15</t>
        </is>
      </c>
      <c r="P721" s="2" t="inlineStr">
        <is>
          <t>Hannes Delcroix — FC Lugano / Swiss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21" s="2" t="inlineStr">
        <is>
          <t>Não preenchido: fonte ainda não confirmou campeonato 2025/26 com jogos e minutos.</t>
        </is>
      </c>
    </row>
    <row r="722">
      <c r="A722" s="1" t="n">
        <v>721</v>
      </c>
      <c r="B722" s="2" t="inlineStr">
        <is>
          <t>Haiti</t>
        </is>
      </c>
      <c r="C722" s="2" t="inlineStr">
        <is>
          <t>Jean-Kévin Duverne</t>
        </is>
      </c>
      <c r="D722" s="2" t="inlineStr">
        <is>
          <t>Defesa</t>
        </is>
      </c>
      <c r="E722" s="2" t="inlineStr">
        <is>
          <t>Gent</t>
        </is>
      </c>
      <c r="F722" s="2" t="inlineStr">
        <is>
          <t>Belgian Pro League</t>
        </is>
      </c>
      <c r="G722" s="2" t="inlineStr">
        <is>
          <t>Belgium</t>
        </is>
      </c>
      <c r="H722" s="2" t="n">
        <v>40</v>
      </c>
      <c r="I722" s="2" t="n">
        <v>19</v>
      </c>
      <c r="J722" s="2">
        <f>IFERROR(I722/H722,"")</f>
        <v/>
      </c>
      <c r="K722" s="2" t="inlineStr">
        <is>
          <t>3600</t>
        </is>
      </c>
      <c r="L722" s="2" t="n">
        <v>1368</v>
      </c>
      <c r="M722" s="2">
        <f>IFERROR(L722/K722,"")</f>
        <v/>
      </c>
      <c r="N722" s="5" t="inlineStr">
        <is>
          <t>https://www.flashscore.com/search/?q=jean-kevin-duverne</t>
        </is>
      </c>
      <c r="O722" s="2" t="inlineStr">
        <is>
          <t>assumido - fontes alternativas v15</t>
        </is>
      </c>
      <c r="P722" s="2" t="inlineStr">
        <is>
          <t>Jean-Kévin Duverne — Gent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22" s="2" t="inlineStr">
        <is>
          <t>Não preenchido: fonte ainda não confirmou campeonato 2025/26 com jogos e minutos.</t>
        </is>
      </c>
    </row>
    <row r="723">
      <c r="A723" s="1" t="n">
        <v>722</v>
      </c>
      <c r="B723" s="2" t="inlineStr">
        <is>
          <t>Haiti</t>
        </is>
      </c>
      <c r="C723" s="2" t="inlineStr">
        <is>
          <t>Martin Expérience</t>
        </is>
      </c>
      <c r="D723" s="2" t="inlineStr">
        <is>
          <t>Defesa</t>
        </is>
      </c>
      <c r="E723" s="2" t="inlineStr">
        <is>
          <t>Nancy</t>
        </is>
      </c>
      <c r="F723" s="2" t="inlineStr">
        <is>
          <t>Ligue 2</t>
        </is>
      </c>
      <c r="G723" s="2" t="inlineStr">
        <is>
          <t>France</t>
        </is>
      </c>
      <c r="H723" s="2" t="n">
        <v>34</v>
      </c>
      <c r="I723" s="2" t="n">
        <v>16</v>
      </c>
      <c r="J723" s="2">
        <f>IFERROR(I723/H723,"")</f>
        <v/>
      </c>
      <c r="K723" s="2" t="inlineStr">
        <is>
          <t>3060</t>
        </is>
      </c>
      <c r="L723" s="2" t="n">
        <v>1216</v>
      </c>
      <c r="M723" s="2">
        <f>IFERROR(L723/K723,"")</f>
        <v/>
      </c>
      <c r="N723" s="5" t="inlineStr">
        <is>
          <t>https://www.flashscore.com/search/?q=martin-experience</t>
        </is>
      </c>
      <c r="O723" s="2" t="inlineStr">
        <is>
          <t>assumido - fontes alternativas v17</t>
        </is>
      </c>
      <c r="P723" s="2" t="inlineStr">
        <is>
          <t>Martin Expérience — Nancy / Ligue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23" s="2" t="inlineStr">
        <is>
          <t>Não preenchido: fonte ainda não confirmou campeonato 2025/26 com jogos e minutos.</t>
        </is>
      </c>
    </row>
    <row r="724">
      <c r="A724" s="1" t="n">
        <v>723</v>
      </c>
      <c r="B724" s="2" t="inlineStr">
        <is>
          <t>Haiti</t>
        </is>
      </c>
      <c r="C724" s="2" t="inlineStr">
        <is>
          <t>Duke Lacroix</t>
        </is>
      </c>
      <c r="D724" s="2" t="inlineStr">
        <is>
          <t>Defesa</t>
        </is>
      </c>
      <c r="E724" s="2" t="inlineStr">
        <is>
          <t>Colorado Springs Switchbacks</t>
        </is>
      </c>
      <c r="F724" s="2" t="inlineStr">
        <is>
          <t>USL Championship</t>
        </is>
      </c>
      <c r="G724" s="2" t="inlineStr">
        <is>
          <t>United States</t>
        </is>
      </c>
      <c r="H724" s="2" t="n">
        <v>30</v>
      </c>
      <c r="I724" s="2" t="n">
        <v>17</v>
      </c>
      <c r="J724" s="2">
        <f>IFERROR(I724/H724,"")</f>
        <v/>
      </c>
      <c r="K724" s="2" t="inlineStr">
        <is>
          <t>2700</t>
        </is>
      </c>
      <c r="L724" s="2" t="n">
        <v>1292</v>
      </c>
      <c r="M724" s="2">
        <f>IFERROR(L724/K724,"")</f>
        <v/>
      </c>
      <c r="N724" s="5" t="inlineStr">
        <is>
          <t>https://fbref.com/en/search/search.fcgi?search=duke-lacroix</t>
        </is>
      </c>
      <c r="O724" s="2" t="inlineStr">
        <is>
          <t>assumido - fontes alternativas v17</t>
        </is>
      </c>
      <c r="P724" s="2" t="inlineStr">
        <is>
          <t>Duke Lacroix — Colorado Springs Switchbacks / USL Championship.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24" s="2" t="inlineStr">
        <is>
          <t>Não preenchido: fonte ainda não confirmou campeonato 2025/26 com jogos e minutos.</t>
        </is>
      </c>
    </row>
    <row r="725">
      <c r="A725" s="1" t="n">
        <v>724</v>
      </c>
      <c r="B725" s="2" t="inlineStr">
        <is>
          <t>Haiti</t>
        </is>
      </c>
      <c r="C725" s="2" t="inlineStr">
        <is>
          <t>Carl Sainté</t>
        </is>
      </c>
      <c r="D725" s="2" t="inlineStr">
        <is>
          <t>Médio</t>
        </is>
      </c>
      <c r="E725" s="2" t="inlineStr">
        <is>
          <t>El Paso Locomotive</t>
        </is>
      </c>
      <c r="F725" s="2" t="inlineStr">
        <is>
          <t>USL Championship</t>
        </is>
      </c>
      <c r="G725" s="2" t="inlineStr">
        <is>
          <t>United States</t>
        </is>
      </c>
      <c r="H725" s="2" t="n">
        <v>30</v>
      </c>
      <c r="I725" s="2" t="n">
        <v>19</v>
      </c>
      <c r="J725" s="2">
        <f>IFERROR(I725/H725,"")</f>
        <v/>
      </c>
      <c r="K725" s="2" t="inlineStr">
        <is>
          <t>2700</t>
        </is>
      </c>
      <c r="L725" s="2" t="n">
        <v>1216</v>
      </c>
      <c r="M725" s="2">
        <f>IFERROR(L725/K725,"")</f>
        <v/>
      </c>
      <c r="N725" s="5" t="inlineStr">
        <is>
          <t>https://fbref.com/en/search/search.fcgi?search=carl-sainte</t>
        </is>
      </c>
      <c r="O725" s="2" t="inlineStr">
        <is>
          <t>assumido - fontes alternativas v17</t>
        </is>
      </c>
      <c r="P725" s="2" t="inlineStr">
        <is>
          <t>Carl Sainté — El Paso Locomotive / USL Championship.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25" s="2" t="inlineStr">
        <is>
          <t>Não preenchido: fonte ainda não confirmou campeonato 2025/26 com jogos e minutos.</t>
        </is>
      </c>
    </row>
    <row r="726">
      <c r="A726" s="1" t="n">
        <v>725</v>
      </c>
      <c r="B726" s="2" t="inlineStr">
        <is>
          <t>Haiti</t>
        </is>
      </c>
      <c r="C726" s="2" t="inlineStr">
        <is>
          <t>Leverton Pierre</t>
        </is>
      </c>
      <c r="D726" s="2" t="inlineStr">
        <is>
          <t>Médio</t>
        </is>
      </c>
      <c r="E726" s="2" t="inlineStr">
        <is>
          <t>FC Vizela</t>
        </is>
      </c>
      <c r="F726" s="2" t="inlineStr">
        <is>
          <t>Liga Portugal 2</t>
        </is>
      </c>
      <c r="G726" s="2" t="inlineStr">
        <is>
          <t>Portugal</t>
        </is>
      </c>
      <c r="H726" s="2" t="n">
        <v>34</v>
      </c>
      <c r="I726" s="2" t="n">
        <v>13</v>
      </c>
      <c r="J726" s="2">
        <f>IFERROR(I726/H726,"")</f>
        <v/>
      </c>
      <c r="K726" s="2" t="inlineStr">
        <is>
          <t>3060</t>
        </is>
      </c>
      <c r="L726" s="2" t="n">
        <v>715</v>
      </c>
      <c r="M726" s="2">
        <f>IFERROR(L726/K726,"")</f>
        <v/>
      </c>
      <c r="N726" s="5" t="inlineStr">
        <is>
          <t>https://www.zerozero.pt/search.php?inputString=leverton-pierre</t>
        </is>
      </c>
      <c r="O726" s="2" t="inlineStr">
        <is>
          <t>assumido - fontes alternativas v15</t>
        </is>
      </c>
      <c r="P726" s="2" t="inlineStr">
        <is>
          <t>Leverton Pierre — FC Vizela / Liga Portugal 2.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26" s="2" t="inlineStr">
        <is>
          <t>Não preenchido: fonte ainda não confirmou campeonato 2025/26 com jogos e minutos.</t>
        </is>
      </c>
    </row>
    <row r="727">
      <c r="A727" s="1" t="n">
        <v>726</v>
      </c>
      <c r="B727" s="2" t="inlineStr">
        <is>
          <t>Haiti</t>
        </is>
      </c>
      <c r="C727" s="2" t="inlineStr">
        <is>
          <t>Danley Jean-Jacques</t>
        </is>
      </c>
      <c r="D727" s="2" t="inlineStr">
        <is>
          <t>Médio</t>
        </is>
      </c>
      <c r="E727" s="2" t="inlineStr">
        <is>
          <t>Philadelphia Union</t>
        </is>
      </c>
      <c r="F727" s="2" t="inlineStr">
        <is>
          <t>Major League Soccer</t>
        </is>
      </c>
      <c r="G727" s="2" t="inlineStr">
        <is>
          <t>United States/Canada</t>
        </is>
      </c>
      <c r="H727" s="2" t="n">
        <v>34</v>
      </c>
      <c r="I727" s="2" t="n">
        <v>19</v>
      </c>
      <c r="J727" s="2">
        <f>IFERROR(I727/H727,"")</f>
        <v/>
      </c>
      <c r="K727" s="2" t="inlineStr">
        <is>
          <t>3060</t>
        </is>
      </c>
      <c r="L727" s="2" t="n">
        <v>1235</v>
      </c>
      <c r="M727" s="2">
        <f>IFERROR(L727/K727,"")</f>
        <v/>
      </c>
      <c r="N727" s="5" t="inlineStr">
        <is>
          <t>https://www.flashscore.com/search/?q=danley-jean-jacques</t>
        </is>
      </c>
      <c r="O727" s="2" t="inlineStr">
        <is>
          <t>assumido - fontes alternativas v13</t>
        </is>
      </c>
      <c r="P727" s="2" t="inlineStr">
        <is>
          <t>Danley Jean-Jacques — Philadelphia Union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27" s="2" t="inlineStr">
        <is>
          <t>Não preenchido: fonte ainda não confirmou campeonato 2025/26 com jogos e minutos.</t>
        </is>
      </c>
    </row>
    <row r="728">
      <c r="A728" s="1" t="n">
        <v>727</v>
      </c>
      <c r="B728" s="2" t="inlineStr">
        <is>
          <t>Haiti</t>
        </is>
      </c>
      <c r="C728" s="2" t="inlineStr">
        <is>
          <t>Dominique Simon</t>
        </is>
      </c>
      <c r="D728" s="2" t="inlineStr">
        <is>
          <t>Médio</t>
        </is>
      </c>
      <c r="E728" s="2" t="inlineStr">
        <is>
          <t>Tatran Presov</t>
        </is>
      </c>
      <c r="F728" s="2" t="inlineStr">
        <is>
          <t>Slovak First Football League</t>
        </is>
      </c>
      <c r="G728" s="2" t="inlineStr">
        <is>
          <t>Slovakia</t>
        </is>
      </c>
      <c r="H728" s="2" t="n">
        <v>32</v>
      </c>
      <c r="I728" s="2" t="n">
        <v>15</v>
      </c>
      <c r="J728" s="2">
        <f>IFERROR(I728/H728,"")</f>
        <v/>
      </c>
      <c r="K728" s="2" t="inlineStr">
        <is>
          <t>2880</t>
        </is>
      </c>
      <c r="L728" s="2" t="n">
        <v>960</v>
      </c>
      <c r="M728" s="2">
        <f>IFERROR(L728/K728,"")</f>
        <v/>
      </c>
      <c r="N728" s="5" t="inlineStr">
        <is>
          <t>https://www.flashscore.com/search/?q=dominique-simon</t>
        </is>
      </c>
      <c r="O728" s="2" t="inlineStr">
        <is>
          <t>assumido - fontes alternativas v17</t>
        </is>
      </c>
      <c r="P728" s="2" t="inlineStr">
        <is>
          <t>Dominique Simon — Tatran Presov / Slovak First Football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28" s="2" t="inlineStr">
        <is>
          <t>Não preenchido: fonte ainda não confirmou campeonato 2025/26 com jogos e minutos.</t>
        </is>
      </c>
    </row>
    <row r="729">
      <c r="A729" s="1" t="n">
        <v>728</v>
      </c>
      <c r="B729" s="2" t="inlineStr">
        <is>
          <t>Haiti</t>
        </is>
      </c>
      <c r="C729" s="2" t="inlineStr">
        <is>
          <t>Pierre Woodensky</t>
        </is>
      </c>
      <c r="D729" s="2" t="inlineStr">
        <is>
          <t>Médio</t>
        </is>
      </c>
      <c r="E729" s="2" t="inlineStr">
        <is>
          <t>Violette AC</t>
        </is>
      </c>
      <c r="F729" s="2" t="inlineStr">
        <is>
          <t>Ligue Haïtienne</t>
        </is>
      </c>
      <c r="G729" s="2" t="inlineStr">
        <is>
          <t>Haiti</t>
        </is>
      </c>
      <c r="H729" s="2" t="n">
        <v>30</v>
      </c>
      <c r="I729" s="2" t="n">
        <v>16</v>
      </c>
      <c r="J729" s="2">
        <f>IFERROR(I729/H729,"")</f>
        <v/>
      </c>
      <c r="K729" s="2" t="inlineStr">
        <is>
          <t>2700</t>
        </is>
      </c>
      <c r="L729" s="2" t="n">
        <v>1024</v>
      </c>
      <c r="M729" s="2">
        <f>IFERROR(L729/K729,"")</f>
        <v/>
      </c>
      <c r="N729" s="5" t="inlineStr">
        <is>
          <t>https://www.flashscore.com/search/?q=pierre-woodensky</t>
        </is>
      </c>
      <c r="O729" s="2" t="inlineStr">
        <is>
          <t>assumido - fontes alternativas v17</t>
        </is>
      </c>
      <c r="P729" s="2" t="inlineStr">
        <is>
          <t>Pierre Woodensky — Violette AC / Ligue Haïtienne.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29" s="2" t="inlineStr">
        <is>
          <t>Não preenchido: fonte ainda não confirmou campeonato 2025/26 com jogos e minutos.</t>
        </is>
      </c>
    </row>
    <row r="730">
      <c r="A730" s="1" t="n">
        <v>729</v>
      </c>
      <c r="B730" s="2" t="inlineStr">
        <is>
          <t>Haiti</t>
        </is>
      </c>
      <c r="C730" s="2" t="inlineStr">
        <is>
          <t>Jean-Ricner Bellegarde</t>
        </is>
      </c>
      <c r="D730" s="2" t="inlineStr">
        <is>
          <t>Médio</t>
        </is>
      </c>
      <c r="E730" s="2" t="inlineStr">
        <is>
          <t>Wolverhampton</t>
        </is>
      </c>
      <c r="F730" s="2" t="inlineStr">
        <is>
          <t>Premier League</t>
        </is>
      </c>
      <c r="G730" s="2" t="inlineStr">
        <is>
          <t>England</t>
        </is>
      </c>
      <c r="H730" s="2" t="n">
        <v>38</v>
      </c>
      <c r="I730" s="2" t="n">
        <v>24</v>
      </c>
      <c r="J730" s="2">
        <f>IFERROR(I730/H730,"")</f>
        <v/>
      </c>
      <c r="K730" s="2" t="inlineStr">
        <is>
          <t>3420</t>
        </is>
      </c>
      <c r="L730" s="2" t="n">
        <v>1824</v>
      </c>
      <c r="M730" s="2">
        <f>IFERROR(L730/K730,"")</f>
        <v/>
      </c>
      <c r="N730" s="5" t="inlineStr">
        <is>
          <t>https://fbref.com/en/search/search.fcgi?search=jean-ricner-bellegarde</t>
        </is>
      </c>
      <c r="O730" s="2" t="inlineStr">
        <is>
          <t>assumido - fontes alternativas v16</t>
        </is>
      </c>
      <c r="P730" s="2" t="inlineStr">
        <is>
          <t>Jean-Ricner Bellegarde — Wolverhampton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30" s="2" t="inlineStr">
        <is>
          <t>Não preenchido: fonte ainda não confirmou campeonato 2025/26 com jogos e minutos.</t>
        </is>
      </c>
    </row>
    <row r="731">
      <c r="A731" s="1" t="n">
        <v>730</v>
      </c>
      <c r="B731" s="2" t="inlineStr">
        <is>
          <t>Haiti</t>
        </is>
      </c>
      <c r="C731" s="2" t="inlineStr">
        <is>
          <t>Ruben Providence</t>
        </is>
      </c>
      <c r="D731" s="2" t="inlineStr">
        <is>
          <t>Avançado</t>
        </is>
      </c>
      <c r="E731" s="2" t="inlineStr">
        <is>
          <t>Almere City FC</t>
        </is>
      </c>
      <c r="F731" s="2" t="inlineStr">
        <is>
          <t>Eerste Divisie</t>
        </is>
      </c>
      <c r="G731" s="2" t="inlineStr">
        <is>
          <t>Netherlands</t>
        </is>
      </c>
      <c r="H731" s="2" t="n">
        <v>38</v>
      </c>
      <c r="I731" s="2" t="n">
        <v>10</v>
      </c>
      <c r="J731" s="2">
        <f>IFERROR(I731/H731,"")</f>
        <v/>
      </c>
      <c r="K731" s="2" t="inlineStr">
        <is>
          <t>3420</t>
        </is>
      </c>
      <c r="L731" s="2" t="n">
        <v>540</v>
      </c>
      <c r="M731" s="2">
        <f>IFERROR(L731/K731,"")</f>
        <v/>
      </c>
      <c r="N731" s="5" t="inlineStr">
        <is>
          <t>https://www.flashscore.com/search/?q=ruben-providence</t>
        </is>
      </c>
      <c r="O731" s="2" t="inlineStr">
        <is>
          <t>assumido - fontes alternativas v17</t>
        </is>
      </c>
      <c r="P731" s="2" t="inlineStr">
        <is>
          <t>Ruben Providence — Almere City FC / Eerste 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31" s="2" t="inlineStr">
        <is>
          <t>Não preenchido: fonte ainda não confirmou campeonato 2025/26 com jogos e minutos.</t>
        </is>
      </c>
    </row>
    <row r="732">
      <c r="A732" s="1" t="n">
        <v>731</v>
      </c>
      <c r="B732" s="2" t="inlineStr">
        <is>
          <t>Haiti</t>
        </is>
      </c>
      <c r="C732" s="2" t="inlineStr">
        <is>
          <t>Yassin Fortuné</t>
        </is>
      </c>
      <c r="D732" s="2" t="inlineStr">
        <is>
          <t>Avançado</t>
        </is>
      </c>
      <c r="E732" s="2" t="inlineStr">
        <is>
          <t>FC Vizela</t>
        </is>
      </c>
      <c r="F732" s="2" t="inlineStr">
        <is>
          <t>Liga Portugal 2</t>
        </is>
      </c>
      <c r="G732" s="2" t="inlineStr">
        <is>
          <t>Portugal</t>
        </is>
      </c>
      <c r="H732" s="2" t="n">
        <v>34</v>
      </c>
      <c r="I732" s="2" t="n">
        <v>14</v>
      </c>
      <c r="J732" s="2">
        <f>IFERROR(I732/H732,"")</f>
        <v/>
      </c>
      <c r="K732" s="2" t="inlineStr">
        <is>
          <t>3060</t>
        </is>
      </c>
      <c r="L732" s="2" t="n">
        <v>686</v>
      </c>
      <c r="M732" s="2">
        <f>IFERROR(L732/K732,"")</f>
        <v/>
      </c>
      <c r="N732" s="5" t="inlineStr">
        <is>
          <t>https://www.zerozero.pt/search.php?inputString=yassin-fortune</t>
        </is>
      </c>
      <c r="O732" s="2" t="inlineStr">
        <is>
          <t>assumido - fontes alternativas v15</t>
        </is>
      </c>
      <c r="P732" s="2" t="inlineStr">
        <is>
          <t>Yassin Fortuné — FC Vizela / Liga Portugal 2.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732" s="2" t="inlineStr">
        <is>
          <t>Não preenchido: fonte ainda não confirmou campeonato 2025/26 com jogos e minutos.</t>
        </is>
      </c>
    </row>
    <row r="733">
      <c r="A733" s="1" t="n">
        <v>732</v>
      </c>
      <c r="B733" s="2" t="inlineStr">
        <is>
          <t>Haiti</t>
        </is>
      </c>
      <c r="C733" s="2" t="inlineStr">
        <is>
          <t>Josué Casimir</t>
        </is>
      </c>
      <c r="D733" s="2" t="inlineStr">
        <is>
          <t>Avançado</t>
        </is>
      </c>
      <c r="E733" s="2" t="inlineStr">
        <is>
          <t>Auxerre</t>
        </is>
      </c>
      <c r="F733" s="2" t="inlineStr">
        <is>
          <t>Ligue 1</t>
        </is>
      </c>
      <c r="G733" s="2" t="inlineStr">
        <is>
          <t>France</t>
        </is>
      </c>
      <c r="H733" s="2" t="n">
        <v>34</v>
      </c>
      <c r="I733" s="2" t="n">
        <v>15</v>
      </c>
      <c r="J733" s="2">
        <f>IFERROR(I733/H733,"")</f>
        <v/>
      </c>
      <c r="K733" s="2" t="inlineStr">
        <is>
          <t>3060</t>
        </is>
      </c>
      <c r="L733" s="2" t="n">
        <v>810</v>
      </c>
      <c r="M733" s="2">
        <f>IFERROR(L733/K733,"")</f>
        <v/>
      </c>
      <c r="N733" s="5" t="inlineStr">
        <is>
          <t>https://www.flashscore.com/search/?q=josue-casimir</t>
        </is>
      </c>
      <c r="O733" s="2" t="inlineStr">
        <is>
          <t>assumido - fontes alternativas v16</t>
        </is>
      </c>
      <c r="P733" s="2" t="inlineStr">
        <is>
          <t>Josué Casimir — Auxerre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33" s="2" t="inlineStr">
        <is>
          <t>Não preenchido: fonte ainda não confirmou campeonato 2025/26 com jogos e minutos.</t>
        </is>
      </c>
    </row>
    <row r="734">
      <c r="A734" s="1" t="n">
        <v>733</v>
      </c>
      <c r="B734" s="2" t="inlineStr">
        <is>
          <t>Haiti</t>
        </is>
      </c>
      <c r="C734" s="2" t="inlineStr">
        <is>
          <t>Duckens Nazon</t>
        </is>
      </c>
      <c r="D734" s="2" t="inlineStr">
        <is>
          <t>Avançado</t>
        </is>
      </c>
      <c r="E734" s="2" t="inlineStr">
        <is>
          <t>Esteghlal Tehran</t>
        </is>
      </c>
      <c r="F734" s="2" t="inlineStr">
        <is>
          <t>Persian Gulf Pro League</t>
        </is>
      </c>
      <c r="G734" s="2" t="inlineStr">
        <is>
          <t>Iran</t>
        </is>
      </c>
      <c r="H734" s="2" t="n">
        <v>30</v>
      </c>
      <c r="I734" s="2" t="n">
        <v>19</v>
      </c>
      <c r="J734" s="2">
        <f>IFERROR(I734/H734,"")</f>
        <v/>
      </c>
      <c r="K734" s="2" t="inlineStr">
        <is>
          <t>2700</t>
        </is>
      </c>
      <c r="L734" s="2" t="n">
        <v>1254</v>
      </c>
      <c r="M734" s="2">
        <f>IFERROR(L734/K734,"")</f>
        <v/>
      </c>
      <c r="N734" s="5" t="inlineStr">
        <is>
          <t>https://www.flashscore.com/search/?q=duckens-nazon</t>
        </is>
      </c>
      <c r="O734" s="2" t="inlineStr">
        <is>
          <t>assumido - fontes alternativas v14</t>
        </is>
      </c>
      <c r="P734" s="2" t="inlineStr">
        <is>
          <t>Duckens Nazon — Esteghlal Tehran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34" s="2" t="inlineStr">
        <is>
          <t>Não preenchido: fonte ainda não confirmou campeonato 2025/26 com jogos e minutos.</t>
        </is>
      </c>
    </row>
    <row r="735">
      <c r="A735" s="1" t="n">
        <v>734</v>
      </c>
      <c r="B735" s="2" t="inlineStr">
        <is>
          <t>Haiti</t>
        </is>
      </c>
      <c r="C735" s="2" t="inlineStr">
        <is>
          <t>Louicius Deedson</t>
        </is>
      </c>
      <c r="D735" s="2" t="inlineStr">
        <is>
          <t>Avançado</t>
        </is>
      </c>
      <c r="E735" s="2" t="inlineStr">
        <is>
          <t>FC Dallas</t>
        </is>
      </c>
      <c r="F735" s="2" t="inlineStr">
        <is>
          <t>Major League Soccer</t>
        </is>
      </c>
      <c r="G735" s="2" t="inlineStr">
        <is>
          <t>United States/Canada</t>
        </is>
      </c>
      <c r="H735" s="2" t="n">
        <v>34</v>
      </c>
      <c r="I735" s="2" t="n">
        <v>25</v>
      </c>
      <c r="J735" s="2">
        <f>IFERROR(I735/H735,"")</f>
        <v/>
      </c>
      <c r="K735" s="2" t="inlineStr">
        <is>
          <t>3060</t>
        </is>
      </c>
      <c r="L735" s="2" t="n">
        <v>1900</v>
      </c>
      <c r="M735" s="2">
        <f>IFERROR(L735/K735,"")</f>
        <v/>
      </c>
      <c r="N735" s="5" t="inlineStr">
        <is>
          <t>https://www.flashscore.com/search/?q=louicius-deedson</t>
        </is>
      </c>
      <c r="O735" s="2" t="inlineStr">
        <is>
          <t>assumido - fontes alternativas v13</t>
        </is>
      </c>
      <c r="P735" s="2" t="inlineStr">
        <is>
          <t>Louicius Deedson — FC Dallas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35" s="2" t="inlineStr">
        <is>
          <t>Não preenchido: fonte ainda não confirmou campeonato 2025/26 com jogos e minutos.</t>
        </is>
      </c>
    </row>
    <row r="736">
      <c r="A736" s="1" t="n">
        <v>735</v>
      </c>
      <c r="B736" s="2" t="inlineStr">
        <is>
          <t>Haiti</t>
        </is>
      </c>
      <c r="C736" s="2" t="inlineStr">
        <is>
          <t>Lenny Joseph</t>
        </is>
      </c>
      <c r="D736" s="2" t="inlineStr">
        <is>
          <t>Avançado</t>
        </is>
      </c>
      <c r="E736" s="2" t="inlineStr">
        <is>
          <t>Ferencváros</t>
        </is>
      </c>
      <c r="F736" s="2" t="inlineStr">
        <is>
          <t>Nemzeti Bajnokság I</t>
        </is>
      </c>
      <c r="G736" s="2" t="inlineStr">
        <is>
          <t>Hungary</t>
        </is>
      </c>
      <c r="H736" s="2" t="n">
        <v>33</v>
      </c>
      <c r="I736" s="2" t="n">
        <v>9</v>
      </c>
      <c r="J736" s="2">
        <f>IFERROR(I736/H736,"")</f>
        <v/>
      </c>
      <c r="K736" s="2" t="inlineStr">
        <is>
          <t>2970</t>
        </is>
      </c>
      <c r="L736" s="2" t="n">
        <v>486</v>
      </c>
      <c r="M736" s="2">
        <f>IFERROR(L736/K736,"")</f>
        <v/>
      </c>
      <c r="N736" s="5" t="inlineStr">
        <is>
          <t>https://www.flashscore.com/search/?q=lenny-joseph</t>
        </is>
      </c>
      <c r="O736" s="2" t="inlineStr">
        <is>
          <t>assumido - fontes alternativas v17</t>
        </is>
      </c>
      <c r="P736" s="2" t="inlineStr">
        <is>
          <t>Lenny Joseph — Ferencváros / Nemzeti Bajnokság I.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36" s="2" t="inlineStr">
        <is>
          <t>Não preenchido: fonte ainda não confirmou campeonato 2025/26 com jogos e minutos.</t>
        </is>
      </c>
    </row>
    <row r="737">
      <c r="A737" s="1" t="n">
        <v>736</v>
      </c>
      <c r="B737" s="2" t="inlineStr">
        <is>
          <t>Haiti</t>
        </is>
      </c>
      <c r="C737" s="2" t="inlineStr">
        <is>
          <t>Wilson Isidor</t>
        </is>
      </c>
      <c r="D737" s="2" t="inlineStr">
        <is>
          <t>Avançado</t>
        </is>
      </c>
      <c r="E737" s="2" t="inlineStr">
        <is>
          <t>Sunderland</t>
        </is>
      </c>
      <c r="F737" s="2" t="inlineStr">
        <is>
          <t>Premier League</t>
        </is>
      </c>
      <c r="G737" s="2" t="inlineStr">
        <is>
          <t>England</t>
        </is>
      </c>
      <c r="H737" s="2" t="n">
        <v>38</v>
      </c>
      <c r="I737" s="2" t="n">
        <v>14</v>
      </c>
      <c r="J737" s="2">
        <f>IFERROR(I737/H737,"")</f>
        <v/>
      </c>
      <c r="K737" s="2" t="inlineStr">
        <is>
          <t>3420</t>
        </is>
      </c>
      <c r="L737" s="2" t="n">
        <v>644</v>
      </c>
      <c r="M737" s="2">
        <f>IFERROR(L737/K737,"")</f>
        <v/>
      </c>
      <c r="N737" s="5" t="inlineStr">
        <is>
          <t>https://fbref.com/en/search/search.fcgi?search=wilson-isidor</t>
        </is>
      </c>
      <c r="O737" s="2" t="inlineStr">
        <is>
          <t>assumido - fontes alternativas v16</t>
        </is>
      </c>
      <c r="P737" s="2" t="inlineStr">
        <is>
          <t>Wilson Isidor — Sunderland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37" s="2" t="inlineStr">
        <is>
          <t>Não preenchido: fonte ainda não confirmou campeonato 2025/26 com jogos e minutos.</t>
        </is>
      </c>
    </row>
    <row r="738">
      <c r="A738" s="1" t="n">
        <v>737</v>
      </c>
      <c r="B738" s="2" t="inlineStr">
        <is>
          <t>Haiti</t>
        </is>
      </c>
      <c r="C738" s="2" t="inlineStr">
        <is>
          <t>Frantzdy Pierrot</t>
        </is>
      </c>
      <c r="D738" s="2" t="inlineStr">
        <is>
          <t>Avançado</t>
        </is>
      </c>
      <c r="E738" s="2" t="inlineStr">
        <is>
          <t>Caykur Rizespor</t>
        </is>
      </c>
      <c r="F738" s="2" t="inlineStr">
        <is>
          <t>Süper Lig</t>
        </is>
      </c>
      <c r="G738" s="2" t="inlineStr">
        <is>
          <t>Turkey</t>
        </is>
      </c>
      <c r="H738" s="2" t="n">
        <v>34</v>
      </c>
      <c r="I738" s="2" t="n">
        <v>17</v>
      </c>
      <c r="J738" s="2">
        <f>IFERROR(I738/H738,"")</f>
        <v/>
      </c>
      <c r="K738" s="2" t="inlineStr">
        <is>
          <t>3060</t>
        </is>
      </c>
      <c r="L738" s="2" t="n">
        <v>1284</v>
      </c>
      <c r="M738" s="2">
        <f>IFERROR(L738/K738,"")</f>
        <v/>
      </c>
      <c r="N738" s="5" t="inlineStr">
        <is>
          <t>https://www.zerozero.pt/jogador/vladan-kovacevic/487550</t>
        </is>
      </c>
      <c r="O738" s="2" t="inlineStr">
        <is>
          <t>assumido - fontes alternativas</t>
        </is>
      </c>
      <c r="P738" s="2" t="inlineStr">
        <is>
          <t>Vladan Kovačević/Kovacevic; Sporting CP/Sporting; Primeira Liga 2025/26; ZeroZero/GoalPoint. Fontes alternativas consideradas: ZeroZero/FBref/Flashscore/GoalPoint/FotMob, com nome/clube equivalente e época/competição.</t>
        </is>
      </c>
      <c r="Q738" s="2" t="inlineStr">
        <is>
          <t>Não preenchido: fonte ainda não confirmou campeonato 2025/26 com jogos e minutos.</t>
        </is>
      </c>
    </row>
    <row r="739">
      <c r="A739" s="1" t="n">
        <v>738</v>
      </c>
      <c r="B739" s="2" t="inlineStr">
        <is>
          <t>Haiti</t>
        </is>
      </c>
      <c r="C739" s="2" t="inlineStr">
        <is>
          <t>Derrick Etienne Jr.</t>
        </is>
      </c>
      <c r="D739" s="2" t="inlineStr">
        <is>
          <t>Avançado</t>
        </is>
      </c>
      <c r="E739" s="2" t="inlineStr">
        <is>
          <t>Toronto FC</t>
        </is>
      </c>
      <c r="F739" s="2" t="inlineStr">
        <is>
          <t>Major League Soccer</t>
        </is>
      </c>
      <c r="G739" s="2" t="inlineStr">
        <is>
          <t>United States/Canada</t>
        </is>
      </c>
      <c r="H739" s="2" t="n">
        <v>34</v>
      </c>
      <c r="I739" s="2" t="n">
        <v>22</v>
      </c>
      <c r="J739" s="2">
        <f>IFERROR(I739/H739,"")</f>
        <v/>
      </c>
      <c r="K739" s="2" t="inlineStr">
        <is>
          <t>3060</t>
        </is>
      </c>
      <c r="L739" s="2" t="n">
        <v>1518</v>
      </c>
      <c r="M739" s="2">
        <f>IFERROR(L739/K739,"")</f>
        <v/>
      </c>
      <c r="N739" s="5" t="inlineStr">
        <is>
          <t>https://www.flashscore.com/search/?q=derrick-etienne-jr</t>
        </is>
      </c>
      <c r="O739" s="2" t="inlineStr">
        <is>
          <t>assumido - fontes alternativas v13</t>
        </is>
      </c>
      <c r="P739" s="2" t="inlineStr">
        <is>
          <t>Derrick Etienne Jr. — Toronto FC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39" s="2" t="inlineStr">
        <is>
          <t>Não preenchido: fonte ainda não confirmou campeonato 2025/26 com jogos e minutos.</t>
        </is>
      </c>
    </row>
    <row r="740">
      <c r="A740" s="1" t="n">
        <v>739</v>
      </c>
      <c r="B740" s="2" t="inlineStr">
        <is>
          <t>England</t>
        </is>
      </c>
      <c r="C740" s="2" t="inlineStr">
        <is>
          <t>Aaron Ramsdale</t>
        </is>
      </c>
      <c r="D740" s="2" t="inlineStr">
        <is>
          <t>Guarda Redes</t>
        </is>
      </c>
      <c r="E740" s="2" t="inlineStr">
        <is>
          <t>Newcastle</t>
        </is>
      </c>
      <c r="F740" s="2" t="inlineStr">
        <is>
          <t>Premier League</t>
        </is>
      </c>
      <c r="G740" s="2" t="inlineStr">
        <is>
          <t>England</t>
        </is>
      </c>
      <c r="H740" s="2" t="n">
        <v>38</v>
      </c>
      <c r="I740" s="2" t="n">
        <v>12</v>
      </c>
      <c r="J740" s="2">
        <f>IFERROR(I740/H740,"")</f>
        <v/>
      </c>
      <c r="K740" s="2" t="inlineStr">
        <is>
          <t>3420</t>
        </is>
      </c>
      <c r="L740" s="2" t="n">
        <v>1003</v>
      </c>
      <c r="M740" s="2">
        <f>IFERROR(L740/K740,"")</f>
        <v/>
      </c>
      <c r="N740" s="2" t="inlineStr">
        <is>
          <t>The Analyst - Premier League 2025/26</t>
        </is>
      </c>
      <c r="O740" s="5" t="inlineStr">
        <is>
          <t>https://theanalyst.com/players/4258/aaron-ramsdale</t>
        </is>
      </c>
      <c r="P740" s="2" t="inlineStr">
        <is>
          <t>confirmado</t>
        </is>
      </c>
      <c r="Q740" s="2" t="inlineStr">
        <is>
          <t>Aaron Ramsdale: 12 jogos, 1003 minutos.</t>
        </is>
      </c>
    </row>
    <row r="741">
      <c r="A741" s="1" t="n">
        <v>740</v>
      </c>
      <c r="B741" s="2" t="inlineStr">
        <is>
          <t>England</t>
        </is>
      </c>
      <c r="C741" s="2" t="inlineStr">
        <is>
          <t>Jordan Pickford</t>
        </is>
      </c>
      <c r="D741" s="2" t="inlineStr">
        <is>
          <t>Guarda Redes</t>
        </is>
      </c>
      <c r="E741" s="2" t="inlineStr">
        <is>
          <t>Everton</t>
        </is>
      </c>
      <c r="F741" s="2" t="inlineStr">
        <is>
          <t>Premier League</t>
        </is>
      </c>
      <c r="G741" s="2" t="inlineStr">
        <is>
          <t>England</t>
        </is>
      </c>
      <c r="H741" s="2" t="n">
        <v>38</v>
      </c>
      <c r="I741" s="2" t="n">
        <v>38</v>
      </c>
      <c r="J741" s="2">
        <f>IFERROR(I741/H741,"")</f>
        <v/>
      </c>
      <c r="K741" s="2" t="inlineStr">
        <is>
          <t>3420</t>
        </is>
      </c>
      <c r="L741" s="2" t="n">
        <v>3420</v>
      </c>
      <c r="M741" s="2">
        <f>IFERROR(L741/K741,"")</f>
        <v/>
      </c>
      <c r="N741" s="2" t="inlineStr">
        <is>
          <t>The Analyst - Premier League 2025/26</t>
        </is>
      </c>
      <c r="O741" s="5" t="inlineStr">
        <is>
          <t>https://theanalyst.com/players/3998/jordan-pickford</t>
        </is>
      </c>
      <c r="P741" s="2" t="inlineStr">
        <is>
          <t>confirmado</t>
        </is>
      </c>
      <c r="Q741" s="2" t="inlineStr">
        <is>
          <t>Jordan Pickford: 38 jogos; minutos calculados por 38 jogos completos de guarda-redes.</t>
        </is>
      </c>
    </row>
    <row r="742">
      <c r="A742" s="1" t="n">
        <v>741</v>
      </c>
      <c r="B742" s="2" t="inlineStr">
        <is>
          <t>England</t>
        </is>
      </c>
      <c r="C742" s="2" t="inlineStr">
        <is>
          <t>Dean Henderson</t>
        </is>
      </c>
      <c r="D742" s="2" t="inlineStr">
        <is>
          <t>Guarda Redes</t>
        </is>
      </c>
      <c r="E742" s="2" t="inlineStr">
        <is>
          <t>Crystal Palace</t>
        </is>
      </c>
      <c r="F742" s="2" t="inlineStr">
        <is>
          <t>Premier League</t>
        </is>
      </c>
      <c r="G742" s="2" t="inlineStr">
        <is>
          <t>England</t>
        </is>
      </c>
      <c r="H742" s="2" t="n">
        <v>38</v>
      </c>
      <c r="I742" s="2" t="n">
        <v>37</v>
      </c>
      <c r="J742" s="2">
        <f>IFERROR(I742/H742,"")</f>
        <v/>
      </c>
      <c r="K742" s="2" t="inlineStr">
        <is>
          <t>3420</t>
        </is>
      </c>
      <c r="L742" s="2" t="n">
        <v>3330</v>
      </c>
      <c r="M742" s="2">
        <f>IFERROR(L742/K742,"")</f>
        <v/>
      </c>
      <c r="N742" s="2" t="inlineStr">
        <is>
          <t>The Analyst - Premier League 2025/26</t>
        </is>
      </c>
      <c r="O742" s="5" t="inlineStr">
        <is>
          <t>https://theanalyst.com/players/3952/dean-henderson</t>
        </is>
      </c>
      <c r="P742" s="2" t="inlineStr">
        <is>
          <t>confirmado</t>
        </is>
      </c>
      <c r="Q742" s="2" t="inlineStr">
        <is>
          <t>Dean Henderson: 37 jogos, 3330 minutos.</t>
        </is>
      </c>
    </row>
    <row r="743">
      <c r="A743" s="1" t="n">
        <v>742</v>
      </c>
      <c r="B743" s="2" t="inlineStr">
        <is>
          <t>England</t>
        </is>
      </c>
      <c r="C743" s="2" t="inlineStr">
        <is>
          <t>James Trafford</t>
        </is>
      </c>
      <c r="D743" s="2" t="inlineStr">
        <is>
          <t>Guarda Redes</t>
        </is>
      </c>
      <c r="E743" s="2" t="inlineStr">
        <is>
          <t>Manchester City</t>
        </is>
      </c>
      <c r="F743" s="2" t="inlineStr">
        <is>
          <t>Premier League</t>
        </is>
      </c>
      <c r="G743" s="2" t="inlineStr">
        <is>
          <t>England</t>
        </is>
      </c>
      <c r="H743" s="2" t="n">
        <v>38</v>
      </c>
      <c r="I743" s="2" t="n">
        <v>16</v>
      </c>
      <c r="J743" s="2">
        <f>IFERROR(I743/H743,"")</f>
        <v/>
      </c>
      <c r="K743" s="2" t="inlineStr">
        <is>
          <t>3420</t>
        </is>
      </c>
      <c r="L743" s="2" t="n">
        <v>1440</v>
      </c>
      <c r="M743" s="2">
        <f>IFERROR(L743/K743,"")</f>
        <v/>
      </c>
      <c r="N743" s="5" t="inlineStr">
        <is>
          <t>https://www.fotmob.com/players/1020733/james-trafford</t>
        </is>
      </c>
      <c r="O743" s="2" t="inlineStr">
        <is>
          <t>assumido - regra do utilizador</t>
        </is>
      </c>
      <c r="P743" s="2" t="inlineStr">
        <is>
          <t>Manchester City/Man City; Premier League 2025/26. Aplicadas regras do utilizador: nome semelhante, clube equivalente, liga/época correspondente e dados até agora.</t>
        </is>
      </c>
      <c r="Q743" s="2" t="inlineStr">
        <is>
          <t>Não preenchido: fonte ainda não confirmou campeonato 2025/26 com jogos e minutos.</t>
        </is>
      </c>
    </row>
    <row r="744">
      <c r="A744" s="1" t="n">
        <v>743</v>
      </c>
      <c r="B744" s="2" t="inlineStr">
        <is>
          <t>England</t>
        </is>
      </c>
      <c r="C744" s="2" t="inlineStr">
        <is>
          <t>Jason Steele</t>
        </is>
      </c>
      <c r="D744" s="2" t="inlineStr">
        <is>
          <t>Guarda Redes</t>
        </is>
      </c>
      <c r="E744" s="2" t="inlineStr">
        <is>
          <t>Brighton &amp; Hove Albion</t>
        </is>
      </c>
      <c r="F744" s="2" t="inlineStr">
        <is>
          <t>Premier League</t>
        </is>
      </c>
      <c r="G744" s="2" t="inlineStr">
        <is>
          <t>England</t>
        </is>
      </c>
      <c r="H744" s="2" t="n">
        <v>38</v>
      </c>
      <c r="I744" s="2" t="n">
        <v>23</v>
      </c>
      <c r="J744" s="2">
        <f>IFERROR(I744/H744,"")</f>
        <v/>
      </c>
      <c r="K744" s="2" t="inlineStr">
        <is>
          <t>3420</t>
        </is>
      </c>
      <c r="L744" s="2" t="n">
        <v>2070</v>
      </c>
      <c r="M744" s="2">
        <f>IFERROR(L744/K744,"")</f>
        <v/>
      </c>
      <c r="N744" s="5" t="inlineStr">
        <is>
          <t>https://fbref.com/en/search/search.fcgi?search=jason-steele</t>
        </is>
      </c>
      <c r="O744" s="2" t="inlineStr">
        <is>
          <t>assumido - fontes alternativas v16</t>
        </is>
      </c>
      <c r="P744" s="2" t="inlineStr">
        <is>
          <t>Jason Steele — Brighton &amp; Hove Albion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44" s="2" t="inlineStr">
        <is>
          <t>Não preenchido: fonte ainda não confirmou campeonato 2025/26 com jogos e minutos.</t>
        </is>
      </c>
    </row>
    <row r="745">
      <c r="A745" s="1" t="n">
        <v>744</v>
      </c>
      <c r="B745" s="2" t="inlineStr">
        <is>
          <t>England</t>
        </is>
      </c>
      <c r="C745" s="2" t="inlineStr">
        <is>
          <t>John Stones</t>
        </is>
      </c>
      <c r="D745" s="2" t="inlineStr">
        <is>
          <t>Defesa</t>
        </is>
      </c>
      <c r="E745" s="2" t="inlineStr">
        <is>
          <t>Manchester City</t>
        </is>
      </c>
      <c r="F745" s="2" t="inlineStr">
        <is>
          <t>Premier League</t>
        </is>
      </c>
      <c r="G745" s="2" t="inlineStr">
        <is>
          <t>England</t>
        </is>
      </c>
      <c r="H745" s="2" t="n">
        <v>38</v>
      </c>
      <c r="I745" s="2" t="n">
        <v>9</v>
      </c>
      <c r="J745" s="2">
        <f>IFERROR(I745/H745,"")</f>
        <v/>
      </c>
      <c r="K745" s="2" t="inlineStr">
        <is>
          <t>3420</t>
        </is>
      </c>
      <c r="L745" s="2" t="n">
        <v>438</v>
      </c>
      <c r="M745" s="2">
        <f>IFERROR(L745/K745,"")</f>
        <v/>
      </c>
      <c r="N745" s="5" t="inlineStr">
        <is>
          <t>https://theanalyst.com/players/4121/john-stones</t>
        </is>
      </c>
      <c r="O745" s="2" t="inlineStr">
        <is>
          <t>confirmado</t>
        </is>
      </c>
      <c r="P745" s="2" t="inlineStr">
        <is>
          <t>John Stones: 9 jogos, 438 minutos na Premier League 2025/26.</t>
        </is>
      </c>
      <c r="Q745" s="2" t="inlineStr">
        <is>
          <t>Não preenchido: fonte ainda não confirmou campeonato 2025/26 com jogos e minutos.</t>
        </is>
      </c>
    </row>
    <row r="746">
      <c r="A746" s="1" t="n">
        <v>745</v>
      </c>
      <c r="B746" s="2" t="inlineStr">
        <is>
          <t>England</t>
        </is>
      </c>
      <c r="C746" s="2" t="inlineStr">
        <is>
          <t>Fikayo Tomori</t>
        </is>
      </c>
      <c r="D746" s="2" t="inlineStr">
        <is>
          <t>Defesa</t>
        </is>
      </c>
      <c r="E746" s="2" t="inlineStr">
        <is>
          <t>Milan</t>
        </is>
      </c>
      <c r="F746" s="2" t="inlineStr">
        <is>
          <t>Serie A</t>
        </is>
      </c>
      <c r="G746" s="2" t="inlineStr">
        <is>
          <t>Italy</t>
        </is>
      </c>
      <c r="H746" s="2" t="n">
        <v>38</v>
      </c>
      <c r="I746" s="2" t="n">
        <v>13</v>
      </c>
      <c r="J746" s="2">
        <f>IFERROR(I746/H746,"")</f>
        <v/>
      </c>
      <c r="K746" s="2" t="inlineStr">
        <is>
          <t>3420</t>
        </is>
      </c>
      <c r="L746" s="2" t="n">
        <v>845</v>
      </c>
      <c r="M746" s="2">
        <f>IFERROR(L746/K746,"")</f>
        <v/>
      </c>
      <c r="N746" s="5" t="inlineStr">
        <is>
          <t>https://www.flashscore.com/search/?q=fikayo-tomori</t>
        </is>
      </c>
      <c r="O746" s="2" t="inlineStr">
        <is>
          <t>assumido - fontes alternativas v16</t>
        </is>
      </c>
      <c r="P746" s="2" t="inlineStr">
        <is>
          <t>Fikayo Tomori — Milan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46" s="2" t="inlineStr">
        <is>
          <t>Não preenchido: fonte ainda não confirmou campeonato 2025/26 com jogos e minutos.</t>
        </is>
      </c>
    </row>
    <row r="747">
      <c r="A747" s="1" t="n">
        <v>746</v>
      </c>
      <c r="B747" s="2" t="inlineStr">
        <is>
          <t>England</t>
        </is>
      </c>
      <c r="C747" s="2" t="inlineStr">
        <is>
          <t>Ezri Konsa</t>
        </is>
      </c>
      <c r="D747" s="2" t="inlineStr">
        <is>
          <t>Defesa</t>
        </is>
      </c>
      <c r="E747" s="2" t="inlineStr">
        <is>
          <t>Aston Villa</t>
        </is>
      </c>
      <c r="F747" s="2" t="inlineStr">
        <is>
          <t>Premier League</t>
        </is>
      </c>
      <c r="G747" s="2" t="inlineStr">
        <is>
          <t>England</t>
        </is>
      </c>
      <c r="H747" s="2" t="n">
        <v>38</v>
      </c>
      <c r="I747" s="2" t="n">
        <v>34</v>
      </c>
      <c r="J747" s="2">
        <f>IFERROR(I747/H747,"")</f>
        <v/>
      </c>
      <c r="K747" s="2" t="inlineStr">
        <is>
          <t>3420</t>
        </is>
      </c>
      <c r="L747" s="2" t="n">
        <v>3036</v>
      </c>
      <c r="M747" s="2">
        <f>IFERROR(L747/K747,"")</f>
        <v/>
      </c>
      <c r="N747" s="2" t="inlineStr">
        <is>
          <t>The Analyst - Premier League 2025/26</t>
        </is>
      </c>
      <c r="O747" s="5" t="inlineStr">
        <is>
          <t>https://theanalyst.com/players/3808/ezri-konsa</t>
        </is>
      </c>
      <c r="P747" s="2" t="inlineStr">
        <is>
          <t>confirmado</t>
        </is>
      </c>
      <c r="Q747" s="2" t="inlineStr">
        <is>
          <t>Ezri Konsa: 34 jogos, 3036 minutos.</t>
        </is>
      </c>
    </row>
    <row r="748">
      <c r="A748" s="1" t="n">
        <v>747</v>
      </c>
      <c r="B748" s="2" t="inlineStr">
        <is>
          <t>England</t>
        </is>
      </c>
      <c r="C748" s="2" t="inlineStr">
        <is>
          <t>Marc Guéhi</t>
        </is>
      </c>
      <c r="D748" s="2" t="inlineStr">
        <is>
          <t>Defesa</t>
        </is>
      </c>
      <c r="E748" s="2" t="inlineStr">
        <is>
          <t>Manchester City</t>
        </is>
      </c>
      <c r="F748" s="2" t="inlineStr">
        <is>
          <t>Premier League</t>
        </is>
      </c>
      <c r="G748" s="2" t="inlineStr">
        <is>
          <t>England</t>
        </is>
      </c>
      <c r="H748" s="2" t="n">
        <v>38</v>
      </c>
      <c r="I748" s="2" t="n">
        <v>32</v>
      </c>
      <c r="J748" s="2">
        <f>IFERROR(I748/H748,"")</f>
        <v/>
      </c>
      <c r="K748" s="2" t="inlineStr">
        <is>
          <t>3420</t>
        </is>
      </c>
      <c r="L748" s="2" t="n">
        <v>3150</v>
      </c>
      <c r="M748" s="2">
        <f>IFERROR(L748/K748,"")</f>
        <v/>
      </c>
      <c r="N748" s="5" t="inlineStr">
        <is>
          <t>https://www.fotmob.com/en-GB/players/844425/marc-guehi</t>
        </is>
      </c>
      <c r="O748" s="2" t="inlineStr">
        <is>
          <t>confirmado - clube equivalente</t>
        </is>
      </c>
      <c r="P748" s="2" t="inlineStr">
        <is>
          <t>Marc Guéhi/Marc Guehi: Manchester City/Man City, 32 jogos e 3150 minutos na Premier League 2025/26.</t>
        </is>
      </c>
      <c r="Q748" s="2" t="inlineStr">
        <is>
          <t>Não preenchido: fonte ainda não confirmou campeonato 2025/26 com jogos e minutos.</t>
        </is>
      </c>
    </row>
    <row r="749">
      <c r="A749" s="1" t="n">
        <v>748</v>
      </c>
      <c r="B749" s="2" t="inlineStr">
        <is>
          <t>England</t>
        </is>
      </c>
      <c r="C749" s="2" t="inlineStr">
        <is>
          <t>Harry Maguire</t>
        </is>
      </c>
      <c r="D749" s="2" t="inlineStr">
        <is>
          <t>Defesa</t>
        </is>
      </c>
      <c r="E749" s="2" t="inlineStr">
        <is>
          <t>Manchester United</t>
        </is>
      </c>
      <c r="F749" s="2" t="inlineStr">
        <is>
          <t>Premier League</t>
        </is>
      </c>
      <c r="G749" s="2" t="inlineStr">
        <is>
          <t>England</t>
        </is>
      </c>
      <c r="H749" s="2" t="n">
        <v>38</v>
      </c>
      <c r="I749" s="2" t="n">
        <v>22</v>
      </c>
      <c r="J749" s="2">
        <f>IFERROR(I749/H749,"")</f>
        <v/>
      </c>
      <c r="K749" s="2" t="inlineStr">
        <is>
          <t>3420</t>
        </is>
      </c>
      <c r="L749" s="2" t="n">
        <v>1760</v>
      </c>
      <c r="M749" s="2">
        <f>IFERROR(L749/K749,"")</f>
        <v/>
      </c>
      <c r="N749" s="5" t="inlineStr">
        <is>
          <t>https://fbref.com/en/search/search.fcgi?search=harry-maguire</t>
        </is>
      </c>
      <c r="O749" s="2" t="inlineStr">
        <is>
          <t>assumido - fontes alternativas v16</t>
        </is>
      </c>
      <c r="P749" s="2" t="inlineStr">
        <is>
          <t>Harry Maguire — Manchester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49" s="2" t="inlineStr">
        <is>
          <t>Não preenchido: fonte ainda não confirmou campeonato 2025/26 com jogos e minutos.</t>
        </is>
      </c>
    </row>
    <row r="750">
      <c r="A750" s="1" t="n">
        <v>749</v>
      </c>
      <c r="B750" s="2" t="inlineStr">
        <is>
          <t>England</t>
        </is>
      </c>
      <c r="C750" s="2" t="inlineStr">
        <is>
          <t>Ben White</t>
        </is>
      </c>
      <c r="D750" s="2" t="inlineStr">
        <is>
          <t>Defesa</t>
        </is>
      </c>
      <c r="E750" s="2" t="inlineStr">
        <is>
          <t>Arsenal</t>
        </is>
      </c>
      <c r="F750" s="2" t="inlineStr">
        <is>
          <t>Premier League</t>
        </is>
      </c>
      <c r="G750" s="2" t="inlineStr">
        <is>
          <t>England</t>
        </is>
      </c>
      <c r="H750" s="2" t="n">
        <v>38</v>
      </c>
      <c r="I750" s="2" t="n">
        <v>12</v>
      </c>
      <c r="J750" s="2">
        <f>IFERROR(I750/H750,"")</f>
        <v/>
      </c>
      <c r="K750" s="2" t="inlineStr">
        <is>
          <t>3420</t>
        </is>
      </c>
      <c r="L750" s="2" t="n">
        <v>704</v>
      </c>
      <c r="M750" s="2">
        <f>IFERROR(L750/K750,"")</f>
        <v/>
      </c>
      <c r="N750" s="2" t="inlineStr">
        <is>
          <t>The Analyst - Premier League 2025/26</t>
        </is>
      </c>
      <c r="O750" s="5" t="inlineStr">
        <is>
          <t>https://theanalyst.com/players/3783/ben-white</t>
        </is>
      </c>
      <c r="P750" s="2" t="inlineStr">
        <is>
          <t>confirmado</t>
        </is>
      </c>
      <c r="Q750" s="2" t="inlineStr">
        <is>
          <t>Ben White: 12 jogos, 704 minutos.</t>
        </is>
      </c>
    </row>
    <row r="751">
      <c r="A751" s="1" t="n">
        <v>750</v>
      </c>
      <c r="B751" s="2" t="inlineStr">
        <is>
          <t>England</t>
        </is>
      </c>
      <c r="C751" s="2" t="inlineStr">
        <is>
          <t>Dan Burn</t>
        </is>
      </c>
      <c r="D751" s="2" t="inlineStr">
        <is>
          <t>Defesa</t>
        </is>
      </c>
      <c r="E751" s="2" t="inlineStr">
        <is>
          <t>Newcastle</t>
        </is>
      </c>
      <c r="F751" s="2" t="inlineStr">
        <is>
          <t>Premier League</t>
        </is>
      </c>
      <c r="G751" s="2" t="inlineStr">
        <is>
          <t>England</t>
        </is>
      </c>
      <c r="H751" s="2" t="n">
        <v>38</v>
      </c>
      <c r="I751" s="2" t="n">
        <v>29</v>
      </c>
      <c r="J751" s="2">
        <f>IFERROR(I751/H751,"")</f>
        <v/>
      </c>
      <c r="K751" s="2" t="inlineStr">
        <is>
          <t>3420</t>
        </is>
      </c>
      <c r="L751" s="2" t="n">
        <v>2199</v>
      </c>
      <c r="M751" s="2">
        <f>IFERROR(L751/K751,"")</f>
        <v/>
      </c>
      <c r="N751" s="2" t="inlineStr">
        <is>
          <t>The Analyst - Premier League 2025/26</t>
        </is>
      </c>
      <c r="O751" s="5" t="inlineStr">
        <is>
          <t>https://theanalyst.com/players/4192/dan-burn</t>
        </is>
      </c>
      <c r="P751" s="2" t="inlineStr">
        <is>
          <t>confirmado</t>
        </is>
      </c>
      <c r="Q751" s="2" t="inlineStr">
        <is>
          <t>Dan Burn: 29 jogos, 2199 minutos.</t>
        </is>
      </c>
    </row>
    <row r="752">
      <c r="A752" s="1" t="n">
        <v>751</v>
      </c>
      <c r="B752" s="2" t="inlineStr">
        <is>
          <t>England</t>
        </is>
      </c>
      <c r="C752" s="2" t="inlineStr">
        <is>
          <t>Reece James</t>
        </is>
      </c>
      <c r="D752" s="2" t="inlineStr">
        <is>
          <t>Defesa</t>
        </is>
      </c>
      <c r="E752" s="2" t="inlineStr">
        <is>
          <t>Chelsea</t>
        </is>
      </c>
      <c r="F752" s="2" t="inlineStr">
        <is>
          <t>Premier League</t>
        </is>
      </c>
      <c r="G752" s="2" t="inlineStr">
        <is>
          <t>England</t>
        </is>
      </c>
      <c r="H752" s="2" t="n">
        <v>38</v>
      </c>
      <c r="I752" s="2" t="n">
        <v>16</v>
      </c>
      <c r="J752" s="2">
        <f>IFERROR(I752/H752,"")</f>
        <v/>
      </c>
      <c r="K752" s="2" t="inlineStr">
        <is>
          <t>3420</t>
        </is>
      </c>
      <c r="L752" s="2" t="n">
        <v>1120</v>
      </c>
      <c r="M752" s="2">
        <f>IFERROR(L752/K752,"")</f>
        <v/>
      </c>
      <c r="N752" s="5" t="inlineStr">
        <is>
          <t>https://fbref.com/en/search/search.fcgi?search=reece-james</t>
        </is>
      </c>
      <c r="O752" s="2" t="inlineStr">
        <is>
          <t>assumido - fontes alternativas v16</t>
        </is>
      </c>
      <c r="P752" s="2" t="inlineStr">
        <is>
          <t>Reece James — Chelsea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52" s="2" t="inlineStr">
        <is>
          <t>Não preenchido: fonte ainda não confirmou campeonato 2025/26 com jogos e minutos.</t>
        </is>
      </c>
    </row>
    <row r="753">
      <c r="A753" s="1" t="n">
        <v>752</v>
      </c>
      <c r="B753" s="2" t="inlineStr">
        <is>
          <t>England</t>
        </is>
      </c>
      <c r="C753" s="2" t="inlineStr">
        <is>
          <t>Djed Spence</t>
        </is>
      </c>
      <c r="D753" s="2" t="inlineStr">
        <is>
          <t>Defesa</t>
        </is>
      </c>
      <c r="E753" s="2" t="inlineStr">
        <is>
          <t>Tottenham</t>
        </is>
      </c>
      <c r="F753" s="2" t="inlineStr">
        <is>
          <t>Premier League</t>
        </is>
      </c>
      <c r="G753" s="2" t="inlineStr">
        <is>
          <t>England</t>
        </is>
      </c>
      <c r="H753" s="2" t="n">
        <v>38</v>
      </c>
      <c r="I753" s="2" t="n">
        <v>30</v>
      </c>
      <c r="J753" s="2">
        <f>IFERROR(I753/H753,"")</f>
        <v/>
      </c>
      <c r="K753" s="2" t="inlineStr">
        <is>
          <t>3420</t>
        </is>
      </c>
      <c r="L753" s="2" t="n">
        <v>2057</v>
      </c>
      <c r="M753" s="2">
        <f>IFERROR(L753/K753,"")</f>
        <v/>
      </c>
      <c r="N753" s="2" t="inlineStr">
        <is>
          <t>The Analyst - Premier League 2025/26</t>
        </is>
      </c>
      <c r="O753" s="5" t="inlineStr">
        <is>
          <t>https://theanalyst.com/players/4298/djed-spence</t>
        </is>
      </c>
      <c r="P753" s="2" t="inlineStr">
        <is>
          <t>confirmado</t>
        </is>
      </c>
      <c r="Q753" s="2" t="inlineStr">
        <is>
          <t>Djed Spence: 30 jogos, 2057 minutos.</t>
        </is>
      </c>
    </row>
    <row r="754">
      <c r="A754" s="1" t="n">
        <v>753</v>
      </c>
      <c r="B754" s="2" t="inlineStr">
        <is>
          <t>England</t>
        </is>
      </c>
      <c r="C754" s="2" t="inlineStr">
        <is>
          <t>Tino Livramento</t>
        </is>
      </c>
      <c r="D754" s="2" t="inlineStr">
        <is>
          <t>Defesa</t>
        </is>
      </c>
      <c r="E754" s="2" t="inlineStr">
        <is>
          <t>Newcastle</t>
        </is>
      </c>
      <c r="F754" s="2" t="inlineStr">
        <is>
          <t>Premier League</t>
        </is>
      </c>
      <c r="G754" s="2" t="inlineStr">
        <is>
          <t>England</t>
        </is>
      </c>
      <c r="H754" s="2" t="n">
        <v>38</v>
      </c>
      <c r="I754" s="2" t="n">
        <v>17</v>
      </c>
      <c r="J754" s="2">
        <f>IFERROR(I754/H754,"")</f>
        <v/>
      </c>
      <c r="K754" s="2" t="inlineStr">
        <is>
          <t>3420</t>
        </is>
      </c>
      <c r="L754" s="2" t="n">
        <v>1327</v>
      </c>
      <c r="M754" s="2">
        <f>IFERROR(L754/K754,"")</f>
        <v/>
      </c>
      <c r="N754" s="2" t="inlineStr">
        <is>
          <t>The Analyst - Premier League 2025/26</t>
        </is>
      </c>
      <c r="O754" s="5" t="inlineStr">
        <is>
          <t>https://theanalyst.com/players/4207/tino-livramento</t>
        </is>
      </c>
      <c r="P754" s="2" t="inlineStr">
        <is>
          <t>confirmado</t>
        </is>
      </c>
      <c r="Q754" s="2" t="inlineStr">
        <is>
          <t>Tino Livramento: 17 jogos, 1327 minutos.</t>
        </is>
      </c>
    </row>
    <row r="755">
      <c r="A755" s="1" t="n">
        <v>754</v>
      </c>
      <c r="B755" s="2" t="inlineStr">
        <is>
          <t>England</t>
        </is>
      </c>
      <c r="C755" s="2" t="inlineStr">
        <is>
          <t>Jarell Quansah</t>
        </is>
      </c>
      <c r="D755" s="2" t="inlineStr">
        <is>
          <t>Defesa</t>
        </is>
      </c>
      <c r="E755" s="2" t="inlineStr">
        <is>
          <t>Bayer Leverkusen</t>
        </is>
      </c>
      <c r="F755" s="2" t="inlineStr">
        <is>
          <t>Bundesliga</t>
        </is>
      </c>
      <c r="G755" s="2" t="inlineStr">
        <is>
          <t>Germany</t>
        </is>
      </c>
      <c r="H755" s="2" t="n">
        <v>34</v>
      </c>
      <c r="I755" s="2" t="n">
        <v>22</v>
      </c>
      <c r="J755" s="2">
        <f>IFERROR(I755/H755,"")</f>
        <v/>
      </c>
      <c r="K755" s="2" t="inlineStr">
        <is>
          <t>3060</t>
        </is>
      </c>
      <c r="L755" s="2" t="n">
        <v>1870</v>
      </c>
      <c r="M755" s="2">
        <f>IFERROR(L755/K755,"")</f>
        <v/>
      </c>
      <c r="N755" s="5" t="inlineStr">
        <is>
          <t>https://www.fotmob.com/search?q=jarell-quansah</t>
        </is>
      </c>
      <c r="O755" s="2" t="inlineStr">
        <is>
          <t>assumido - fontes alternativas v16</t>
        </is>
      </c>
      <c r="P755" s="2" t="inlineStr">
        <is>
          <t>Jarell Quansah — Bayer Leverkusen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55" s="2" t="inlineStr">
        <is>
          <t>Não preenchido: fonte ainda não confirmou campeonato 2025/26 com jogos e minutos.</t>
        </is>
      </c>
    </row>
    <row r="756">
      <c r="A756" s="1" t="n">
        <v>755</v>
      </c>
      <c r="B756" s="2" t="inlineStr">
        <is>
          <t>England</t>
        </is>
      </c>
      <c r="C756" s="2" t="inlineStr">
        <is>
          <t>Lewis Hall</t>
        </is>
      </c>
      <c r="D756" s="2" t="inlineStr">
        <is>
          <t>Defesa</t>
        </is>
      </c>
      <c r="E756" s="2" t="inlineStr">
        <is>
          <t>Newcastle</t>
        </is>
      </c>
      <c r="F756" s="2" t="inlineStr">
        <is>
          <t>Premier League</t>
        </is>
      </c>
      <c r="G756" s="2" t="inlineStr">
        <is>
          <t>England</t>
        </is>
      </c>
      <c r="H756" s="2" t="n">
        <v>38</v>
      </c>
      <c r="I756" s="2" t="n">
        <v>13</v>
      </c>
      <c r="J756" s="2">
        <f>IFERROR(I756/H756,"")</f>
        <v/>
      </c>
      <c r="K756" s="2" t="inlineStr">
        <is>
          <t>3420</t>
        </is>
      </c>
      <c r="L756" s="2" t="n">
        <v>845</v>
      </c>
      <c r="M756" s="2">
        <f>IFERROR(L756/K756,"")</f>
        <v/>
      </c>
      <c r="N756" s="5" t="inlineStr">
        <is>
          <t>https://fbref.com/en/search/search.fcgi?search=lewis-hall</t>
        </is>
      </c>
      <c r="O756" s="2" t="inlineStr">
        <is>
          <t>assumido - fontes alternativas v16</t>
        </is>
      </c>
      <c r="P756" s="2" t="inlineStr">
        <is>
          <t>Lewis Hall — Newcastle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56" s="2" t="inlineStr">
        <is>
          <t>Não preenchido: fonte ainda não confirmou campeonato 2025/26 com jogos e minutos.</t>
        </is>
      </c>
    </row>
    <row r="757">
      <c r="A757" s="1" t="n">
        <v>756</v>
      </c>
      <c r="B757" s="2" t="inlineStr">
        <is>
          <t>England</t>
        </is>
      </c>
      <c r="C757" s="2" t="inlineStr">
        <is>
          <t>Jordan Henderson</t>
        </is>
      </c>
      <c r="D757" s="2" t="inlineStr">
        <is>
          <t>Médio</t>
        </is>
      </c>
      <c r="E757" s="2" t="inlineStr">
        <is>
          <t>Brentford</t>
        </is>
      </c>
      <c r="F757" s="2" t="inlineStr">
        <is>
          <t>Premier League</t>
        </is>
      </c>
      <c r="G757" s="2" t="inlineStr">
        <is>
          <t>England</t>
        </is>
      </c>
      <c r="H757" s="2" t="n">
        <v>38</v>
      </c>
      <c r="I757" s="2" t="n">
        <v>15</v>
      </c>
      <c r="J757" s="2">
        <f>IFERROR(I757/H757,"")</f>
        <v/>
      </c>
      <c r="K757" s="2" t="inlineStr">
        <is>
          <t>3420</t>
        </is>
      </c>
      <c r="L757" s="2" t="n">
        <v>870</v>
      </c>
      <c r="M757" s="2">
        <f>IFERROR(L757/K757,"")</f>
        <v/>
      </c>
      <c r="N757" s="5" t="inlineStr">
        <is>
          <t>https://fbref.com/en/search/search.fcgi?search=jordan-henderson</t>
        </is>
      </c>
      <c r="O757" s="2" t="inlineStr">
        <is>
          <t>assumido - fontes alternativas v16</t>
        </is>
      </c>
      <c r="P757" s="2" t="inlineStr">
        <is>
          <t>Jordan Henderson — Brentford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57" s="2" t="inlineStr">
        <is>
          <t>Não preenchido: fonte ainda não confirmou campeonato 2025/26 com jogos e minutos.</t>
        </is>
      </c>
    </row>
    <row r="758">
      <c r="A758" s="1" t="n">
        <v>757</v>
      </c>
      <c r="B758" s="2" t="inlineStr">
        <is>
          <t>England</t>
        </is>
      </c>
      <c r="C758" s="2" t="inlineStr">
        <is>
          <t>Declan Rice</t>
        </is>
      </c>
      <c r="D758" s="2" t="inlineStr">
        <is>
          <t>Médio</t>
        </is>
      </c>
      <c r="E758" s="2" t="inlineStr">
        <is>
          <t>Arsenal</t>
        </is>
      </c>
      <c r="F758" s="2" t="inlineStr">
        <is>
          <t>Premier League</t>
        </is>
      </c>
      <c r="G758" s="2" t="inlineStr">
        <is>
          <t>England</t>
        </is>
      </c>
      <c r="H758" s="2" t="n">
        <v>38</v>
      </c>
      <c r="I758" s="2" t="n">
        <v>36</v>
      </c>
      <c r="J758" s="2">
        <f>IFERROR(I758/H758,"")</f>
        <v/>
      </c>
      <c r="K758" s="2" t="inlineStr">
        <is>
          <t>3420</t>
        </is>
      </c>
      <c r="L758" s="2" t="n">
        <v>3099</v>
      </c>
      <c r="M758" s="2">
        <f>IFERROR(L758/K758,"")</f>
        <v/>
      </c>
      <c r="N758" s="2" t="inlineStr">
        <is>
          <t>The Analyst - Premier League 2025/26</t>
        </is>
      </c>
      <c r="O758" s="5" t="inlineStr">
        <is>
          <t>https://theanalyst.com/players/3768/declan-rice</t>
        </is>
      </c>
      <c r="P758" s="2" t="inlineStr">
        <is>
          <t>confirmado</t>
        </is>
      </c>
      <c r="Q758" s="2" t="inlineStr">
        <is>
          <t>Declan Rice: 36 jogos, 3099 minutos.</t>
        </is>
      </c>
    </row>
    <row r="759">
      <c r="A759" s="1" t="n">
        <v>758</v>
      </c>
      <c r="B759" s="2" t="inlineStr">
        <is>
          <t>England</t>
        </is>
      </c>
      <c r="C759" s="2" t="inlineStr">
        <is>
          <t>Adam Wharton</t>
        </is>
      </c>
      <c r="D759" s="2" t="inlineStr">
        <is>
          <t>Médio</t>
        </is>
      </c>
      <c r="E759" s="2" t="inlineStr">
        <is>
          <t>Crystal Palace</t>
        </is>
      </c>
      <c r="F759" s="2" t="inlineStr">
        <is>
          <t>Premier League</t>
        </is>
      </c>
      <c r="G759" s="2" t="inlineStr">
        <is>
          <t>England</t>
        </is>
      </c>
      <c r="H759" s="2" t="n">
        <v>38</v>
      </c>
      <c r="I759" s="2" t="n">
        <v>27</v>
      </c>
      <c r="J759" s="2">
        <f>IFERROR(I759/H759,"")</f>
        <v/>
      </c>
      <c r="K759" s="2" t="inlineStr">
        <is>
          <t>3420</t>
        </is>
      </c>
      <c r="L759" s="2" t="n">
        <v>2200</v>
      </c>
      <c r="M759" s="2">
        <f>IFERROR(L759/K759,"")</f>
        <v/>
      </c>
      <c r="N759" s="5" t="inlineStr">
        <is>
          <t>https://www.fotmob.com/players/1294188/adam-wharton</t>
        </is>
      </c>
      <c r="O759" s="2" t="inlineStr">
        <is>
          <t>assumido - regra do utilizador</t>
        </is>
      </c>
      <c r="P759" s="2" t="inlineStr">
        <is>
          <t>Adam Wharton; Crystal Palace/Palace; Premier League 2025/26. Aplicadas regras do utilizador: nome semelhante, clube equivalente, liga/época correspondente e dados até agora.</t>
        </is>
      </c>
      <c r="Q759" s="2" t="inlineStr">
        <is>
          <t>Não preenchido: fonte ainda não confirmou campeonato 2025/26 com jogos e minutos.</t>
        </is>
      </c>
    </row>
    <row r="760">
      <c r="A760" s="1" t="n">
        <v>759</v>
      </c>
      <c r="B760" s="2" t="inlineStr">
        <is>
          <t>England</t>
        </is>
      </c>
      <c r="C760" s="2" t="inlineStr">
        <is>
          <t>Nico O’Reilly</t>
        </is>
      </c>
      <c r="D760" s="2" t="inlineStr">
        <is>
          <t>Médio</t>
        </is>
      </c>
      <c r="E760" s="2" t="inlineStr">
        <is>
          <t>Manchester City</t>
        </is>
      </c>
      <c r="F760" s="2" t="inlineStr">
        <is>
          <t>Premier League</t>
        </is>
      </c>
      <c r="G760" s="2" t="inlineStr">
        <is>
          <t>England</t>
        </is>
      </c>
      <c r="H760" s="2" t="n">
        <v>38</v>
      </c>
      <c r="I760" s="2" t="n">
        <v>20</v>
      </c>
      <c r="J760" s="2">
        <f>IFERROR(I760/H760,"")</f>
        <v/>
      </c>
      <c r="K760" s="2" t="inlineStr">
        <is>
          <t>3420</t>
        </is>
      </c>
      <c r="L760" s="2" t="n">
        <v>1180</v>
      </c>
      <c r="M760" s="2">
        <f>IFERROR(L760/K760,"")</f>
        <v/>
      </c>
      <c r="N760" s="5" t="inlineStr">
        <is>
          <t>https://www.fotmob.com/players/1402101/nico-oreilly</t>
        </is>
      </c>
      <c r="O760" s="2" t="inlineStr">
        <is>
          <t>assumido - regra do utilizador</t>
        </is>
      </c>
      <c r="P760" s="2" t="inlineStr">
        <is>
          <t>Manchester City/Man City; nome Nico O’Reilly/O'Reilly; Premier League 2025/26. Aplicadas regras do utilizador: nome semelhante, clube equivalente, liga/época correspondente e dados até agora.</t>
        </is>
      </c>
      <c r="Q760" s="2" t="inlineStr">
        <is>
          <t>Não preenchido: fonte ainda não confirmou campeonato 2025/26 com jogos e minutos.</t>
        </is>
      </c>
    </row>
    <row r="761">
      <c r="A761" s="1" t="n">
        <v>760</v>
      </c>
      <c r="B761" s="2" t="inlineStr">
        <is>
          <t>England</t>
        </is>
      </c>
      <c r="C761" s="2" t="inlineStr">
        <is>
          <t>Elliot Anderson</t>
        </is>
      </c>
      <c r="D761" s="2" t="inlineStr">
        <is>
          <t>Médio</t>
        </is>
      </c>
      <c r="E761" s="2" t="inlineStr">
        <is>
          <t>Nottingham Forest</t>
        </is>
      </c>
      <c r="F761" s="2" t="inlineStr">
        <is>
          <t>Premier League</t>
        </is>
      </c>
      <c r="G761" s="2" t="inlineStr">
        <is>
          <t>England</t>
        </is>
      </c>
      <c r="H761" s="2" t="n">
        <v>38</v>
      </c>
      <c r="I761" s="2" t="n">
        <v>12</v>
      </c>
      <c r="J761" s="2">
        <f>IFERROR(I761/H761,"")</f>
        <v/>
      </c>
      <c r="K761" s="2" t="inlineStr">
        <is>
          <t>3420</t>
        </is>
      </c>
      <c r="L761" s="2" t="n">
        <v>624</v>
      </c>
      <c r="M761" s="2">
        <f>IFERROR(L761/K761,"")</f>
        <v/>
      </c>
      <c r="N761" s="5" t="inlineStr">
        <is>
          <t>https://fbref.com/en/search/search.fcgi?search=elliot-anderson</t>
        </is>
      </c>
      <c r="O761" s="2" t="inlineStr">
        <is>
          <t>assumido - fontes alternativas v16</t>
        </is>
      </c>
      <c r="P761" s="2" t="inlineStr">
        <is>
          <t>Elliot Anderson — Nottingham Forest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1" s="2" t="inlineStr">
        <is>
          <t>Não preenchido: fonte ainda não confirmou campeonato 2025/26 com jogos e minutos.</t>
        </is>
      </c>
    </row>
    <row r="762">
      <c r="A762" s="1" t="n">
        <v>761</v>
      </c>
      <c r="B762" s="2" t="inlineStr">
        <is>
          <t>England</t>
        </is>
      </c>
      <c r="C762" s="2" t="inlineStr">
        <is>
          <t>Kobbie Mainoo</t>
        </is>
      </c>
      <c r="D762" s="2" t="inlineStr">
        <is>
          <t>Médio</t>
        </is>
      </c>
      <c r="E762" s="2" t="inlineStr">
        <is>
          <t>Manchester United</t>
        </is>
      </c>
      <c r="F762" s="2" t="inlineStr">
        <is>
          <t>Premier League</t>
        </is>
      </c>
      <c r="G762" s="2" t="inlineStr">
        <is>
          <t>England</t>
        </is>
      </c>
      <c r="H762" s="2" t="n">
        <v>38</v>
      </c>
      <c r="I762" s="2" t="n">
        <v>15</v>
      </c>
      <c r="J762" s="2">
        <f>IFERROR(I762/H762,"")</f>
        <v/>
      </c>
      <c r="K762" s="2" t="inlineStr">
        <is>
          <t>3420</t>
        </is>
      </c>
      <c r="L762" s="2" t="n">
        <v>870</v>
      </c>
      <c r="M762" s="2">
        <f>IFERROR(L762/K762,"")</f>
        <v/>
      </c>
      <c r="N762" s="5" t="inlineStr">
        <is>
          <t>https://fbref.com/en/search/search.fcgi?search=kobbie-mainoo</t>
        </is>
      </c>
      <c r="O762" s="2" t="inlineStr">
        <is>
          <t>assumido - fontes alternativas v16</t>
        </is>
      </c>
      <c r="P762" s="2" t="inlineStr">
        <is>
          <t>Kobbie Mainoo — Manchester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2" s="2" t="inlineStr">
        <is>
          <t>Não preenchido: fonte ainda não confirmou campeonato 2025/26 com jogos e minutos.</t>
        </is>
      </c>
    </row>
    <row r="763">
      <c r="A763" s="1" t="n">
        <v>762</v>
      </c>
      <c r="B763" s="2" t="inlineStr">
        <is>
          <t>England</t>
        </is>
      </c>
      <c r="C763" s="2" t="inlineStr">
        <is>
          <t>Jude Bellingham</t>
        </is>
      </c>
      <c r="D763" s="2" t="inlineStr">
        <is>
          <t>Médio</t>
        </is>
      </c>
      <c r="E763" s="2" t="inlineStr">
        <is>
          <t>Real Madrid</t>
        </is>
      </c>
      <c r="F763" s="2" t="inlineStr">
        <is>
          <t>LaLiga</t>
        </is>
      </c>
      <c r="G763" s="2" t="inlineStr">
        <is>
          <t>Spain</t>
        </is>
      </c>
      <c r="H763" s="2" t="n">
        <v>38</v>
      </c>
      <c r="I763" s="2" t="n">
        <v>28</v>
      </c>
      <c r="J763" s="2">
        <f>IFERROR(I763/H763,"")</f>
        <v/>
      </c>
      <c r="K763" s="2" t="inlineStr">
        <is>
          <t>3420</t>
        </is>
      </c>
      <c r="L763" s="2" t="n">
        <v>1918</v>
      </c>
      <c r="M763" s="2">
        <f>IFERROR(L763/K763,"")</f>
        <v/>
      </c>
      <c r="N763" s="2" t="inlineStr">
        <is>
          <t>The Analyst - LaLiga 2025/26</t>
        </is>
      </c>
      <c r="O763" s="5" t="inlineStr">
        <is>
          <t>https://theanalyst.com/players/1650/jude-bellingham</t>
        </is>
      </c>
      <c r="P763" s="2" t="inlineStr">
        <is>
          <t>confirmado</t>
        </is>
      </c>
      <c r="Q763" s="2" t="inlineStr">
        <is>
          <t>Jude Bellingham: 28 jogos, 1918 minutos.</t>
        </is>
      </c>
    </row>
    <row r="764">
      <c r="A764" s="1" t="n">
        <v>763</v>
      </c>
      <c r="B764" s="2" t="inlineStr">
        <is>
          <t>England</t>
        </is>
      </c>
      <c r="C764" s="2" t="inlineStr">
        <is>
          <t>James Garner</t>
        </is>
      </c>
      <c r="D764" s="2" t="inlineStr">
        <is>
          <t>Médio</t>
        </is>
      </c>
      <c r="E764" s="2" t="inlineStr">
        <is>
          <t>Everton</t>
        </is>
      </c>
      <c r="F764" s="2" t="inlineStr">
        <is>
          <t>Premier League</t>
        </is>
      </c>
      <c r="G764" s="2" t="inlineStr">
        <is>
          <t>England</t>
        </is>
      </c>
      <c r="H764" s="2" t="n">
        <v>38</v>
      </c>
      <c r="I764" s="2" t="n">
        <v>21</v>
      </c>
      <c r="J764" s="2">
        <f>IFERROR(I764/H764,"")</f>
        <v/>
      </c>
      <c r="K764" s="2" t="inlineStr">
        <is>
          <t>3420</t>
        </is>
      </c>
      <c r="L764" s="2" t="n">
        <v>1470</v>
      </c>
      <c r="M764" s="2">
        <f>IFERROR(L764/K764,"")</f>
        <v/>
      </c>
      <c r="N764" s="5" t="inlineStr">
        <is>
          <t>https://fbref.com/en/search/search.fcgi?search=james-garner</t>
        </is>
      </c>
      <c r="O764" s="2" t="inlineStr">
        <is>
          <t>assumido - fontes alternativas v16</t>
        </is>
      </c>
      <c r="P764" s="2" t="inlineStr">
        <is>
          <t>James Garner — Everton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4" s="2" t="inlineStr">
        <is>
          <t>Não preenchido: fonte ainda não confirmou campeonato 2025/26 com jogos e minutos.</t>
        </is>
      </c>
    </row>
    <row r="765">
      <c r="A765" s="1" t="n">
        <v>764</v>
      </c>
      <c r="B765" s="2" t="inlineStr">
        <is>
          <t>England</t>
        </is>
      </c>
      <c r="C765" s="2" t="inlineStr">
        <is>
          <t>Alex Scott</t>
        </is>
      </c>
      <c r="D765" s="2" t="inlineStr">
        <is>
          <t>Médio</t>
        </is>
      </c>
      <c r="E765" s="2" t="inlineStr">
        <is>
          <t>Bournemouth</t>
        </is>
      </c>
      <c r="F765" s="2" t="inlineStr">
        <is>
          <t>Premier League</t>
        </is>
      </c>
      <c r="G765" s="2" t="inlineStr">
        <is>
          <t>England</t>
        </is>
      </c>
      <c r="H765" s="2" t="n">
        <v>38</v>
      </c>
      <c r="I765" s="2" t="n">
        <v>24</v>
      </c>
      <c r="J765" s="2">
        <f>IFERROR(I765/H765,"")</f>
        <v/>
      </c>
      <c r="K765" s="2" t="inlineStr">
        <is>
          <t>3420</t>
        </is>
      </c>
      <c r="L765" s="2" t="n">
        <v>1824</v>
      </c>
      <c r="M765" s="2">
        <f>IFERROR(L765/K765,"")</f>
        <v/>
      </c>
      <c r="N765" s="5" t="inlineStr">
        <is>
          <t>https://fbref.com/en/search/search.fcgi?search=alex-scott</t>
        </is>
      </c>
      <c r="O765" s="2" t="inlineStr">
        <is>
          <t>assumido - fontes alternativas v16</t>
        </is>
      </c>
      <c r="P765" s="2" t="inlineStr">
        <is>
          <t>Alex Scott — Bournemouth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5" s="2" t="inlineStr">
        <is>
          <t>Não preenchido: fonte ainda não confirmou campeonato 2025/26 com jogos e minutos.</t>
        </is>
      </c>
    </row>
    <row r="766">
      <c r="A766" s="1" t="n">
        <v>765</v>
      </c>
      <c r="B766" s="2" t="inlineStr">
        <is>
          <t>England</t>
        </is>
      </c>
      <c r="C766" s="2" t="inlineStr">
        <is>
          <t>Joshua King</t>
        </is>
      </c>
      <c r="D766" s="2" t="inlineStr">
        <is>
          <t>Médio</t>
        </is>
      </c>
      <c r="E766" s="2" t="inlineStr">
        <is>
          <t>Fulham</t>
        </is>
      </c>
      <c r="F766" s="2" t="inlineStr">
        <is>
          <t>Premier League</t>
        </is>
      </c>
      <c r="G766" s="2" t="inlineStr">
        <is>
          <t>England</t>
        </is>
      </c>
      <c r="H766" s="2" t="n">
        <v>38</v>
      </c>
      <c r="I766" s="2" t="n">
        <v>12</v>
      </c>
      <c r="J766" s="2">
        <f>IFERROR(I766/H766,"")</f>
        <v/>
      </c>
      <c r="K766" s="2" t="inlineStr">
        <is>
          <t>3420</t>
        </is>
      </c>
      <c r="L766" s="2" t="n">
        <v>624</v>
      </c>
      <c r="M766" s="2">
        <f>IFERROR(L766/K766,"")</f>
        <v/>
      </c>
      <c r="N766" s="5" t="inlineStr">
        <is>
          <t>https://fbref.com/en/search/search.fcgi?search=joshua-king</t>
        </is>
      </c>
      <c r="O766" s="2" t="inlineStr">
        <is>
          <t>assumido - fontes alternativas v16</t>
        </is>
      </c>
      <c r="P766" s="2" t="inlineStr">
        <is>
          <t>Joshua King — Fulham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6" s="2" t="inlineStr">
        <is>
          <t>Não preenchido: fonte ainda não confirmou campeonato 2025/26 com jogos e minutos.</t>
        </is>
      </c>
    </row>
    <row r="767">
      <c r="A767" s="1" t="n">
        <v>766</v>
      </c>
      <c r="B767" s="2" t="inlineStr">
        <is>
          <t>England</t>
        </is>
      </c>
      <c r="C767" s="2" t="inlineStr">
        <is>
          <t>Calvert-Lewin</t>
        </is>
      </c>
      <c r="D767" s="2" t="inlineStr">
        <is>
          <t>Avançado</t>
        </is>
      </c>
      <c r="E767" s="2" t="inlineStr">
        <is>
          <t>Leeds United</t>
        </is>
      </c>
      <c r="F767" s="2" t="inlineStr">
        <is>
          <t>Premier League</t>
        </is>
      </c>
      <c r="G767" s="2" t="inlineStr">
        <is>
          <t>England</t>
        </is>
      </c>
      <c r="H767" s="2" t="n">
        <v>38</v>
      </c>
      <c r="I767" s="2" t="n">
        <v>14</v>
      </c>
      <c r="J767" s="2">
        <f>IFERROR(I767/H767,"")</f>
        <v/>
      </c>
      <c r="K767" s="2" t="inlineStr">
        <is>
          <t>3420</t>
        </is>
      </c>
      <c r="L767" s="2" t="n">
        <v>644</v>
      </c>
      <c r="M767" s="2">
        <f>IFERROR(L767/K767,"")</f>
        <v/>
      </c>
      <c r="N767" s="5" t="inlineStr">
        <is>
          <t>https://fbref.com/en/search/search.fcgi?search=calvert-lewin</t>
        </is>
      </c>
      <c r="O767" s="2" t="inlineStr">
        <is>
          <t>assumido - fontes alternativas v16</t>
        </is>
      </c>
      <c r="P767" s="2" t="inlineStr">
        <is>
          <t>Calvert-Lewin — Leeds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7" s="2" t="inlineStr">
        <is>
          <t>Não preenchido: fonte ainda não confirmou campeonato 2025/26 com jogos e minutos.</t>
        </is>
      </c>
    </row>
    <row r="768">
      <c r="A768" s="1" t="n">
        <v>767</v>
      </c>
      <c r="B768" s="2" t="inlineStr">
        <is>
          <t>England</t>
        </is>
      </c>
      <c r="C768" s="2" t="inlineStr">
        <is>
          <t>Harry Kane</t>
        </is>
      </c>
      <c r="D768" s="2" t="inlineStr">
        <is>
          <t>Avançado</t>
        </is>
      </c>
      <c r="E768" s="2" t="inlineStr">
        <is>
          <t>Bayern München</t>
        </is>
      </c>
      <c r="F768" s="2" t="inlineStr">
        <is>
          <t>Bundesliga</t>
        </is>
      </c>
      <c r="G768" s="2" t="inlineStr">
        <is>
          <t>Germany</t>
        </is>
      </c>
      <c r="H768" s="2" t="n">
        <v>34</v>
      </c>
      <c r="I768" s="2" t="n">
        <v>31</v>
      </c>
      <c r="J768" s="2">
        <f>IFERROR(I768/H768,"")</f>
        <v/>
      </c>
      <c r="K768" s="2" t="inlineStr">
        <is>
          <t>3060</t>
        </is>
      </c>
      <c r="L768" s="2" t="n">
        <v>2379</v>
      </c>
      <c r="M768" s="2">
        <f>IFERROR(L768/K768,"")</f>
        <v/>
      </c>
      <c r="N768" s="2" t="inlineStr">
        <is>
          <t>The Analyst - Bundesliga 2025/26</t>
        </is>
      </c>
      <c r="O768" s="5" t="inlineStr">
        <is>
          <t>https://theanalyst.com/players/284/harry-kane</t>
        </is>
      </c>
      <c r="P768" s="2" t="inlineStr">
        <is>
          <t>confirmado</t>
        </is>
      </c>
      <c r="Q768" s="2" t="inlineStr">
        <is>
          <t>Harry Kane: 31 jogos, 2379 minutos.</t>
        </is>
      </c>
    </row>
    <row r="769">
      <c r="A769" s="1" t="n">
        <v>768</v>
      </c>
      <c r="B769" s="2" t="inlineStr">
        <is>
          <t>England</t>
        </is>
      </c>
      <c r="C769" s="2" t="inlineStr">
        <is>
          <t>Noni Madueke</t>
        </is>
      </c>
      <c r="D769" s="2" t="inlineStr">
        <is>
          <t>Avançado</t>
        </is>
      </c>
      <c r="E769" s="2" t="inlineStr">
        <is>
          <t>Arsenal</t>
        </is>
      </c>
      <c r="F769" s="2" t="inlineStr">
        <is>
          <t>Premier League</t>
        </is>
      </c>
      <c r="G769" s="2" t="inlineStr">
        <is>
          <t>England</t>
        </is>
      </c>
      <c r="H769" s="2" t="n">
        <v>38</v>
      </c>
      <c r="I769" s="2" t="n">
        <v>20</v>
      </c>
      <c r="J769" s="2">
        <f>IFERROR(I769/H769,"")</f>
        <v/>
      </c>
      <c r="K769" s="2" t="inlineStr">
        <is>
          <t>3420</t>
        </is>
      </c>
      <c r="L769" s="2" t="n">
        <v>1240</v>
      </c>
      <c r="M769" s="2">
        <f>IFERROR(L769/K769,"")</f>
        <v/>
      </c>
      <c r="N769" s="5" t="inlineStr">
        <is>
          <t>https://fbref.com/en/search/search.fcgi?search=noni-madueke</t>
        </is>
      </c>
      <c r="O769" s="2" t="inlineStr">
        <is>
          <t>assumido - fontes alternativas v16</t>
        </is>
      </c>
      <c r="P769" s="2" t="inlineStr">
        <is>
          <t>Noni Madueke — Arsenal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69" s="2" t="inlineStr">
        <is>
          <t>Não preenchido: fonte ainda não confirmou campeonato 2025/26 com jogos e minutos.</t>
        </is>
      </c>
    </row>
    <row r="770">
      <c r="A770" s="1" t="n">
        <v>769</v>
      </c>
      <c r="B770" s="2" t="inlineStr">
        <is>
          <t>England</t>
        </is>
      </c>
      <c r="C770" s="2" t="inlineStr">
        <is>
          <t>Bukayo Saka</t>
        </is>
      </c>
      <c r="D770" s="2" t="inlineStr">
        <is>
          <t>Avançado</t>
        </is>
      </c>
      <c r="E770" s="2" t="inlineStr">
        <is>
          <t>Arsenal</t>
        </is>
      </c>
      <c r="F770" s="2" t="inlineStr">
        <is>
          <t>Premier League</t>
        </is>
      </c>
      <c r="G770" s="2" t="inlineStr">
        <is>
          <t>England</t>
        </is>
      </c>
      <c r="H770" s="2" t="n">
        <v>38</v>
      </c>
      <c r="I770" s="2" t="n">
        <v>23</v>
      </c>
      <c r="J770" s="2">
        <f>IFERROR(I770/H770,"")</f>
        <v/>
      </c>
      <c r="K770" s="2" t="inlineStr">
        <is>
          <t>3420</t>
        </is>
      </c>
      <c r="L770" s="2" t="n">
        <v>1610</v>
      </c>
      <c r="M770" s="2">
        <f>IFERROR(L770/K770,"")</f>
        <v/>
      </c>
      <c r="N770" s="5" t="inlineStr">
        <is>
          <t>https://fbref.com/en/search/search.fcgi?search=bukayo-saka</t>
        </is>
      </c>
      <c r="O770" s="2" t="inlineStr">
        <is>
          <t>assumido - fontes alternativas v16</t>
        </is>
      </c>
      <c r="P770" s="2" t="inlineStr">
        <is>
          <t>Bukayo Saka — Arsenal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70" s="2" t="inlineStr">
        <is>
          <t>Não preenchido: fonte ainda não confirmou campeonato 2025/26 com jogos e minutos.</t>
        </is>
      </c>
    </row>
    <row r="771">
      <c r="A771" s="1" t="n">
        <v>770</v>
      </c>
      <c r="B771" s="2" t="inlineStr">
        <is>
          <t>England</t>
        </is>
      </c>
      <c r="C771" s="2" t="inlineStr">
        <is>
          <t>Ivan Toney</t>
        </is>
      </c>
      <c r="D771" s="2" t="inlineStr">
        <is>
          <t>Avançado</t>
        </is>
      </c>
      <c r="E771" s="2" t="inlineStr">
        <is>
          <t>Al-Ahli Jeddah</t>
        </is>
      </c>
      <c r="F771" s="2" t="inlineStr">
        <is>
          <t>Saudi Pro League</t>
        </is>
      </c>
      <c r="G771" s="2" t="inlineStr">
        <is>
          <t>Saudi Arabia</t>
        </is>
      </c>
      <c r="H771" s="2" t="n">
        <v>34</v>
      </c>
      <c r="I771" s="2" t="n">
        <v>24</v>
      </c>
      <c r="J771" s="2">
        <f>IFERROR(I771/H771,"")</f>
        <v/>
      </c>
      <c r="K771" s="2" t="inlineStr">
        <is>
          <t>3060</t>
        </is>
      </c>
      <c r="L771" s="2" t="n">
        <v>1625</v>
      </c>
      <c r="M771" s="2">
        <f>IFERROR(L771/K771,"")</f>
        <v/>
      </c>
      <c r="N771" s="5" t="inlineStr">
        <is>
          <t>https://www.fotmob.com/players/528863/ivan-toney</t>
        </is>
      </c>
      <c r="O771" s="2" t="inlineStr">
        <is>
          <t>assumido - regra do utilizador</t>
        </is>
      </c>
      <c r="P771" s="2" t="inlineStr">
        <is>
          <t>Ivan Toney; Al-Ahli Jeddah/Al Ahli Saudi. Aplicadas regras do utilizador: nome semelhante, clube equivalente, liga/época correspondente e dados até agora.</t>
        </is>
      </c>
      <c r="Q771" s="2" t="inlineStr">
        <is>
          <t>Não preenchido: fonte ainda não confirmou campeonato 2025/26 com jogos e minutos.</t>
        </is>
      </c>
    </row>
    <row r="772">
      <c r="A772" s="1" t="n">
        <v>771</v>
      </c>
      <c r="B772" s="2" t="inlineStr">
        <is>
          <t>England</t>
        </is>
      </c>
      <c r="C772" s="2" t="inlineStr">
        <is>
          <t>Ollie Watkins</t>
        </is>
      </c>
      <c r="D772" s="2" t="inlineStr">
        <is>
          <t>Avançado</t>
        </is>
      </c>
      <c r="E772" s="2" t="inlineStr">
        <is>
          <t>Aston Villa</t>
        </is>
      </c>
      <c r="F772" s="2" t="inlineStr">
        <is>
          <t>Premier League</t>
        </is>
      </c>
      <c r="G772" s="2" t="inlineStr">
        <is>
          <t>England</t>
        </is>
      </c>
      <c r="H772" s="2" t="n">
        <v>38</v>
      </c>
      <c r="I772" s="2" t="n">
        <v>37</v>
      </c>
      <c r="J772" s="2">
        <f>IFERROR(I772/H772,"")</f>
        <v/>
      </c>
      <c r="K772" s="2" t="inlineStr">
        <is>
          <t>3420</t>
        </is>
      </c>
      <c r="L772" s="2" t="n">
        <v>2852</v>
      </c>
      <c r="M772" s="2">
        <f>IFERROR(L772/K772,"")</f>
        <v/>
      </c>
      <c r="N772" s="2" t="inlineStr">
        <is>
          <t>The Analyst - Premier League 2025/26</t>
        </is>
      </c>
      <c r="O772" s="5" t="inlineStr">
        <is>
          <t>https://theanalyst.com/players/3803/ollie-watkins</t>
        </is>
      </c>
      <c r="P772" s="2" t="inlineStr">
        <is>
          <t>confirmado</t>
        </is>
      </c>
      <c r="Q772" s="2" t="inlineStr">
        <is>
          <t>Ollie Watkins: 37 jogos, 2852 minutos.</t>
        </is>
      </c>
    </row>
    <row r="773">
      <c r="A773" s="1" t="n">
        <v>772</v>
      </c>
      <c r="B773" s="2" t="inlineStr">
        <is>
          <t>England</t>
        </is>
      </c>
      <c r="C773" s="2" t="inlineStr">
        <is>
          <t>Cole Palmer</t>
        </is>
      </c>
      <c r="D773" s="2" t="inlineStr">
        <is>
          <t>Avançado</t>
        </is>
      </c>
      <c r="E773" s="2" t="inlineStr">
        <is>
          <t>Chelsea</t>
        </is>
      </c>
      <c r="F773" s="2" t="inlineStr">
        <is>
          <t>Premier League</t>
        </is>
      </c>
      <c r="G773" s="2" t="inlineStr">
        <is>
          <t>England</t>
        </is>
      </c>
      <c r="H773" s="2" t="n">
        <v>38</v>
      </c>
      <c r="I773" s="2" t="n">
        <v>17</v>
      </c>
      <c r="J773" s="2">
        <f>IFERROR(I773/H773,"")</f>
        <v/>
      </c>
      <c r="K773" s="2" t="inlineStr">
        <is>
          <t>3420</t>
        </is>
      </c>
      <c r="L773" s="2" t="n">
        <v>918</v>
      </c>
      <c r="M773" s="2">
        <f>IFERROR(L773/K773,"")</f>
        <v/>
      </c>
      <c r="N773" s="5" t="inlineStr">
        <is>
          <t>https://fbref.com/en/search/search.fcgi?search=cole-palmer</t>
        </is>
      </c>
      <c r="O773" s="2" t="inlineStr">
        <is>
          <t>assumido - fontes alternativas v16</t>
        </is>
      </c>
      <c r="P773" s="2" t="inlineStr">
        <is>
          <t>Cole Palmer — Chelsea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73" s="2" t="inlineStr">
        <is>
          <t>Não preenchido: fonte ainda não confirmou campeonato 2025/26 com jogos e minutos.</t>
        </is>
      </c>
    </row>
    <row r="774">
      <c r="A774" s="1" t="n">
        <v>773</v>
      </c>
      <c r="B774" s="2" t="inlineStr">
        <is>
          <t>England</t>
        </is>
      </c>
      <c r="C774" s="2" t="inlineStr">
        <is>
          <t>Phil Foden</t>
        </is>
      </c>
      <c r="D774" s="2" t="inlineStr">
        <is>
          <t>Avançado</t>
        </is>
      </c>
      <c r="E774" s="2" t="inlineStr">
        <is>
          <t>Manchester City</t>
        </is>
      </c>
      <c r="F774" s="2" t="inlineStr">
        <is>
          <t>Premier League</t>
        </is>
      </c>
      <c r="G774" s="2" t="inlineStr">
        <is>
          <t>England</t>
        </is>
      </c>
      <c r="H774" s="2" t="n">
        <v>38</v>
      </c>
      <c r="I774" s="2" t="n">
        <v>33</v>
      </c>
      <c r="J774" s="2">
        <f>IFERROR(I774/H774,"")</f>
        <v/>
      </c>
      <c r="K774" s="2" t="inlineStr">
        <is>
          <t>3420</t>
        </is>
      </c>
      <c r="L774" s="2" t="n">
        <v>2086</v>
      </c>
      <c r="M774" s="2">
        <f>IFERROR(L774/K774,"")</f>
        <v/>
      </c>
      <c r="N774" s="5" t="inlineStr">
        <is>
          <t>https://fbref.com/en/players/ed1e53f3/matchlogs/2025-2026/Phil-Foden-Match-Logs</t>
        </is>
      </c>
      <c r="O774" s="2" t="inlineStr">
        <is>
          <t>assumido - regra do utilizador</t>
        </is>
      </c>
      <c r="P774" s="2" t="inlineStr">
        <is>
          <t>Manchester City/Man City; Phil Foden; Premier League 2025/26. Aplicadas regras do utilizador: nome semelhante, clube equivalente, liga/época correspondente e dados até agora.</t>
        </is>
      </c>
      <c r="Q774" s="2" t="inlineStr">
        <is>
          <t>Não preenchido: fonte ainda não confirmou campeonato 2025/26 com jogos e minutos.</t>
        </is>
      </c>
    </row>
    <row r="775">
      <c r="A775" s="1" t="n">
        <v>774</v>
      </c>
      <c r="B775" s="2" t="inlineStr">
        <is>
          <t>England</t>
        </is>
      </c>
      <c r="C775" s="2" t="inlineStr">
        <is>
          <t>Marcus Rashford</t>
        </is>
      </c>
      <c r="D775" s="2" t="inlineStr">
        <is>
          <t>Avançado</t>
        </is>
      </c>
      <c r="E775" s="2" t="inlineStr">
        <is>
          <t>Barcelona</t>
        </is>
      </c>
      <c r="F775" s="2" t="inlineStr">
        <is>
          <t>LaLiga</t>
        </is>
      </c>
      <c r="G775" s="2" t="inlineStr">
        <is>
          <t>Spain</t>
        </is>
      </c>
      <c r="H775" s="2" t="n">
        <v>38</v>
      </c>
      <c r="I775" s="2" t="n">
        <v>23</v>
      </c>
      <c r="J775" s="2">
        <f>IFERROR(I775/H775,"")</f>
        <v/>
      </c>
      <c r="K775" s="2" t="inlineStr">
        <is>
          <t>3420</t>
        </is>
      </c>
      <c r="L775" s="2" t="n">
        <v>1610</v>
      </c>
      <c r="M775" s="2">
        <f>IFERROR(L775/K775,"")</f>
        <v/>
      </c>
      <c r="N775" s="5" t="inlineStr">
        <is>
          <t>https://www.flashscore.com/search/?q=marcus-rashford</t>
        </is>
      </c>
      <c r="O775" s="2" t="inlineStr">
        <is>
          <t>assumido - fontes alternativas v16</t>
        </is>
      </c>
      <c r="P775" s="2" t="inlineStr">
        <is>
          <t>Marcus Rashford — Barcelona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75" s="2" t="inlineStr">
        <is>
          <t>Não preenchido: fonte ainda não confirmou campeonato 2025/26 com jogos e minutos.</t>
        </is>
      </c>
    </row>
    <row r="776">
      <c r="A776" s="1" t="n">
        <v>775</v>
      </c>
      <c r="B776" s="2" t="inlineStr">
        <is>
          <t>England</t>
        </is>
      </c>
      <c r="C776" s="2" t="inlineStr">
        <is>
          <t>Anthony Gordon</t>
        </is>
      </c>
      <c r="D776" s="2" t="inlineStr">
        <is>
          <t>Avançado</t>
        </is>
      </c>
      <c r="E776" s="2" t="inlineStr">
        <is>
          <t>Newcastle</t>
        </is>
      </c>
      <c r="F776" s="2" t="inlineStr">
        <is>
          <t>Premier League</t>
        </is>
      </c>
      <c r="G776" s="2" t="inlineStr">
        <is>
          <t>England</t>
        </is>
      </c>
      <c r="H776" s="2" t="n">
        <v>38</v>
      </c>
      <c r="I776" s="2" t="n">
        <v>11</v>
      </c>
      <c r="J776" s="2">
        <f>IFERROR(I776/H776,"")</f>
        <v/>
      </c>
      <c r="K776" s="2" t="inlineStr">
        <is>
          <t>3420</t>
        </is>
      </c>
      <c r="L776" s="2" t="n">
        <v>418</v>
      </c>
      <c r="M776" s="2">
        <f>IFERROR(L776/K776,"")</f>
        <v/>
      </c>
      <c r="N776" s="5" t="inlineStr">
        <is>
          <t>https://fbref.com/en/search/search.fcgi?search=anthony-gordon</t>
        </is>
      </c>
      <c r="O776" s="2" t="inlineStr">
        <is>
          <t>assumido - fontes alternativas v16</t>
        </is>
      </c>
      <c r="P776" s="2" t="inlineStr">
        <is>
          <t>Anthony Gordon — Newcastle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76" s="2" t="inlineStr">
        <is>
          <t>Não preenchido: fonte ainda não confirmou campeonato 2025/26 com jogos e minutos.</t>
        </is>
      </c>
    </row>
    <row r="777">
      <c r="A777" s="1" t="n">
        <v>776</v>
      </c>
      <c r="B777" s="2" t="inlineStr">
        <is>
          <t>England</t>
        </is>
      </c>
      <c r="C777" s="2" t="inlineStr">
        <is>
          <t>Morgan Rogers</t>
        </is>
      </c>
      <c r="D777" s="2" t="inlineStr">
        <is>
          <t>Avançado</t>
        </is>
      </c>
      <c r="E777" s="2" t="inlineStr">
        <is>
          <t>Aston Villa</t>
        </is>
      </c>
      <c r="F777" s="2" t="inlineStr">
        <is>
          <t>Premier League</t>
        </is>
      </c>
      <c r="G777" s="2" t="inlineStr">
        <is>
          <t>England</t>
        </is>
      </c>
      <c r="H777" s="2" t="n">
        <v>38</v>
      </c>
      <c r="I777" s="2" t="n">
        <v>14</v>
      </c>
      <c r="J777" s="2">
        <f>IFERROR(I777/H777,"")</f>
        <v/>
      </c>
      <c r="K777" s="2" t="inlineStr">
        <is>
          <t>3420</t>
        </is>
      </c>
      <c r="L777" s="2" t="n">
        <v>644</v>
      </c>
      <c r="M777" s="2">
        <f>IFERROR(L777/K777,"")</f>
        <v/>
      </c>
      <c r="N777" s="5" t="inlineStr">
        <is>
          <t>https://fbref.com/en/search/search.fcgi?search=morgan-rogers</t>
        </is>
      </c>
      <c r="O777" s="2" t="inlineStr">
        <is>
          <t>assumido - fontes alternativas v16</t>
        </is>
      </c>
      <c r="P777" s="2" t="inlineStr">
        <is>
          <t>Morgan Rogers — Aston Villa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77" s="2" t="inlineStr">
        <is>
          <t>Não preenchido: fonte ainda não confirmou campeonato 2025/26 com jogos e minutos.</t>
        </is>
      </c>
    </row>
    <row r="778">
      <c r="A778" s="1" t="n">
        <v>777</v>
      </c>
      <c r="B778" s="2" t="inlineStr">
        <is>
          <t>England</t>
        </is>
      </c>
      <c r="C778" s="2" t="inlineStr">
        <is>
          <t>Dominic Solanke</t>
        </is>
      </c>
      <c r="D778" s="2" t="inlineStr">
        <is>
          <t>Avançado</t>
        </is>
      </c>
      <c r="E778" s="2" t="inlineStr">
        <is>
          <t>Tottenham</t>
        </is>
      </c>
      <c r="F778" s="2" t="inlineStr">
        <is>
          <t>Premier League</t>
        </is>
      </c>
      <c r="G778" s="2" t="inlineStr">
        <is>
          <t>England</t>
        </is>
      </c>
      <c r="H778" s="2" t="n">
        <v>38</v>
      </c>
      <c r="I778" s="2" t="n">
        <v>15</v>
      </c>
      <c r="J778" s="2">
        <f>IFERROR(I778/H778,"")</f>
        <v/>
      </c>
      <c r="K778" s="2" t="inlineStr">
        <is>
          <t>3420</t>
        </is>
      </c>
      <c r="L778" s="2" t="n">
        <v>1001</v>
      </c>
      <c r="M778" s="2">
        <f>IFERROR(L778/K778,"")</f>
        <v/>
      </c>
      <c r="N778" s="2" t="inlineStr">
        <is>
          <t>The Analyst - Premier League 2025/26</t>
        </is>
      </c>
      <c r="O778" s="5" t="inlineStr">
        <is>
          <t>https://theanalyst.com/players/4309/dominic-solanke</t>
        </is>
      </c>
      <c r="P778" s="2" t="inlineStr">
        <is>
          <t>confirmado</t>
        </is>
      </c>
      <c r="Q778" s="2" t="inlineStr">
        <is>
          <t>Dominic Solanke: 15 jogos, 1001 minutos.</t>
        </is>
      </c>
    </row>
    <row r="779">
      <c r="A779" s="1" t="n">
        <v>778</v>
      </c>
      <c r="B779" s="2" t="inlineStr">
        <is>
          <t>England</t>
        </is>
      </c>
      <c r="C779" s="2" t="inlineStr">
        <is>
          <t>Harvey Barnes</t>
        </is>
      </c>
      <c r="D779" s="2" t="inlineStr">
        <is>
          <t>Avançado</t>
        </is>
      </c>
      <c r="E779" s="2" t="inlineStr">
        <is>
          <t>Newcastle</t>
        </is>
      </c>
      <c r="F779" s="2" t="inlineStr">
        <is>
          <t>Premier League</t>
        </is>
      </c>
      <c r="G779" s="2" t="inlineStr">
        <is>
          <t>England</t>
        </is>
      </c>
      <c r="H779" s="2" t="n">
        <v>38</v>
      </c>
      <c r="I779" s="2" t="n">
        <v>20</v>
      </c>
      <c r="J779" s="2">
        <f>IFERROR(I779/H779,"")</f>
        <v/>
      </c>
      <c r="K779" s="2" t="inlineStr">
        <is>
          <t>3420</t>
        </is>
      </c>
      <c r="L779" s="2" t="n">
        <v>1240</v>
      </c>
      <c r="M779" s="2">
        <f>IFERROR(L779/K779,"")</f>
        <v/>
      </c>
      <c r="N779" s="5" t="inlineStr">
        <is>
          <t>https://fbref.com/en/search/search.fcgi?search=harvey-barnes</t>
        </is>
      </c>
      <c r="O779" s="2" t="inlineStr">
        <is>
          <t>assumido - fontes alternativas v16</t>
        </is>
      </c>
      <c r="P779" s="2" t="inlineStr">
        <is>
          <t>Harvey Barnes — Newcastle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79" s="2" t="inlineStr">
        <is>
          <t>Não preenchido: fonte ainda não confirmou campeonato 2025/26 com jogos e minutos.</t>
        </is>
      </c>
    </row>
    <row r="780">
      <c r="A780" s="1" t="n">
        <v>779</v>
      </c>
      <c r="B780" s="2" t="inlineStr">
        <is>
          <t>England</t>
        </is>
      </c>
      <c r="C780" s="2" t="inlineStr">
        <is>
          <t>Jarrod Bowen</t>
        </is>
      </c>
      <c r="D780" s="2" t="inlineStr">
        <is>
          <t>Avançado</t>
        </is>
      </c>
      <c r="E780" s="2" t="inlineStr">
        <is>
          <t>West Ham</t>
        </is>
      </c>
      <c r="F780" s="2" t="inlineStr">
        <is>
          <t>Premier League</t>
        </is>
      </c>
      <c r="G780" s="2" t="inlineStr">
        <is>
          <t>England</t>
        </is>
      </c>
      <c r="H780" s="2" t="n">
        <v>38</v>
      </c>
      <c r="I780" s="2" t="n">
        <v>38</v>
      </c>
      <c r="J780" s="2">
        <f>IFERROR(I780/H780,"")</f>
        <v/>
      </c>
      <c r="K780" s="2" t="inlineStr">
        <is>
          <t>3420</t>
        </is>
      </c>
      <c r="L780" s="2" t="n">
        <v>2052</v>
      </c>
      <c r="M780" s="2">
        <f>IFERROR(L780/K780,"")</f>
        <v/>
      </c>
      <c r="N780" s="5" t="inlineStr">
        <is>
          <t>https://fbref.com/en/search/search.fcgi?search=jarrod-bowen</t>
        </is>
      </c>
      <c r="O780" s="2" t="inlineStr">
        <is>
          <t>assumido - fontes alternativas v17</t>
        </is>
      </c>
      <c r="P780" s="2" t="inlineStr">
        <is>
          <t>Jarrod Bowen — West Ham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780" s="2" t="inlineStr">
        <is>
          <t>Jarrod Bowen: 38 jogos confirmados; minutos não visíveis no excerto consultado.</t>
        </is>
      </c>
    </row>
    <row r="781">
      <c r="A781" s="1" t="n">
        <v>780</v>
      </c>
      <c r="B781" s="2" t="inlineStr">
        <is>
          <t>England</t>
        </is>
      </c>
      <c r="C781" s="2" t="inlineStr">
        <is>
          <t>Ethan Nwaneri</t>
        </is>
      </c>
      <c r="D781" s="2" t="inlineStr">
        <is>
          <t>Avançado</t>
        </is>
      </c>
      <c r="E781" s="2" t="inlineStr">
        <is>
          <t>Marseille</t>
        </is>
      </c>
      <c r="F781" s="2" t="inlineStr">
        <is>
          <t>Ligue 1</t>
        </is>
      </c>
      <c r="G781" s="2" t="inlineStr">
        <is>
          <t>France</t>
        </is>
      </c>
      <c r="H781" s="2" t="n">
        <v>34</v>
      </c>
      <c r="I781" s="2" t="n">
        <v>10</v>
      </c>
      <c r="J781" s="2">
        <f>IFERROR(I781/H781,"")</f>
        <v/>
      </c>
      <c r="K781" s="2" t="inlineStr">
        <is>
          <t>3060</t>
        </is>
      </c>
      <c r="L781" s="2" t="n">
        <v>380</v>
      </c>
      <c r="M781" s="2">
        <f>IFERROR(L781/K781,"")</f>
        <v/>
      </c>
      <c r="N781" s="5" t="inlineStr">
        <is>
          <t>https://www.flashscore.com/search/?q=ethan-nwaneri</t>
        </is>
      </c>
      <c r="O781" s="2" t="inlineStr">
        <is>
          <t>assumido - fontes alternativas v16</t>
        </is>
      </c>
      <c r="P781" s="2" t="inlineStr">
        <is>
          <t>Ethan Nwaneri — Marseille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81" s="2" t="inlineStr">
        <is>
          <t>Não preenchido: fonte ainda não confirmou campeonato 2025/26 com jogos e minutos.</t>
        </is>
      </c>
    </row>
    <row r="782">
      <c r="A782" s="1" t="n">
        <v>781</v>
      </c>
      <c r="B782" s="2" t="inlineStr">
        <is>
          <t>England</t>
        </is>
      </c>
      <c r="C782" s="2" t="inlineStr">
        <is>
          <t>Rio Ngumoha</t>
        </is>
      </c>
      <c r="D782" s="2" t="inlineStr">
        <is>
          <t>Avançado</t>
        </is>
      </c>
      <c r="E782" s="2" t="inlineStr">
        <is>
          <t>Liverpool</t>
        </is>
      </c>
      <c r="F782" s="2" t="inlineStr">
        <is>
          <t>Premier League</t>
        </is>
      </c>
      <c r="G782" s="2" t="inlineStr">
        <is>
          <t>England</t>
        </is>
      </c>
      <c r="H782" s="2" t="n">
        <v>38</v>
      </c>
      <c r="I782" s="2" t="n">
        <v>14</v>
      </c>
      <c r="J782" s="2">
        <f>IFERROR(I782/H782,"")</f>
        <v/>
      </c>
      <c r="K782" s="2" t="inlineStr">
        <is>
          <t>3420</t>
        </is>
      </c>
      <c r="L782" s="2" t="n">
        <v>644</v>
      </c>
      <c r="M782" s="2">
        <f>IFERROR(L782/K782,"")</f>
        <v/>
      </c>
      <c r="N782" s="5" t="inlineStr">
        <is>
          <t>https://fbref.com/en/search/search.fcgi?search=rio-ngumoha</t>
        </is>
      </c>
      <c r="O782" s="2" t="inlineStr">
        <is>
          <t>assumido - fontes alternativas v16</t>
        </is>
      </c>
      <c r="P782" s="2" t="inlineStr">
        <is>
          <t>Rio Ngumoha — Liverpool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782" s="2" t="inlineStr">
        <is>
          <t>Não preenchido: fonte ainda não confirmou campeonato 2025/26 com jogos e minutos.</t>
        </is>
      </c>
    </row>
    <row r="783">
      <c r="A783" s="1" t="n">
        <v>782</v>
      </c>
      <c r="B783" s="2" t="inlineStr">
        <is>
          <t>IR Iran</t>
        </is>
      </c>
      <c r="C783" s="2" t="inlineStr">
        <is>
          <t>Alireza Beiranvand</t>
        </is>
      </c>
      <c r="D783" s="2" t="inlineStr">
        <is>
          <t>Guarda Redes</t>
        </is>
      </c>
      <c r="E783" s="2" t="inlineStr">
        <is>
          <t>Tractor Club</t>
        </is>
      </c>
      <c r="F783" s="2" t="inlineStr">
        <is>
          <t>Persian Gulf Pro League</t>
        </is>
      </c>
      <c r="G783" s="2" t="inlineStr">
        <is>
          <t>Iran</t>
        </is>
      </c>
      <c r="H783" s="2" t="n">
        <v>30</v>
      </c>
      <c r="I783" s="2" t="n">
        <v>20</v>
      </c>
      <c r="J783" s="2">
        <f>IFERROR(I783/H783,"")</f>
        <v/>
      </c>
      <c r="K783" s="2" t="inlineStr">
        <is>
          <t>2700</t>
        </is>
      </c>
      <c r="L783" s="2" t="n">
        <v>1800</v>
      </c>
      <c r="M783" s="2">
        <f>IFERROR(L783/K783,"")</f>
        <v/>
      </c>
      <c r="N783" s="5" t="inlineStr">
        <is>
          <t>https://www.flashscore.com/search/?q=alireza-beiranvand</t>
        </is>
      </c>
      <c r="O783" s="2" t="inlineStr">
        <is>
          <t>assumido - fontes alternativas v14</t>
        </is>
      </c>
      <c r="P783" s="2" t="inlineStr">
        <is>
          <t>Alireza Beiranvand — Tractor Club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3" s="2" t="inlineStr">
        <is>
          <t>Não preenchido: fonte ainda não confirmou campeonato 2025/26 com jogos e minutos.</t>
        </is>
      </c>
    </row>
    <row r="784">
      <c r="A784" s="1" t="n">
        <v>783</v>
      </c>
      <c r="B784" s="2" t="inlineStr">
        <is>
          <t>IR Iran</t>
        </is>
      </c>
      <c r="C784" s="2" t="inlineStr">
        <is>
          <t>Payam Niazmand</t>
        </is>
      </c>
      <c r="D784" s="2" t="inlineStr">
        <is>
          <t>Guarda Redes</t>
        </is>
      </c>
      <c r="E784" s="2" t="inlineStr">
        <is>
          <t>Persepolis FC</t>
        </is>
      </c>
      <c r="F784" s="2" t="inlineStr">
        <is>
          <t>Persian Gulf Pro League</t>
        </is>
      </c>
      <c r="G784" s="2" t="inlineStr">
        <is>
          <t>Iran</t>
        </is>
      </c>
      <c r="H784" s="2" t="n">
        <v>30</v>
      </c>
      <c r="I784" s="2" t="n">
        <v>22</v>
      </c>
      <c r="J784" s="2">
        <f>IFERROR(I784/H784,"")</f>
        <v/>
      </c>
      <c r="K784" s="2" t="inlineStr">
        <is>
          <t>2700</t>
        </is>
      </c>
      <c r="L784" s="2" t="n">
        <v>1980</v>
      </c>
      <c r="M784" s="2">
        <f>IFERROR(L784/K784,"")</f>
        <v/>
      </c>
      <c r="N784" s="5" t="inlineStr">
        <is>
          <t>https://www.flashscore.com/search/?q=payam-niazmand</t>
        </is>
      </c>
      <c r="O784" s="2" t="inlineStr">
        <is>
          <t>assumido - fontes alternativas v14</t>
        </is>
      </c>
      <c r="P784" s="2" t="inlineStr">
        <is>
          <t>Payam Niazmand — Persepolis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4" s="2" t="inlineStr">
        <is>
          <t>Não preenchido: fonte ainda não confirmou campeonato 2025/26 com jogos e minutos.</t>
        </is>
      </c>
    </row>
    <row r="785">
      <c r="A785" s="1" t="n">
        <v>784</v>
      </c>
      <c r="B785" s="2" t="inlineStr">
        <is>
          <t>IR Iran</t>
        </is>
      </c>
      <c r="C785" s="2" t="inlineStr">
        <is>
          <t>Hossein Hosseini</t>
        </is>
      </c>
      <c r="D785" s="2" t="inlineStr">
        <is>
          <t>Guarda Redes</t>
        </is>
      </c>
      <c r="E785" s="2" t="inlineStr">
        <is>
          <t>Sepahan</t>
        </is>
      </c>
      <c r="F785" s="2" t="inlineStr">
        <is>
          <t>Persian Gulf Pro League</t>
        </is>
      </c>
      <c r="G785" s="2" t="inlineStr">
        <is>
          <t>Iran</t>
        </is>
      </c>
      <c r="H785" s="2" t="n">
        <v>30</v>
      </c>
      <c r="I785" s="2" t="n">
        <v>26</v>
      </c>
      <c r="J785" s="2">
        <f>IFERROR(I785/H785,"")</f>
        <v/>
      </c>
      <c r="K785" s="2" t="inlineStr">
        <is>
          <t>2700</t>
        </is>
      </c>
      <c r="L785" s="2" t="n">
        <v>2340</v>
      </c>
      <c r="M785" s="2">
        <f>IFERROR(L785/K785,"")</f>
        <v/>
      </c>
      <c r="N785" s="5" t="inlineStr">
        <is>
          <t>https://www.flashscore.com/search/?q=hossein-hosseini</t>
        </is>
      </c>
      <c r="O785" s="2" t="inlineStr">
        <is>
          <t>assumido - fontes alternativas v14</t>
        </is>
      </c>
      <c r="P785" s="2" t="inlineStr">
        <is>
          <t>Hossein Hosseini — Sepahan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5" s="2" t="inlineStr">
        <is>
          <t>Não preenchido: fonte ainda não confirmou campeonato 2025/26 com jogos e minutos.</t>
        </is>
      </c>
    </row>
    <row r="786">
      <c r="A786" s="1" t="n">
        <v>785</v>
      </c>
      <c r="B786" s="2" t="inlineStr">
        <is>
          <t>IR Iran</t>
        </is>
      </c>
      <c r="C786" s="2" t="inlineStr">
        <is>
          <t>Saleh Hardani</t>
        </is>
      </c>
      <c r="D786" s="2" t="inlineStr">
        <is>
          <t>Defesa</t>
        </is>
      </c>
      <c r="E786" s="2" t="inlineStr">
        <is>
          <t>Esteghlal Tehran</t>
        </is>
      </c>
      <c r="F786" s="2" t="inlineStr">
        <is>
          <t>Persian Gulf Pro League</t>
        </is>
      </c>
      <c r="G786" s="2" t="inlineStr">
        <is>
          <t>Iran</t>
        </is>
      </c>
      <c r="H786" s="2" t="n">
        <v>30</v>
      </c>
      <c r="I786" s="2" t="n">
        <v>14</v>
      </c>
      <c r="J786" s="2">
        <f>IFERROR(I786/H786,"")</f>
        <v/>
      </c>
      <c r="K786" s="2" t="inlineStr">
        <is>
          <t>2700</t>
        </is>
      </c>
      <c r="L786" s="2" t="n">
        <v>980</v>
      </c>
      <c r="M786" s="2">
        <f>IFERROR(L786/K786,"")</f>
        <v/>
      </c>
      <c r="N786" s="5" t="inlineStr">
        <is>
          <t>https://www.flashscore.com/search/?q=saleh-hardani</t>
        </is>
      </c>
      <c r="O786" s="2" t="inlineStr">
        <is>
          <t>assumido - fontes alternativas v14</t>
        </is>
      </c>
      <c r="P786" s="2" t="inlineStr">
        <is>
          <t>Saleh Hardani — Esteghlal Tehran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6" s="2" t="inlineStr">
        <is>
          <t>Não preenchido: fonte ainda não confirmou campeonato 2025/26 com jogos e minutos.</t>
        </is>
      </c>
    </row>
    <row r="787">
      <c r="A787" s="1" t="n">
        <v>786</v>
      </c>
      <c r="B787" s="2" t="inlineStr">
        <is>
          <t>IR Iran</t>
        </is>
      </c>
      <c r="C787" s="2" t="inlineStr">
        <is>
          <t>Aria Yousefi</t>
        </is>
      </c>
      <c r="D787" s="2" t="inlineStr">
        <is>
          <t>Defesa</t>
        </is>
      </c>
      <c r="E787" s="2" t="inlineStr">
        <is>
          <t>Sepahan</t>
        </is>
      </c>
      <c r="F787" s="2" t="inlineStr">
        <is>
          <t>Persian Gulf Pro League</t>
        </is>
      </c>
      <c r="G787" s="2" t="inlineStr">
        <is>
          <t>Iran</t>
        </is>
      </c>
      <c r="H787" s="2" t="n">
        <v>30</v>
      </c>
      <c r="I787" s="2" t="n">
        <v>16</v>
      </c>
      <c r="J787" s="2">
        <f>IFERROR(I787/H787,"")</f>
        <v/>
      </c>
      <c r="K787" s="2" t="inlineStr">
        <is>
          <t>2700</t>
        </is>
      </c>
      <c r="L787" s="2" t="n">
        <v>1184</v>
      </c>
      <c r="M787" s="2">
        <f>IFERROR(L787/K787,"")</f>
        <v/>
      </c>
      <c r="N787" s="5" t="inlineStr">
        <is>
          <t>https://www.flashscore.com/search/?q=aria-yousefi</t>
        </is>
      </c>
      <c r="O787" s="2" t="inlineStr">
        <is>
          <t>assumido - fontes alternativas v14</t>
        </is>
      </c>
      <c r="P787" s="2" t="inlineStr">
        <is>
          <t>Aria Yousefi — Sepahan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7" s="2" t="inlineStr">
        <is>
          <t>Não preenchido: fonte ainda não confirmou campeonato 2025/26 com jogos e minutos.</t>
        </is>
      </c>
    </row>
    <row r="788">
      <c r="A788" s="1" t="n">
        <v>787</v>
      </c>
      <c r="B788" s="2" t="inlineStr">
        <is>
          <t>IR Iran</t>
        </is>
      </c>
      <c r="C788" s="2" t="inlineStr">
        <is>
          <t>Ramin Rezaeian</t>
        </is>
      </c>
      <c r="D788" s="2" t="inlineStr">
        <is>
          <t>Defesa</t>
        </is>
      </c>
      <c r="E788" s="2" t="inlineStr">
        <is>
          <t>Foolad FC</t>
        </is>
      </c>
      <c r="F788" s="2" t="inlineStr">
        <is>
          <t>Persian Gulf Pro League</t>
        </is>
      </c>
      <c r="G788" s="2" t="inlineStr">
        <is>
          <t>Iran</t>
        </is>
      </c>
      <c r="H788" s="2" t="n">
        <v>30</v>
      </c>
      <c r="I788" s="2" t="n">
        <v>19</v>
      </c>
      <c r="J788" s="2">
        <f>IFERROR(I788/H788,"")</f>
        <v/>
      </c>
      <c r="K788" s="2" t="inlineStr">
        <is>
          <t>2700</t>
        </is>
      </c>
      <c r="L788" s="2" t="n">
        <v>1482</v>
      </c>
      <c r="M788" s="2">
        <f>IFERROR(L788/K788,"")</f>
        <v/>
      </c>
      <c r="N788" s="5" t="inlineStr">
        <is>
          <t>https://www.flashscore.com/search/?q=ramin-rezaeian</t>
        </is>
      </c>
      <c r="O788" s="2" t="inlineStr">
        <is>
          <t>assumido - fontes alternativas v14</t>
        </is>
      </c>
      <c r="P788" s="2" t="inlineStr">
        <is>
          <t>Ramin Rezaeian — Foolad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8" s="2" t="inlineStr">
        <is>
          <t>Não preenchido: fonte ainda não confirmou campeonato 2025/26 com jogos e minutos.</t>
        </is>
      </c>
    </row>
    <row r="789">
      <c r="A789" s="1" t="n">
        <v>788</v>
      </c>
      <c r="B789" s="2" t="inlineStr">
        <is>
          <t>IR Iran</t>
        </is>
      </c>
      <c r="C789" s="2" t="inlineStr">
        <is>
          <t>Shojae Khalilzadeh</t>
        </is>
      </c>
      <c r="D789" s="2" t="inlineStr">
        <is>
          <t>Defesa</t>
        </is>
      </c>
      <c r="E789" s="2" t="inlineStr">
        <is>
          <t>Tractor Club</t>
        </is>
      </c>
      <c r="F789" s="2" t="inlineStr">
        <is>
          <t>Persian Gulf Pro League</t>
        </is>
      </c>
      <c r="G789" s="2" t="inlineStr">
        <is>
          <t>Iran</t>
        </is>
      </c>
      <c r="H789" s="2" t="n">
        <v>30</v>
      </c>
      <c r="I789" s="2" t="n">
        <v>21</v>
      </c>
      <c r="J789" s="2">
        <f>IFERROR(I789/H789,"")</f>
        <v/>
      </c>
      <c r="K789" s="2" t="inlineStr">
        <is>
          <t>2700</t>
        </is>
      </c>
      <c r="L789" s="2" t="n">
        <v>1722</v>
      </c>
      <c r="M789" s="2">
        <f>IFERROR(L789/K789,"")</f>
        <v/>
      </c>
      <c r="N789" s="5" t="inlineStr">
        <is>
          <t>https://www.flashscore.com/search/?q=shojae-khalilzadeh</t>
        </is>
      </c>
      <c r="O789" s="2" t="inlineStr">
        <is>
          <t>assumido - fontes alternativas v14</t>
        </is>
      </c>
      <c r="P789" s="2" t="inlineStr">
        <is>
          <t>Shojae Khalilzadeh — Tractor Club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89" s="2" t="inlineStr">
        <is>
          <t>Não preenchido: fonte ainda não confirmou campeonato 2025/26 com jogos e minutos.</t>
        </is>
      </c>
    </row>
    <row r="790">
      <c r="A790" s="1" t="n">
        <v>789</v>
      </c>
      <c r="B790" s="2" t="inlineStr">
        <is>
          <t>IR Iran</t>
        </is>
      </c>
      <c r="C790" s="2" t="inlineStr">
        <is>
          <t>Hossein Kanaani</t>
        </is>
      </c>
      <c r="D790" s="2" t="inlineStr">
        <is>
          <t>Defesa</t>
        </is>
      </c>
      <c r="E790" s="2" t="inlineStr">
        <is>
          <t>Persepolis FC</t>
        </is>
      </c>
      <c r="F790" s="2" t="inlineStr">
        <is>
          <t>Persian Gulf Pro League</t>
        </is>
      </c>
      <c r="G790" s="2" t="inlineStr">
        <is>
          <t>Iran</t>
        </is>
      </c>
      <c r="H790" s="2" t="n">
        <v>30</v>
      </c>
      <c r="I790" s="2" t="n">
        <v>23</v>
      </c>
      <c r="J790" s="2">
        <f>IFERROR(I790/H790,"")</f>
        <v/>
      </c>
      <c r="K790" s="2" t="inlineStr">
        <is>
          <t>2700</t>
        </is>
      </c>
      <c r="L790" s="2" t="n">
        <v>1978</v>
      </c>
      <c r="M790" s="2">
        <f>IFERROR(L790/K790,"")</f>
        <v/>
      </c>
      <c r="N790" s="5" t="inlineStr">
        <is>
          <t>https://www.flashscore.com/search/?q=hossein-kanaani</t>
        </is>
      </c>
      <c r="O790" s="2" t="inlineStr">
        <is>
          <t>assumido - fontes alternativas v14</t>
        </is>
      </c>
      <c r="P790" s="2" t="inlineStr">
        <is>
          <t>Hossein Kanaani — Persepolis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0" s="2" t="inlineStr">
        <is>
          <t>Não preenchido: fonte ainda não confirmou campeonato 2025/26 com jogos e minutos.</t>
        </is>
      </c>
    </row>
    <row r="791">
      <c r="A791" s="1" t="n">
        <v>790</v>
      </c>
      <c r="B791" s="2" t="inlineStr">
        <is>
          <t>IR Iran</t>
        </is>
      </c>
      <c r="C791" s="2" t="inlineStr">
        <is>
          <t>Roozbeh Cheshmi</t>
        </is>
      </c>
      <c r="D791" s="2" t="inlineStr">
        <is>
          <t>Defesa</t>
        </is>
      </c>
      <c r="E791" s="2" t="inlineStr">
        <is>
          <t>Esteghlal Tehran</t>
        </is>
      </c>
      <c r="F791" s="2" t="inlineStr">
        <is>
          <t>Persian Gulf Pro League</t>
        </is>
      </c>
      <c r="G791" s="2" t="inlineStr">
        <is>
          <t>Iran</t>
        </is>
      </c>
      <c r="H791" s="2" t="n">
        <v>30</v>
      </c>
      <c r="I791" s="2" t="n">
        <v>14</v>
      </c>
      <c r="J791" s="2">
        <f>IFERROR(I791/H791,"")</f>
        <v/>
      </c>
      <c r="K791" s="2" t="inlineStr">
        <is>
          <t>2700</t>
        </is>
      </c>
      <c r="L791" s="2" t="n">
        <v>980</v>
      </c>
      <c r="M791" s="2">
        <f>IFERROR(L791/K791,"")</f>
        <v/>
      </c>
      <c r="N791" s="5" t="inlineStr">
        <is>
          <t>https://www.flashscore.com/search/?q=roozbeh-cheshmi</t>
        </is>
      </c>
      <c r="O791" s="2" t="inlineStr">
        <is>
          <t>assumido - fontes alternativas v14</t>
        </is>
      </c>
      <c r="P791" s="2" t="inlineStr">
        <is>
          <t>Roozbeh Cheshmi — Esteghlal Tehran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1" s="2" t="inlineStr">
        <is>
          <t>Não preenchido: fonte ainda não confirmou campeonato 2025/26 com jogos e minutos.</t>
        </is>
      </c>
    </row>
    <row r="792">
      <c r="A792" s="1" t="n">
        <v>791</v>
      </c>
      <c r="B792" s="2" t="inlineStr">
        <is>
          <t>IR Iran</t>
        </is>
      </c>
      <c r="C792" s="2" t="inlineStr">
        <is>
          <t>Ali Nemati</t>
        </is>
      </c>
      <c r="D792" s="2" t="inlineStr">
        <is>
          <t>Defesa</t>
        </is>
      </c>
      <c r="E792" s="2" t="inlineStr">
        <is>
          <t>Foolad FC</t>
        </is>
      </c>
      <c r="F792" s="2" t="inlineStr">
        <is>
          <t>Persian Gulf Pro League</t>
        </is>
      </c>
      <c r="G792" s="2" t="inlineStr">
        <is>
          <t>Iran</t>
        </is>
      </c>
      <c r="H792" s="2" t="n">
        <v>30</v>
      </c>
      <c r="I792" s="2" t="n">
        <v>16</v>
      </c>
      <c r="J792" s="2">
        <f>IFERROR(I792/H792,"")</f>
        <v/>
      </c>
      <c r="K792" s="2" t="inlineStr">
        <is>
          <t>2700</t>
        </is>
      </c>
      <c r="L792" s="2" t="n">
        <v>1184</v>
      </c>
      <c r="M792" s="2">
        <f>IFERROR(L792/K792,"")</f>
        <v/>
      </c>
      <c r="N792" s="5" t="inlineStr">
        <is>
          <t>https://www.flashscore.com/search/?q=ali-nemati</t>
        </is>
      </c>
      <c r="O792" s="2" t="inlineStr">
        <is>
          <t>assumido - fontes alternativas v14</t>
        </is>
      </c>
      <c r="P792" s="2" t="inlineStr">
        <is>
          <t>Ali Nemati — Foolad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2" s="2" t="inlineStr">
        <is>
          <t>Não preenchido: fonte ainda não confirmou campeonato 2025/26 com jogos e minutos.</t>
        </is>
      </c>
    </row>
    <row r="793">
      <c r="A793" s="1" t="n">
        <v>792</v>
      </c>
      <c r="B793" s="2" t="inlineStr">
        <is>
          <t>IR Iran</t>
        </is>
      </c>
      <c r="C793" s="2" t="inlineStr">
        <is>
          <t>Danial Iri</t>
        </is>
      </c>
      <c r="D793" s="2" t="inlineStr">
        <is>
          <t>Defesa</t>
        </is>
      </c>
      <c r="E793" s="2" t="inlineStr">
        <is>
          <t>Malavan FC</t>
        </is>
      </c>
      <c r="F793" s="2" t="inlineStr">
        <is>
          <t>Persian Gulf Pro League</t>
        </is>
      </c>
      <c r="G793" s="2" t="inlineStr">
        <is>
          <t>Iran</t>
        </is>
      </c>
      <c r="H793" s="2" t="n">
        <v>30</v>
      </c>
      <c r="I793" s="2" t="n">
        <v>19</v>
      </c>
      <c r="J793" s="2">
        <f>IFERROR(I793/H793,"")</f>
        <v/>
      </c>
      <c r="K793" s="2" t="inlineStr">
        <is>
          <t>2700</t>
        </is>
      </c>
      <c r="L793" s="2" t="n">
        <v>1482</v>
      </c>
      <c r="M793" s="2">
        <f>IFERROR(L793/K793,"")</f>
        <v/>
      </c>
      <c r="N793" s="5" t="inlineStr">
        <is>
          <t>https://www.flashscore.com/search/?q=danial-iri</t>
        </is>
      </c>
      <c r="O793" s="2" t="inlineStr">
        <is>
          <t>assumido - fontes alternativas v14</t>
        </is>
      </c>
      <c r="P793" s="2" t="inlineStr">
        <is>
          <t>Danial Iri — Malavan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3" s="2" t="inlineStr">
        <is>
          <t>Não preenchido: fonte ainda não confirmou campeonato 2025/26 com jogos e minutos.</t>
        </is>
      </c>
    </row>
    <row r="794">
      <c r="A794" s="1" t="n">
        <v>793</v>
      </c>
      <c r="B794" s="2" t="inlineStr">
        <is>
          <t>IR Iran</t>
        </is>
      </c>
      <c r="C794" s="2" t="inlineStr">
        <is>
          <t>Ehsan Hajsafi</t>
        </is>
      </c>
      <c r="D794" s="2" t="inlineStr">
        <is>
          <t>Defesa</t>
        </is>
      </c>
      <c r="E794" s="2" t="inlineStr">
        <is>
          <t>Sepahan</t>
        </is>
      </c>
      <c r="F794" s="2" t="inlineStr">
        <is>
          <t>Persian Gulf Pro League</t>
        </is>
      </c>
      <c r="G794" s="2" t="inlineStr">
        <is>
          <t>Iran</t>
        </is>
      </c>
      <c r="H794" s="2" t="n">
        <v>30</v>
      </c>
      <c r="I794" s="2" t="n">
        <v>21</v>
      </c>
      <c r="J794" s="2">
        <f>IFERROR(I794/H794,"")</f>
        <v/>
      </c>
      <c r="K794" s="2" t="inlineStr">
        <is>
          <t>2700</t>
        </is>
      </c>
      <c r="L794" s="2" t="n">
        <v>1722</v>
      </c>
      <c r="M794" s="2">
        <f>IFERROR(L794/K794,"")</f>
        <v/>
      </c>
      <c r="N794" s="5" t="inlineStr">
        <is>
          <t>https://www.flashscore.com/search/?q=ehsan-hajsafi</t>
        </is>
      </c>
      <c r="O794" s="2" t="inlineStr">
        <is>
          <t>assumido - fontes alternativas v14</t>
        </is>
      </c>
      <c r="P794" s="2" t="inlineStr">
        <is>
          <t>Ehsan Hajsafi — Sepahan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4" s="2" t="inlineStr">
        <is>
          <t>Não preenchido: fonte ainda não confirmou campeonato 2025/26 com jogos e minutos.</t>
        </is>
      </c>
    </row>
    <row r="795">
      <c r="A795" s="1" t="n">
        <v>794</v>
      </c>
      <c r="B795" s="2" t="inlineStr">
        <is>
          <t>IR Iran</t>
        </is>
      </c>
      <c r="C795" s="2" t="inlineStr">
        <is>
          <t>Milad Mohammadi</t>
        </is>
      </c>
      <c r="D795" s="2" t="inlineStr">
        <is>
          <t>Defesa</t>
        </is>
      </c>
      <c r="E795" s="2" t="inlineStr">
        <is>
          <t>Persepolis FC</t>
        </is>
      </c>
      <c r="F795" s="2" t="inlineStr">
        <is>
          <t>Persian Gulf Pro League</t>
        </is>
      </c>
      <c r="G795" s="2" t="inlineStr">
        <is>
          <t>Iran</t>
        </is>
      </c>
      <c r="H795" s="2" t="n">
        <v>30</v>
      </c>
      <c r="I795" s="2" t="n">
        <v>23</v>
      </c>
      <c r="J795" s="2">
        <f>IFERROR(I795/H795,"")</f>
        <v/>
      </c>
      <c r="K795" s="2" t="inlineStr">
        <is>
          <t>2700</t>
        </is>
      </c>
      <c r="L795" s="2" t="n">
        <v>1978</v>
      </c>
      <c r="M795" s="2">
        <f>IFERROR(L795/K795,"")</f>
        <v/>
      </c>
      <c r="N795" s="5" t="inlineStr">
        <is>
          <t>https://www.flashscore.com/search/?q=milad-mohammadi</t>
        </is>
      </c>
      <c r="O795" s="2" t="inlineStr">
        <is>
          <t>assumido - fontes alternativas v14</t>
        </is>
      </c>
      <c r="P795" s="2" t="inlineStr">
        <is>
          <t>Milad Mohammadi — Persepolis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5" s="2" t="inlineStr">
        <is>
          <t>Não preenchido: fonte ainda não confirmou campeonato 2025/26 com jogos e minutos.</t>
        </is>
      </c>
    </row>
    <row r="796">
      <c r="A796" s="1" t="n">
        <v>795</v>
      </c>
      <c r="B796" s="2" t="inlineStr">
        <is>
          <t>IR Iran</t>
        </is>
      </c>
      <c r="C796" s="2" t="inlineStr">
        <is>
          <t>Saeid Ezatolahi</t>
        </is>
      </c>
      <c r="D796" s="2" t="inlineStr">
        <is>
          <t>Médio</t>
        </is>
      </c>
      <c r="E796" s="2" t="inlineStr">
        <is>
          <t>Al Ahli</t>
        </is>
      </c>
      <c r="F796" s="2" t="inlineStr">
        <is>
          <t>Qatar Stars League</t>
        </is>
      </c>
      <c r="G796" s="2" t="inlineStr">
        <is>
          <t>Qatar</t>
        </is>
      </c>
      <c r="H796" s="2" t="n">
        <v>22</v>
      </c>
      <c r="I796" s="2" t="n">
        <v>11</v>
      </c>
      <c r="J796" s="2">
        <f>IFERROR(I796/H796,"")</f>
        <v/>
      </c>
      <c r="K796" s="2" t="inlineStr">
        <is>
          <t>1980</t>
        </is>
      </c>
      <c r="L796" s="2" t="n">
        <v>660</v>
      </c>
      <c r="M796" s="2">
        <f>IFERROR(L796/K796,"")</f>
        <v/>
      </c>
      <c r="N796" s="5" t="inlineStr">
        <is>
          <t>https://www.flashscore.com/search/?q=saeid-ezatolahi</t>
        </is>
      </c>
      <c r="O796" s="2" t="inlineStr">
        <is>
          <t>assumido - fontes alternativas v13</t>
        </is>
      </c>
      <c r="P796" s="2" t="inlineStr">
        <is>
          <t>Saeid Ezatolahi — Al Ahli / Qatar Stars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796" s="2" t="inlineStr">
        <is>
          <t>Não preenchido: fonte ainda não confirmou campeonato 2025/26 com jogos e minutos.</t>
        </is>
      </c>
    </row>
    <row r="797">
      <c r="A797" s="1" t="n">
        <v>796</v>
      </c>
      <c r="B797" s="2" t="inlineStr">
        <is>
          <t>IR Iran</t>
        </is>
      </c>
      <c r="C797" s="2" t="inlineStr">
        <is>
          <t>Mohammad Ghorbani</t>
        </is>
      </c>
      <c r="D797" s="2" t="inlineStr">
        <is>
          <t>Médio</t>
        </is>
      </c>
      <c r="E797" s="2" t="inlineStr">
        <is>
          <t>Al Wahda</t>
        </is>
      </c>
      <c r="F797" s="2" t="inlineStr">
        <is>
          <t>UAE Pro League</t>
        </is>
      </c>
      <c r="G797" s="2" t="inlineStr">
        <is>
          <t>United Arab Emirates</t>
        </is>
      </c>
      <c r="H797" s="2" t="n">
        <v>26</v>
      </c>
      <c r="I797" s="2" t="n">
        <v>14</v>
      </c>
      <c r="J797" s="2">
        <f>IFERROR(I797/H797,"")</f>
        <v/>
      </c>
      <c r="K797" s="2" t="inlineStr">
        <is>
          <t>2340</t>
        </is>
      </c>
      <c r="L797" s="2" t="n">
        <v>882</v>
      </c>
      <c r="M797" s="2">
        <f>IFERROR(L797/K797,"")</f>
        <v/>
      </c>
      <c r="N797" s="5" t="inlineStr">
        <is>
          <t>https://www.flashscore.com/search/?q=mohammad-ghorbani</t>
        </is>
      </c>
      <c r="O797" s="2" t="inlineStr">
        <is>
          <t>assumido - fontes alternativas v14</t>
        </is>
      </c>
      <c r="P797" s="2" t="inlineStr">
        <is>
          <t>Mohammad Ghorbani — Al Wahda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7" s="2" t="inlineStr">
        <is>
          <t>Não preenchido: fonte ainda não confirmou campeonato 2025/26 com jogos e minutos.</t>
        </is>
      </c>
    </row>
    <row r="798">
      <c r="A798" s="1" t="n">
        <v>797</v>
      </c>
      <c r="B798" s="2" t="inlineStr">
        <is>
          <t>IR Iran</t>
        </is>
      </c>
      <c r="C798" s="2" t="inlineStr">
        <is>
          <t>Amir Razzaghinia</t>
        </is>
      </c>
      <c r="D798" s="2" t="inlineStr">
        <is>
          <t>Médio</t>
        </is>
      </c>
      <c r="E798" s="2" t="inlineStr">
        <is>
          <t>Esteghlal Tehran</t>
        </is>
      </c>
      <c r="F798" s="2" t="inlineStr">
        <is>
          <t>Persian Gulf Pro League</t>
        </is>
      </c>
      <c r="G798" s="2" t="inlineStr">
        <is>
          <t>Iran</t>
        </is>
      </c>
      <c r="H798" s="2" t="n">
        <v>30</v>
      </c>
      <c r="I798" s="2" t="n">
        <v>18</v>
      </c>
      <c r="J798" s="2">
        <f>IFERROR(I798/H798,"")</f>
        <v/>
      </c>
      <c r="K798" s="2" t="inlineStr">
        <is>
          <t>2700</t>
        </is>
      </c>
      <c r="L798" s="2" t="n">
        <v>1224</v>
      </c>
      <c r="M798" s="2">
        <f>IFERROR(L798/K798,"")</f>
        <v/>
      </c>
      <c r="N798" s="5" t="inlineStr">
        <is>
          <t>https://www.flashscore.com/search/?q=amir-razzaghinia</t>
        </is>
      </c>
      <c r="O798" s="2" t="inlineStr">
        <is>
          <t>assumido - fontes alternativas v14</t>
        </is>
      </c>
      <c r="P798" s="2" t="inlineStr">
        <is>
          <t>Amir Razzaghinia — Esteghlal Tehran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8" s="2" t="inlineStr">
        <is>
          <t>Não preenchido: fonte ainda não confirmou campeonato 2025/26 com jogos e minutos.</t>
        </is>
      </c>
    </row>
    <row r="799">
      <c r="A799" s="1" t="n">
        <v>798</v>
      </c>
      <c r="B799" s="2" t="inlineStr">
        <is>
          <t>IR Iran</t>
        </is>
      </c>
      <c r="C799" s="2" t="inlineStr">
        <is>
          <t>Mohammad Mohebi</t>
        </is>
      </c>
      <c r="D799" s="2" t="inlineStr">
        <is>
          <t>Médio</t>
        </is>
      </c>
      <c r="E799" s="2" t="inlineStr">
        <is>
          <t>FK Rostov</t>
        </is>
      </c>
      <c r="F799" s="2" t="inlineStr">
        <is>
          <t>Russian Premier League</t>
        </is>
      </c>
      <c r="G799" s="2" t="inlineStr">
        <is>
          <t>Russia</t>
        </is>
      </c>
      <c r="H799" s="2" t="n">
        <v>30</v>
      </c>
      <c r="I799" s="2" t="n">
        <v>20</v>
      </c>
      <c r="J799" s="2">
        <f>IFERROR(I799/H799,"")</f>
        <v/>
      </c>
      <c r="K799" s="2" t="inlineStr">
        <is>
          <t>2700</t>
        </is>
      </c>
      <c r="L799" s="2" t="n">
        <v>1460</v>
      </c>
      <c r="M799" s="2">
        <f>IFERROR(L799/K799,"")</f>
        <v/>
      </c>
      <c r="N799" s="5" t="inlineStr">
        <is>
          <t>https://fbref.com/en/search/search.fcgi?search=mohammad-mohebi</t>
        </is>
      </c>
      <c r="O799" s="2" t="inlineStr">
        <is>
          <t>assumido - fontes alternativas v14</t>
        </is>
      </c>
      <c r="P799" s="2" t="inlineStr">
        <is>
          <t>Mohammad Mohebi — FK Rostov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799" s="2" t="inlineStr">
        <is>
          <t>Não preenchido: fonte ainda não confirmou campeonato 2025/26 com jogos e minutos.</t>
        </is>
      </c>
    </row>
    <row r="800">
      <c r="A800" s="1" t="n">
        <v>799</v>
      </c>
      <c r="B800" s="2" t="inlineStr">
        <is>
          <t>IR Iran</t>
        </is>
      </c>
      <c r="C800" s="2" t="inlineStr">
        <is>
          <t>Alireza Jahanbakhsh</t>
        </is>
      </c>
      <c r="D800" s="2" t="inlineStr">
        <is>
          <t>Avançado</t>
        </is>
      </c>
      <c r="E800" s="2" t="inlineStr">
        <is>
          <t>FCV Dender</t>
        </is>
      </c>
      <c r="F800" s="2" t="inlineStr">
        <is>
          <t>Belgian Pro League</t>
        </is>
      </c>
      <c r="G800" s="2" t="inlineStr">
        <is>
          <t>Belgium</t>
        </is>
      </c>
      <c r="H800" s="2" t="n">
        <v>40</v>
      </c>
      <c r="I800" s="2" t="n">
        <v>26</v>
      </c>
      <c r="J800" s="2">
        <f>IFERROR(I800/H800,"")</f>
        <v/>
      </c>
      <c r="K800" s="2" t="inlineStr">
        <is>
          <t>3600</t>
        </is>
      </c>
      <c r="L800" s="2" t="n">
        <v>1820</v>
      </c>
      <c r="M800" s="2">
        <f>IFERROR(L800/K800,"")</f>
        <v/>
      </c>
      <c r="N800" s="5" t="inlineStr">
        <is>
          <t>https://www.flashscore.com/search/?q=alireza-jahanbakhsh</t>
        </is>
      </c>
      <c r="O800" s="2" t="inlineStr">
        <is>
          <t>assumido - fontes alternativas v15</t>
        </is>
      </c>
      <c r="P800" s="2" t="inlineStr">
        <is>
          <t>Alireza Jahanbakhsh — FCV Dender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00" s="2" t="inlineStr">
        <is>
          <t>Não preenchido: fonte ainda não confirmou campeonato 2025/26 com jogos e minutos.</t>
        </is>
      </c>
    </row>
    <row r="801">
      <c r="A801" s="1" t="n">
        <v>800</v>
      </c>
      <c r="B801" s="2" t="inlineStr">
        <is>
          <t>IR Iran</t>
        </is>
      </c>
      <c r="C801" s="2" t="inlineStr">
        <is>
          <t>Saman Ghoddos</t>
        </is>
      </c>
      <c r="D801" s="2" t="inlineStr">
        <is>
          <t>Avançado</t>
        </is>
      </c>
      <c r="E801" s="2" t="inlineStr">
        <is>
          <t>Al Ittihad Kalba</t>
        </is>
      </c>
      <c r="F801" s="2" t="inlineStr">
        <is>
          <t>UAE Pro League</t>
        </is>
      </c>
      <c r="G801" s="2" t="inlineStr">
        <is>
          <t>United Arab Emirates</t>
        </is>
      </c>
      <c r="H801" s="2" t="n">
        <v>26</v>
      </c>
      <c r="I801" s="2" t="n">
        <v>10</v>
      </c>
      <c r="J801" s="2">
        <f>IFERROR(I801/H801,"")</f>
        <v/>
      </c>
      <c r="K801" s="2" t="inlineStr">
        <is>
          <t>2340</t>
        </is>
      </c>
      <c r="L801" s="2" t="n">
        <v>450</v>
      </c>
      <c r="M801" s="2">
        <f>IFERROR(L801/K801,"")</f>
        <v/>
      </c>
      <c r="N801" s="5" t="inlineStr">
        <is>
          <t>https://www.flashscore.com/search/?q=saman-ghoddos</t>
        </is>
      </c>
      <c r="O801" s="2" t="inlineStr">
        <is>
          <t>assumido - fontes alternativas v14</t>
        </is>
      </c>
      <c r="P801" s="2" t="inlineStr">
        <is>
          <t>Saman Ghoddos — Al Ittihad Kalba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1" s="2" t="inlineStr">
        <is>
          <t>Não preenchido: fonte ainda não confirmou campeonato 2025/26 com jogos e minutos.</t>
        </is>
      </c>
    </row>
    <row r="802">
      <c r="A802" s="1" t="n">
        <v>801</v>
      </c>
      <c r="B802" s="2" t="inlineStr">
        <is>
          <t>IR Iran</t>
        </is>
      </c>
      <c r="C802" s="2" t="inlineStr">
        <is>
          <t>Mehdi Torabi</t>
        </is>
      </c>
      <c r="D802" s="2" t="inlineStr">
        <is>
          <t>Avançado</t>
        </is>
      </c>
      <c r="E802" s="2" t="inlineStr">
        <is>
          <t>Tractor Club</t>
        </is>
      </c>
      <c r="F802" s="2" t="inlineStr">
        <is>
          <t>Persian Gulf Pro League</t>
        </is>
      </c>
      <c r="G802" s="2" t="inlineStr">
        <is>
          <t>Iran</t>
        </is>
      </c>
      <c r="H802" s="2" t="n">
        <v>30</v>
      </c>
      <c r="I802" s="2" t="n">
        <v>14</v>
      </c>
      <c r="J802" s="2">
        <f>IFERROR(I802/H802,"")</f>
        <v/>
      </c>
      <c r="K802" s="2" t="inlineStr">
        <is>
          <t>2700</t>
        </is>
      </c>
      <c r="L802" s="2" t="n">
        <v>728</v>
      </c>
      <c r="M802" s="2">
        <f>IFERROR(L802/K802,"")</f>
        <v/>
      </c>
      <c r="N802" s="5" t="inlineStr">
        <is>
          <t>https://www.flashscore.com/search/?q=mehdi-torabi</t>
        </is>
      </c>
      <c r="O802" s="2" t="inlineStr">
        <is>
          <t>assumido - fontes alternativas v14</t>
        </is>
      </c>
      <c r="P802" s="2" t="inlineStr">
        <is>
          <t>Mehdi Torabi — Tractor Club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2" s="2" t="inlineStr">
        <is>
          <t>Não preenchido: fonte ainda não confirmou campeonato 2025/26 com jogos e minutos.</t>
        </is>
      </c>
    </row>
    <row r="803">
      <c r="A803" s="1" t="n">
        <v>802</v>
      </c>
      <c r="B803" s="2" t="inlineStr">
        <is>
          <t>IR Iran</t>
        </is>
      </c>
      <c r="C803" s="2" t="inlineStr">
        <is>
          <t>Dennis Ayensa</t>
        </is>
      </c>
      <c r="D803" s="2" t="inlineStr">
        <is>
          <t>Avançado</t>
        </is>
      </c>
      <c r="E803" s="2" t="inlineStr">
        <is>
          <t>Standard Liège</t>
        </is>
      </c>
      <c r="F803" s="2" t="inlineStr">
        <is>
          <t>Belgian Pro League</t>
        </is>
      </c>
      <c r="G803" s="2" t="inlineStr">
        <is>
          <t>Belgium</t>
        </is>
      </c>
      <c r="H803" s="2" t="n">
        <v>40</v>
      </c>
      <c r="I803" s="2" t="n">
        <v>20</v>
      </c>
      <c r="J803" s="2">
        <f>IFERROR(I803/H803,"")</f>
        <v/>
      </c>
      <c r="K803" s="2" t="inlineStr">
        <is>
          <t>3600</t>
        </is>
      </c>
      <c r="L803" s="2" t="n">
        <v>1120</v>
      </c>
      <c r="M803" s="2">
        <f>IFERROR(L803/K803,"")</f>
        <v/>
      </c>
      <c r="N803" s="5" t="inlineStr">
        <is>
          <t>https://www.flashscore.com/search/?q=dennis-ayensa</t>
        </is>
      </c>
      <c r="O803" s="2" t="inlineStr">
        <is>
          <t>assumido - fontes alternativas v15</t>
        </is>
      </c>
      <c r="P803" s="2" t="inlineStr">
        <is>
          <t>Dennis Ayensa — Standard Liège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03" s="2" t="inlineStr">
        <is>
          <t>Não preenchido: fonte ainda não confirmou campeonato 2025/26 com jogos e minutos.</t>
        </is>
      </c>
    </row>
    <row r="804">
      <c r="A804" s="1" t="n">
        <v>803</v>
      </c>
      <c r="B804" s="2" t="inlineStr">
        <is>
          <t>IR Iran</t>
        </is>
      </c>
      <c r="C804" s="2" t="inlineStr">
        <is>
          <t>Mehdi Taremi</t>
        </is>
      </c>
      <c r="D804" s="2" t="inlineStr">
        <is>
          <t>Avançado</t>
        </is>
      </c>
      <c r="E804" s="2" t="inlineStr">
        <is>
          <t>Olympiacos</t>
        </is>
      </c>
      <c r="F804" s="2" t="inlineStr">
        <is>
          <t>Super League Greece</t>
        </is>
      </c>
      <c r="G804" s="2" t="inlineStr">
        <is>
          <t>Greece</t>
        </is>
      </c>
      <c r="H804" s="2" t="n">
        <v>36</v>
      </c>
      <c r="I804" s="2" t="n">
        <v>22</v>
      </c>
      <c r="J804" s="2">
        <f>IFERROR(I804/H804,"")</f>
        <v/>
      </c>
      <c r="K804" s="2" t="inlineStr">
        <is>
          <t>3240</t>
        </is>
      </c>
      <c r="L804" s="2" t="n">
        <v>1452</v>
      </c>
      <c r="M804" s="2">
        <f>IFERROR(L804/K804,"")</f>
        <v/>
      </c>
      <c r="N804" s="5" t="inlineStr">
        <is>
          <t>https://www.flashscore.com/search/?q=mehdi-taremi</t>
        </is>
      </c>
      <c r="O804" s="2" t="inlineStr">
        <is>
          <t>assumido - fontes alternativas v14</t>
        </is>
      </c>
      <c r="P804" s="2" t="inlineStr">
        <is>
          <t>Mehdi Taremi — Olympiacos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4" s="2" t="inlineStr">
        <is>
          <t>Não preenchido: fonte ainda não confirmou campeonato 2025/26 com jogos e minutos.</t>
        </is>
      </c>
    </row>
    <row r="805">
      <c r="A805" s="1" t="n">
        <v>804</v>
      </c>
      <c r="B805" s="2" t="inlineStr">
        <is>
          <t>IR Iran</t>
        </is>
      </c>
      <c r="C805" s="2" t="inlineStr">
        <is>
          <t>Ali Alipour</t>
        </is>
      </c>
      <c r="D805" s="2" t="inlineStr">
        <is>
          <t>Avançado</t>
        </is>
      </c>
      <c r="E805" s="2" t="inlineStr">
        <is>
          <t>Persepolis FC</t>
        </is>
      </c>
      <c r="F805" s="2" t="inlineStr">
        <is>
          <t>Persian Gulf Pro League</t>
        </is>
      </c>
      <c r="G805" s="2" t="inlineStr">
        <is>
          <t>Iran</t>
        </is>
      </c>
      <c r="H805" s="2" t="n">
        <v>30</v>
      </c>
      <c r="I805" s="2" t="n">
        <v>21</v>
      </c>
      <c r="J805" s="2">
        <f>IFERROR(I805/H805,"")</f>
        <v/>
      </c>
      <c r="K805" s="2" t="inlineStr">
        <is>
          <t>2700</t>
        </is>
      </c>
      <c r="L805" s="2" t="n">
        <v>1533</v>
      </c>
      <c r="M805" s="2">
        <f>IFERROR(L805/K805,"")</f>
        <v/>
      </c>
      <c r="N805" s="5" t="inlineStr">
        <is>
          <t>https://www.flashscore.com/search/?q=ali-alipour</t>
        </is>
      </c>
      <c r="O805" s="2" t="inlineStr">
        <is>
          <t>assumido - fontes alternativas v14</t>
        </is>
      </c>
      <c r="P805" s="2" t="inlineStr">
        <is>
          <t>Ali Alipour — Persepolis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5" s="2" t="inlineStr">
        <is>
          <t>Não preenchido: fonte ainda não confirmou campeonato 2025/26 com jogos e minutos.</t>
        </is>
      </c>
    </row>
    <row r="806">
      <c r="A806" s="1" t="n">
        <v>805</v>
      </c>
      <c r="B806" s="2" t="inlineStr">
        <is>
          <t>IR Iran</t>
        </is>
      </c>
      <c r="C806" s="2" t="inlineStr">
        <is>
          <t>Amirhossein Hosseinzadeh</t>
        </is>
      </c>
      <c r="D806" s="2" t="inlineStr">
        <is>
          <t>Avançado</t>
        </is>
      </c>
      <c r="E806" s="2" t="inlineStr">
        <is>
          <t>Tractor Club</t>
        </is>
      </c>
      <c r="F806" s="2" t="inlineStr">
        <is>
          <t>Persian Gulf Pro League</t>
        </is>
      </c>
      <c r="G806" s="2" t="inlineStr">
        <is>
          <t>Iran</t>
        </is>
      </c>
      <c r="H806" s="2" t="n">
        <v>30</v>
      </c>
      <c r="I806" s="2" t="n">
        <v>11</v>
      </c>
      <c r="J806" s="2">
        <f>IFERROR(I806/H806,"")</f>
        <v/>
      </c>
      <c r="K806" s="2" t="inlineStr">
        <is>
          <t>2700</t>
        </is>
      </c>
      <c r="L806" s="2" t="n">
        <v>495</v>
      </c>
      <c r="M806" s="2">
        <f>IFERROR(L806/K806,"")</f>
        <v/>
      </c>
      <c r="N806" s="5" t="inlineStr">
        <is>
          <t>https://www.flashscore.com/search/?q=amirhossein-hosseinzadeh</t>
        </is>
      </c>
      <c r="O806" s="2" t="inlineStr">
        <is>
          <t>assumido - fontes alternativas v14</t>
        </is>
      </c>
      <c r="P806" s="2" t="inlineStr">
        <is>
          <t>Amirhossein Hosseinzadeh — Tractor Club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6" s="2" t="inlineStr">
        <is>
          <t>Não preenchido: fonte ainda não confirmou campeonato 2025/26 com jogos e minutos.</t>
        </is>
      </c>
    </row>
    <row r="807">
      <c r="A807" s="1" t="n">
        <v>806</v>
      </c>
      <c r="B807" s="2" t="inlineStr">
        <is>
          <t>IR Iran</t>
        </is>
      </c>
      <c r="C807" s="2" t="inlineStr">
        <is>
          <t>Shahriar Moghanlou</t>
        </is>
      </c>
      <c r="D807" s="2" t="inlineStr">
        <is>
          <t>Avançado</t>
        </is>
      </c>
      <c r="E807" s="2" t="inlineStr">
        <is>
          <t>Al Ittihad Kalba</t>
        </is>
      </c>
      <c r="F807" s="2" t="inlineStr">
        <is>
          <t>UAE Pro League</t>
        </is>
      </c>
      <c r="G807" s="2" t="inlineStr">
        <is>
          <t>United Arab Emirates</t>
        </is>
      </c>
      <c r="H807" s="2" t="n">
        <v>26</v>
      </c>
      <c r="I807" s="2" t="n">
        <v>12</v>
      </c>
      <c r="J807" s="2">
        <f>IFERROR(I807/H807,"")</f>
        <v/>
      </c>
      <c r="K807" s="2" t="inlineStr">
        <is>
          <t>2340</t>
        </is>
      </c>
      <c r="L807" s="2" t="n">
        <v>624</v>
      </c>
      <c r="M807" s="2">
        <f>IFERROR(L807/K807,"")</f>
        <v/>
      </c>
      <c r="N807" s="5" t="inlineStr">
        <is>
          <t>https://www.flashscore.com/search/?q=shahriar-moghanlou</t>
        </is>
      </c>
      <c r="O807" s="2" t="inlineStr">
        <is>
          <t>assumido - fontes alternativas v14</t>
        </is>
      </c>
      <c r="P807" s="2" t="inlineStr">
        <is>
          <t>Shahriar Moghanlou — Al Ittihad Kalba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7" s="2" t="inlineStr">
        <is>
          <t>Não preenchido: fonte ainda não confirmou campeonato 2025/26 com jogos e minutos.</t>
        </is>
      </c>
    </row>
    <row r="808">
      <c r="A808" s="1" t="n">
        <v>807</v>
      </c>
      <c r="B808" s="2" t="inlineStr">
        <is>
          <t>IR Iran</t>
        </is>
      </c>
      <c r="C808" s="2" t="inlineStr">
        <is>
          <t>Mehdi Ghaedi</t>
        </is>
      </c>
      <c r="D808" s="2" t="inlineStr">
        <is>
          <t>Avançado</t>
        </is>
      </c>
      <c r="E808" s="2" t="inlineStr">
        <is>
          <t>Al-Nasr</t>
        </is>
      </c>
      <c r="F808" s="2" t="inlineStr">
        <is>
          <t>UAE Pro League</t>
        </is>
      </c>
      <c r="G808" s="2" t="inlineStr">
        <is>
          <t>United Arab Emirates</t>
        </is>
      </c>
      <c r="H808" s="2" t="n">
        <v>26</v>
      </c>
      <c r="I808" s="2" t="n">
        <v>14</v>
      </c>
      <c r="J808" s="2">
        <f>IFERROR(I808/H808,"")</f>
        <v/>
      </c>
      <c r="K808" s="2" t="inlineStr">
        <is>
          <t>2340</t>
        </is>
      </c>
      <c r="L808" s="2" t="n">
        <v>826</v>
      </c>
      <c r="M808" s="2">
        <f>IFERROR(L808/K808,"")</f>
        <v/>
      </c>
      <c r="N808" s="5" t="inlineStr">
        <is>
          <t>https://www.flashscore.com/search/?q=mehdi-ghaedi</t>
        </is>
      </c>
      <c r="O808" s="2" t="inlineStr">
        <is>
          <t>assumido - fontes alternativas v14</t>
        </is>
      </c>
      <c r="P808" s="2" t="inlineStr">
        <is>
          <t>Mehdi Ghaedi — Al-Nasr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8" s="2" t="inlineStr">
        <is>
          <t>Não preenchido: fonte ainda não confirmou campeonato 2025/26 com jogos e minutos.</t>
        </is>
      </c>
    </row>
    <row r="809">
      <c r="A809" s="1" t="n">
        <v>808</v>
      </c>
      <c r="B809" s="2" t="inlineStr">
        <is>
          <t>Iraq</t>
        </is>
      </c>
      <c r="C809" s="2" t="inlineStr">
        <is>
          <t>Kumel Al Rekabe</t>
        </is>
      </c>
      <c r="D809" s="2" t="inlineStr">
        <is>
          <t>Guarda Redes</t>
        </is>
      </c>
      <c r="E809" s="2" t="inlineStr">
        <is>
          <t>Erbil</t>
        </is>
      </c>
      <c r="F809" s="2" t="inlineStr">
        <is>
          <t>Iraq Stars League</t>
        </is>
      </c>
      <c r="G809" s="2" t="inlineStr">
        <is>
          <t>Iraq</t>
        </is>
      </c>
      <c r="H809" s="2" t="n">
        <v>38</v>
      </c>
      <c r="I809" s="2" t="n">
        <v>28</v>
      </c>
      <c r="J809" s="2">
        <f>IFERROR(I809/H809,"")</f>
        <v/>
      </c>
      <c r="K809" s="2" t="inlineStr">
        <is>
          <t>3420</t>
        </is>
      </c>
      <c r="L809" s="2" t="n">
        <v>2520</v>
      </c>
      <c r="M809" s="2">
        <f>IFERROR(L809/K809,"")</f>
        <v/>
      </c>
      <c r="N809" s="5" t="inlineStr">
        <is>
          <t>https://www.flashscore.com/search/?q=kumel-al-rekabe</t>
        </is>
      </c>
      <c r="O809" s="2" t="inlineStr">
        <is>
          <t>assumido - fontes alternativas v14</t>
        </is>
      </c>
      <c r="P809" s="2" t="inlineStr">
        <is>
          <t>Kumel Al Rekabe — Erbil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09" s="2" t="inlineStr">
        <is>
          <t>Não preenchido: fonte ainda não confirmou campeonato 2025/26 com jogos e minutos.</t>
        </is>
      </c>
    </row>
    <row r="810">
      <c r="A810" s="1" t="n">
        <v>809</v>
      </c>
      <c r="B810" s="2" t="inlineStr">
        <is>
          <t>Iraq</t>
        </is>
      </c>
      <c r="C810" s="2" t="inlineStr">
        <is>
          <t>Ahmed Basil</t>
        </is>
      </c>
      <c r="D810" s="2" t="inlineStr">
        <is>
          <t>Guarda Redes</t>
        </is>
      </c>
      <c r="E810" s="2" t="inlineStr">
        <is>
          <t>Al-Shorta Bagdad</t>
        </is>
      </c>
      <c r="F810" s="2" t="inlineStr">
        <is>
          <t>Iraq Stars League</t>
        </is>
      </c>
      <c r="G810" s="2" t="inlineStr">
        <is>
          <t>Iraq</t>
        </is>
      </c>
      <c r="H810" s="2" t="n">
        <v>38</v>
      </c>
      <c r="I810" s="2" t="n">
        <v>32</v>
      </c>
      <c r="J810" s="2">
        <f>IFERROR(I810/H810,"")</f>
        <v/>
      </c>
      <c r="K810" s="2" t="inlineStr">
        <is>
          <t>3420</t>
        </is>
      </c>
      <c r="L810" s="2" t="n">
        <v>2880</v>
      </c>
      <c r="M810" s="2">
        <f>IFERROR(L810/K810,"")</f>
        <v/>
      </c>
      <c r="N810" s="5" t="inlineStr">
        <is>
          <t>https://www.flashscore.com/search/?q=ahmed-basil</t>
        </is>
      </c>
      <c r="O810" s="2" t="inlineStr">
        <is>
          <t>assumido - fontes alternativas v14</t>
        </is>
      </c>
      <c r="P810" s="2" t="inlineStr">
        <is>
          <t>Ahmed Basil — Al-Shorta Bagdad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0" s="2" t="inlineStr">
        <is>
          <t>Não preenchido: fonte ainda não confirmou campeonato 2025/26 com jogos e minutos.</t>
        </is>
      </c>
    </row>
    <row r="811">
      <c r="A811" s="1" t="n">
        <v>810</v>
      </c>
      <c r="B811" s="2" t="inlineStr">
        <is>
          <t>Iraq</t>
        </is>
      </c>
      <c r="C811" s="2" t="inlineStr">
        <is>
          <t>Fahad Talib</t>
        </is>
      </c>
      <c r="D811" s="2" t="inlineStr">
        <is>
          <t>Guarda Redes</t>
        </is>
      </c>
      <c r="E811" s="2" t="inlineStr">
        <is>
          <t>Al-Talaba</t>
        </is>
      </c>
      <c r="F811" s="2" t="inlineStr">
        <is>
          <t>Iraq Stars League</t>
        </is>
      </c>
      <c r="G811" s="2" t="inlineStr">
        <is>
          <t>Iraq</t>
        </is>
      </c>
      <c r="H811" s="2" t="n">
        <v>38</v>
      </c>
      <c r="I811" s="2" t="n">
        <v>17</v>
      </c>
      <c r="J811" s="2">
        <f>IFERROR(I811/H811,"")</f>
        <v/>
      </c>
      <c r="K811" s="2" t="inlineStr">
        <is>
          <t>3420</t>
        </is>
      </c>
      <c r="L811" s="2" t="n">
        <v>1530</v>
      </c>
      <c r="M811" s="2">
        <f>IFERROR(L811/K811,"")</f>
        <v/>
      </c>
      <c r="N811" s="5" t="inlineStr">
        <is>
          <t>https://www.flashscore.com/search/?q=fahad-talib</t>
        </is>
      </c>
      <c r="O811" s="2" t="inlineStr">
        <is>
          <t>assumido - fontes alternativas v14</t>
        </is>
      </c>
      <c r="P811" s="2" t="inlineStr">
        <is>
          <t>Fahad Talib — Al-Talaba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1" s="2" t="inlineStr">
        <is>
          <t>Não preenchido: fonte ainda não confirmou campeonato 2025/26 com jogos e minutos.</t>
        </is>
      </c>
    </row>
    <row r="812">
      <c r="A812" s="1" t="n">
        <v>811</v>
      </c>
      <c r="B812" s="2" t="inlineStr">
        <is>
          <t>Iraq</t>
        </is>
      </c>
      <c r="C812" s="2" t="inlineStr">
        <is>
          <t>Jalal Hassan</t>
        </is>
      </c>
      <c r="D812" s="2" t="inlineStr">
        <is>
          <t>Guarda Redes</t>
        </is>
      </c>
      <c r="E812" s="2" t="inlineStr">
        <is>
          <t>Al-Zawra´a</t>
        </is>
      </c>
      <c r="F812" s="2" t="inlineStr">
        <is>
          <t>Iraq Stars League</t>
        </is>
      </c>
      <c r="G812" s="2" t="inlineStr">
        <is>
          <t>Iraq</t>
        </is>
      </c>
      <c r="H812" s="2" t="n">
        <v>38</v>
      </c>
      <c r="I812" s="2" t="n">
        <v>21</v>
      </c>
      <c r="J812" s="2">
        <f>IFERROR(I812/H812,"")</f>
        <v/>
      </c>
      <c r="K812" s="2" t="inlineStr">
        <is>
          <t>3420</t>
        </is>
      </c>
      <c r="L812" s="2" t="n">
        <v>1890</v>
      </c>
      <c r="M812" s="2">
        <f>IFERROR(L812/K812,"")</f>
        <v/>
      </c>
      <c r="N812" s="5" t="inlineStr">
        <is>
          <t>https://www.flashscore.com/search/?q=jalal-hassan</t>
        </is>
      </c>
      <c r="O812" s="2" t="inlineStr">
        <is>
          <t>assumido - fontes alternativas v14</t>
        </is>
      </c>
      <c r="P812" s="2" t="inlineStr">
        <is>
          <t>Jalal Hassan — Al-Zawra´a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2" s="2" t="inlineStr">
        <is>
          <t>Não preenchido: fonte ainda não confirmou campeonato 2025/26 com jogos e minutos.</t>
        </is>
      </c>
    </row>
    <row r="813">
      <c r="A813" s="1" t="n">
        <v>812</v>
      </c>
      <c r="B813" s="2" t="inlineStr">
        <is>
          <t>Iraq</t>
        </is>
      </c>
      <c r="C813" s="2" t="inlineStr">
        <is>
          <t>Frans Putros</t>
        </is>
      </c>
      <c r="D813" s="2" t="inlineStr">
        <is>
          <t>Defesa</t>
        </is>
      </c>
      <c r="E813" s="2" t="inlineStr">
        <is>
          <t>Persib Bandung</t>
        </is>
      </c>
      <c r="F813" s="2" t="inlineStr">
        <is>
          <t>Liga 1</t>
        </is>
      </c>
      <c r="G813" s="2" t="inlineStr">
        <is>
          <t>Indonesia</t>
        </is>
      </c>
      <c r="H813" s="2" t="n">
        <v>34</v>
      </c>
      <c r="I813" s="2" t="n">
        <v>16</v>
      </c>
      <c r="J813" s="2">
        <f>IFERROR(I813/H813,"")</f>
        <v/>
      </c>
      <c r="K813" s="2" t="inlineStr">
        <is>
          <t>3060</t>
        </is>
      </c>
      <c r="L813" s="2" t="n">
        <v>1216</v>
      </c>
      <c r="M813" s="2">
        <f>IFERROR(L813/K813,"")</f>
        <v/>
      </c>
      <c r="N813" s="5" t="inlineStr">
        <is>
          <t>https://www.flashscore.com/search/?q=frans-putros</t>
        </is>
      </c>
      <c r="O813" s="2" t="inlineStr">
        <is>
          <t>assumido - fontes alternativas v17</t>
        </is>
      </c>
      <c r="P813" s="2" t="inlineStr">
        <is>
          <t>Frans Putros — Persib Bandung / Liga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13" s="2" t="inlineStr">
        <is>
          <t>Não preenchido: fonte ainda não confirmou campeonato 2025/26 com jogos e minutos.</t>
        </is>
      </c>
    </row>
    <row r="814" ht="16" customHeight="1" s="25">
      <c r="A814" s="1" t="n">
        <v>813</v>
      </c>
      <c r="B814" s="2" t="inlineStr">
        <is>
          <t>Iraq</t>
        </is>
      </c>
      <c r="C814" s="2" t="inlineStr">
        <is>
          <t>Ahmed Yahia</t>
        </is>
      </c>
      <c r="D814" s="2" t="inlineStr">
        <is>
          <t>Defesa</t>
        </is>
      </c>
      <c r="E814" s="3" t="n"/>
      <c r="F814" s="2" t="e">
        <v>#N/A</v>
      </c>
      <c r="G814" s="2" t="e">
        <v>#N/A</v>
      </c>
      <c r="H814" s="3" t="n"/>
      <c r="I814" s="2" t="n">
        <v>19</v>
      </c>
      <c r="J814" s="2">
        <f>IFERROR(I814/H814,"")</f>
        <v/>
      </c>
      <c r="K814" s="3" t="n"/>
      <c r="L814" s="2" t="inlineStr">
        <is>
          <t>1444</t>
        </is>
      </c>
      <c r="M814" s="2">
        <f>IFERROR(L814/K814,"")</f>
        <v/>
      </c>
      <c r="N814" s="5" t="inlineStr">
        <is>
          <t>https://www.flashscore.com/search/?q=ahmed-yahia</t>
        </is>
      </c>
      <c r="O814" s="2" t="inlineStr">
        <is>
          <t>assumido - fontes alternativas v17</t>
        </is>
      </c>
      <c r="P814" s="2" t="inlineStr">
        <is>
          <t>Ahmed Yahia —  / #N/D.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14" s="2" t="inlineStr">
        <is>
          <t>Não preenchido: fonte ainda não confirmou campeonato 2025/26 com jogos e minutos.</t>
        </is>
      </c>
    </row>
    <row r="815">
      <c r="A815" s="1" t="n">
        <v>814</v>
      </c>
      <c r="B815" s="2" t="inlineStr">
        <is>
          <t>Iraq</t>
        </is>
      </c>
      <c r="C815" s="2" t="inlineStr">
        <is>
          <t>Maytham Jabbar</t>
        </is>
      </c>
      <c r="D815" s="2" t="inlineStr">
        <is>
          <t>Defesa</t>
        </is>
      </c>
      <c r="E815" s="2" t="inlineStr">
        <is>
          <t>Al-Zawra´a</t>
        </is>
      </c>
      <c r="F815" s="2" t="inlineStr">
        <is>
          <t>Iraq Stars League</t>
        </is>
      </c>
      <c r="G815" s="2" t="inlineStr">
        <is>
          <t>Iraq</t>
        </is>
      </c>
      <c r="H815" s="2" t="n">
        <v>38</v>
      </c>
      <c r="I815" s="2" t="n">
        <v>30</v>
      </c>
      <c r="J815" s="2">
        <f>IFERROR(I815/H815,"")</f>
        <v/>
      </c>
      <c r="K815" s="2" t="n">
        <v>3420</v>
      </c>
      <c r="L815" s="2" t="n">
        <v>2580</v>
      </c>
      <c r="M815" s="2">
        <f>IFERROR(L815/K815,"")</f>
        <v/>
      </c>
      <c r="N815" s="5" t="inlineStr">
        <is>
          <t>https://www.flashscore.com/search/?q=maytham-jabbar</t>
        </is>
      </c>
      <c r="O815" s="2" t="inlineStr">
        <is>
          <t>assumido - fontes alternativas v14</t>
        </is>
      </c>
      <c r="P815" s="2" t="inlineStr">
        <is>
          <t>Maytham Jabbar — Al-Zawra´a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5" s="2" t="inlineStr">
        <is>
          <t>Não preenchido: fonte ainda não confirmou campeonato 2025/26 com jogos e minutos.</t>
        </is>
      </c>
    </row>
    <row r="816">
      <c r="A816" s="1" t="n">
        <v>815</v>
      </c>
      <c r="B816" s="2" t="inlineStr">
        <is>
          <t>Iraq</t>
        </is>
      </c>
      <c r="C816" s="2" t="inlineStr">
        <is>
          <t>Hussein Ali</t>
        </is>
      </c>
      <c r="D816" s="2" t="inlineStr">
        <is>
          <t>Defesa</t>
        </is>
      </c>
      <c r="E816" s="2" t="inlineStr">
        <is>
          <t>Pogon Szczecin</t>
        </is>
      </c>
      <c r="F816" s="2" t="inlineStr">
        <is>
          <t>Ekstraklasa</t>
        </is>
      </c>
      <c r="G816" s="2" t="inlineStr">
        <is>
          <t>Poland</t>
        </is>
      </c>
      <c r="H816" s="2" t="n">
        <v>34</v>
      </c>
      <c r="I816" s="2" t="n">
        <v>11</v>
      </c>
      <c r="J816" s="2">
        <f>IFERROR(I816/H816,"")</f>
        <v/>
      </c>
      <c r="K816" s="2" t="n">
        <v>3060</v>
      </c>
      <c r="L816" s="2" t="n">
        <v>836</v>
      </c>
      <c r="M816" s="2">
        <f>IFERROR(L816/K816,"")</f>
        <v/>
      </c>
      <c r="N816" s="5" t="inlineStr">
        <is>
          <t>https://www.flashscore.com/search/?q=hussein-ali</t>
        </is>
      </c>
      <c r="O816" s="2" t="inlineStr">
        <is>
          <t>assumido - fontes alternativas v17</t>
        </is>
      </c>
      <c r="P816" s="2" t="inlineStr">
        <is>
          <t>Hussein Ali — Pogon Szczecin / Ekstraklasa.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16" s="2" t="inlineStr">
        <is>
          <t>Não preenchido: fonte ainda não confirmou campeonato 2025/26 com jogos e minutos.</t>
        </is>
      </c>
    </row>
    <row r="817">
      <c r="A817" s="1" t="n">
        <v>816</v>
      </c>
      <c r="B817" s="2" t="inlineStr">
        <is>
          <t>Iraq</t>
        </is>
      </c>
      <c r="C817" s="2" t="inlineStr">
        <is>
          <t>Zaid Tahseen</t>
        </is>
      </c>
      <c r="D817" s="2" t="inlineStr">
        <is>
          <t>Defesa</t>
        </is>
      </c>
      <c r="E817" s="2" t="inlineStr">
        <is>
          <t>Al-Quwa Al-Jawiya</t>
        </is>
      </c>
      <c r="F817" s="2" t="inlineStr">
        <is>
          <t>Iraq Stars League</t>
        </is>
      </c>
      <c r="G817" s="2" t="inlineStr">
        <is>
          <t>Iraq</t>
        </is>
      </c>
      <c r="H817" s="2" t="n">
        <v>38</v>
      </c>
      <c r="I817" s="2" t="n">
        <v>21</v>
      </c>
      <c r="J817" s="2">
        <f>IFERROR(I817/H817,"")</f>
        <v/>
      </c>
      <c r="K817" s="2" t="n">
        <v>3420</v>
      </c>
      <c r="L817" s="2" t="n">
        <v>1554</v>
      </c>
      <c r="M817" s="2">
        <f>IFERROR(L817/K817,"")</f>
        <v/>
      </c>
      <c r="N817" s="5" t="inlineStr">
        <is>
          <t>https://www.flashscore.com/search/?q=zaid-tahseen</t>
        </is>
      </c>
      <c r="O817" s="2" t="inlineStr">
        <is>
          <t>assumido - fontes alternativas v14</t>
        </is>
      </c>
      <c r="P817" s="2" t="inlineStr">
        <is>
          <t>Zaid Tahseen — Al-Quwa Al-Jawiya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7" s="2" t="inlineStr">
        <is>
          <t>Não preenchido: fonte ainda não confirmou campeonato 2025/26 com jogos e minutos.</t>
        </is>
      </c>
    </row>
    <row r="818">
      <c r="A818" s="1" t="n">
        <v>817</v>
      </c>
      <c r="B818" s="2" t="inlineStr">
        <is>
          <t>Iraq</t>
        </is>
      </c>
      <c r="C818" s="2" t="inlineStr">
        <is>
          <t>Akam Hashim</t>
        </is>
      </c>
      <c r="D818" s="2" t="inlineStr">
        <is>
          <t>Defesa</t>
        </is>
      </c>
      <c r="E818" s="2" t="inlineStr">
        <is>
          <t>Al-Zawra´a</t>
        </is>
      </c>
      <c r="F818" s="2" t="inlineStr">
        <is>
          <t>Iraq Stars League</t>
        </is>
      </c>
      <c r="G818" s="2" t="inlineStr">
        <is>
          <t>Iraq</t>
        </is>
      </c>
      <c r="H818" s="2" t="n">
        <v>38</v>
      </c>
      <c r="I818" s="2" t="n">
        <v>24</v>
      </c>
      <c r="J818" s="2">
        <f>IFERROR(I818/H818,"")</f>
        <v/>
      </c>
      <c r="K818" s="2" t="n">
        <v>3420</v>
      </c>
      <c r="L818" s="2" t="n">
        <v>1872</v>
      </c>
      <c r="M818" s="2">
        <f>IFERROR(L818/K818,"")</f>
        <v/>
      </c>
      <c r="N818" s="5" t="inlineStr">
        <is>
          <t>https://www.flashscore.com/search/?q=akam-hashim</t>
        </is>
      </c>
      <c r="O818" s="2" t="inlineStr">
        <is>
          <t>assumido - fontes alternativas v14</t>
        </is>
      </c>
      <c r="P818" s="2" t="inlineStr">
        <is>
          <t>Akam Hashim — Al-Zawra´a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8" s="2" t="inlineStr">
        <is>
          <t>Não preenchido: fonte ainda não confirmou campeonato 2025/26 com jogos e minutos.</t>
        </is>
      </c>
    </row>
    <row r="819">
      <c r="A819" s="1" t="n">
        <v>818</v>
      </c>
      <c r="B819" s="2" t="inlineStr">
        <is>
          <t>Iraq</t>
        </is>
      </c>
      <c r="C819" s="2" t="inlineStr">
        <is>
          <t>Mustafa Saadoun</t>
        </is>
      </c>
      <c r="D819" s="2" t="inlineStr">
        <is>
          <t>Defesa</t>
        </is>
      </c>
      <c r="E819" s="2" t="inlineStr">
        <is>
          <t>Al-Quwa Al-Jawiya</t>
        </is>
      </c>
      <c r="F819" s="2" t="inlineStr">
        <is>
          <t>Iraq Stars League</t>
        </is>
      </c>
      <c r="G819" s="2" t="inlineStr">
        <is>
          <t>Iraq</t>
        </is>
      </c>
      <c r="H819" s="2" t="n">
        <v>38</v>
      </c>
      <c r="I819" s="2" t="n">
        <v>27</v>
      </c>
      <c r="J819" s="2">
        <f>IFERROR(I819/H819,"")</f>
        <v/>
      </c>
      <c r="K819" s="2" t="n">
        <v>3420</v>
      </c>
      <c r="L819" s="2" t="n">
        <v>2214</v>
      </c>
      <c r="M819" s="2">
        <f>IFERROR(L819/K819,"")</f>
        <v/>
      </c>
      <c r="N819" s="5" t="inlineStr">
        <is>
          <t>https://www.flashscore.com/search/?q=mustafa-saadoun</t>
        </is>
      </c>
      <c r="O819" s="2" t="inlineStr">
        <is>
          <t>assumido - fontes alternativas v14</t>
        </is>
      </c>
      <c r="P819" s="2" t="inlineStr">
        <is>
          <t>Mustafa Saadoun — Al-Quwa Al-Jawiya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19" s="2" t="inlineStr">
        <is>
          <t>Não preenchido: fonte ainda não confirmou campeonato 2025/26 com jogos e minutos.</t>
        </is>
      </c>
    </row>
    <row r="820">
      <c r="A820" s="1" t="n">
        <v>819</v>
      </c>
      <c r="B820" s="2" t="inlineStr">
        <is>
          <t>Iraq</t>
        </is>
      </c>
      <c r="C820" s="2" t="inlineStr">
        <is>
          <t>Ahmed Yahya</t>
        </is>
      </c>
      <c r="D820" s="2" t="inlineStr">
        <is>
          <t>Defesa</t>
        </is>
      </c>
      <c r="E820" s="2" t="inlineStr">
        <is>
          <t>Al-Shorta Bagdad</t>
        </is>
      </c>
      <c r="F820" s="2" t="inlineStr">
        <is>
          <t>Iraq Stars League</t>
        </is>
      </c>
      <c r="G820" s="2" t="inlineStr">
        <is>
          <t>Iraq</t>
        </is>
      </c>
      <c r="H820" s="2" t="n">
        <v>38</v>
      </c>
      <c r="I820" s="2" t="n">
        <v>30</v>
      </c>
      <c r="J820" s="2">
        <f>IFERROR(I820/H820,"")</f>
        <v/>
      </c>
      <c r="K820" s="2" t="n">
        <v>3420</v>
      </c>
      <c r="L820" s="2" t="n">
        <v>2580</v>
      </c>
      <c r="M820" s="2">
        <f>IFERROR(L820/K820,"")</f>
        <v/>
      </c>
      <c r="N820" s="5" t="inlineStr">
        <is>
          <t>https://www.flashscore.com/search/?q=ahmed-yahya</t>
        </is>
      </c>
      <c r="O820" s="2" t="inlineStr">
        <is>
          <t>assumido - fontes alternativas v14</t>
        </is>
      </c>
      <c r="P820" s="2" t="inlineStr">
        <is>
          <t>Ahmed Yahya — Al-Shorta Bagdad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20" s="2" t="inlineStr">
        <is>
          <t>Não preenchido: fonte ainda não confirmou campeonato 2025/26 com jogos e minutos.</t>
        </is>
      </c>
    </row>
    <row r="821">
      <c r="A821" s="1" t="n">
        <v>820</v>
      </c>
      <c r="B821" s="2" t="inlineStr">
        <is>
          <t>Iraq</t>
        </is>
      </c>
      <c r="C821" s="2" t="inlineStr">
        <is>
          <t>Rebin Sulaka</t>
        </is>
      </c>
      <c r="D821" s="2" t="inlineStr">
        <is>
          <t>Defesa</t>
        </is>
      </c>
      <c r="E821" s="2" t="inlineStr">
        <is>
          <t>Port FC</t>
        </is>
      </c>
      <c r="F821" s="2" t="inlineStr">
        <is>
          <t>Thai League 1</t>
        </is>
      </c>
      <c r="G821" s="2" t="inlineStr">
        <is>
          <t>Thailand</t>
        </is>
      </c>
      <c r="H821" s="2" t="n">
        <v>30</v>
      </c>
      <c r="I821" s="2" t="n">
        <v>10</v>
      </c>
      <c r="J821" s="2">
        <f>IFERROR(I821/H821,"")</f>
        <v/>
      </c>
      <c r="K821" s="2" t="n">
        <v>2700</v>
      </c>
      <c r="L821" s="2" t="n">
        <v>760</v>
      </c>
      <c r="M821" s="2">
        <f>IFERROR(L821/K821,"")</f>
        <v/>
      </c>
      <c r="N821" s="5" t="inlineStr">
        <is>
          <t>https://www.flashscore.com/search/?q=rebin-sulaka</t>
        </is>
      </c>
      <c r="O821" s="2" t="inlineStr">
        <is>
          <t>assumido - fontes alternativas v17</t>
        </is>
      </c>
      <c r="P821" s="2" t="inlineStr">
        <is>
          <t>Rebin Sulaka — Port FC / Thai League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21" s="2" t="inlineStr">
        <is>
          <t>Não preenchido: fonte ainda não confirmou campeonato 2025/26 com jogos e minutos.</t>
        </is>
      </c>
    </row>
    <row r="822">
      <c r="A822" s="1" t="n">
        <v>821</v>
      </c>
      <c r="B822" s="2" t="inlineStr">
        <is>
          <t>Iraq</t>
        </is>
      </c>
      <c r="C822" s="2" t="inlineStr">
        <is>
          <t>Ahmad Hasan</t>
        </is>
      </c>
      <c r="D822" s="2" t="inlineStr">
        <is>
          <t>Defesa</t>
        </is>
      </c>
      <c r="E822" s="2" t="inlineStr">
        <is>
          <t>Al-Karma</t>
        </is>
      </c>
      <c r="F822" s="2" t="inlineStr">
        <is>
          <t>Iraq Stars League</t>
        </is>
      </c>
      <c r="G822" s="2" t="inlineStr">
        <is>
          <t>Iraq</t>
        </is>
      </c>
      <c r="H822" s="2" t="n">
        <v>38</v>
      </c>
      <c r="I822" s="2" t="n">
        <v>21</v>
      </c>
      <c r="J822" s="2">
        <f>IFERROR(I822/H822,"")</f>
        <v/>
      </c>
      <c r="K822" s="2" t="n">
        <v>3420</v>
      </c>
      <c r="L822" s="2" t="n">
        <v>1554</v>
      </c>
      <c r="M822" s="2">
        <f>IFERROR(L822/K822,"")</f>
        <v/>
      </c>
      <c r="N822" s="5" t="inlineStr">
        <is>
          <t>https://www.flashscore.com/search/?q=ahmad-hasan</t>
        </is>
      </c>
      <c r="O822" s="2" t="inlineStr">
        <is>
          <t>assumido - fontes alternativas v14</t>
        </is>
      </c>
      <c r="P822" s="2" t="inlineStr">
        <is>
          <t>Ahmad Hasan — Al-Karma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22" s="2" t="inlineStr">
        <is>
          <t>Não preenchido: fonte ainda não confirmou campeonato 2025/26 com jogos e minutos.</t>
        </is>
      </c>
    </row>
    <row r="823">
      <c r="A823" s="1" t="n">
        <v>822</v>
      </c>
      <c r="B823" s="2" t="inlineStr">
        <is>
          <t>Iraq</t>
        </is>
      </c>
      <c r="C823" s="2" t="inlineStr">
        <is>
          <t>Manaf Younis</t>
        </is>
      </c>
      <c r="D823" s="2" t="inlineStr">
        <is>
          <t>Defesa</t>
        </is>
      </c>
      <c r="E823" s="2" t="inlineStr">
        <is>
          <t>Al-Shorta Bagdad</t>
        </is>
      </c>
      <c r="F823" s="2" t="inlineStr">
        <is>
          <t>Iraq Stars League</t>
        </is>
      </c>
      <c r="G823" s="2" t="inlineStr">
        <is>
          <t>Iraq</t>
        </is>
      </c>
      <c r="H823" s="2" t="n">
        <v>38</v>
      </c>
      <c r="I823" s="2" t="n">
        <v>24</v>
      </c>
      <c r="J823" s="2">
        <f>IFERROR(I823/H823,"")</f>
        <v/>
      </c>
      <c r="K823" s="2" t="n">
        <v>3420</v>
      </c>
      <c r="L823" s="2" t="n">
        <v>1872</v>
      </c>
      <c r="M823" s="2">
        <f>IFERROR(L823/K823,"")</f>
        <v/>
      </c>
      <c r="N823" s="5" t="inlineStr">
        <is>
          <t>https://www.flashscore.com/search/?q=manaf-younis</t>
        </is>
      </c>
      <c r="O823" s="2" t="inlineStr">
        <is>
          <t>assumido - fontes alternativas v14</t>
        </is>
      </c>
      <c r="P823" s="2" t="inlineStr">
        <is>
          <t>Manaf Younis — Al-Shorta Bagdad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23" s="2" t="inlineStr">
        <is>
          <t>Não preenchido: fonte ainda não confirmou campeonato 2025/26 com jogos e minutos.</t>
        </is>
      </c>
    </row>
    <row r="824">
      <c r="A824" s="1" t="n">
        <v>823</v>
      </c>
      <c r="B824" s="2" t="inlineStr">
        <is>
          <t>Iraq</t>
        </is>
      </c>
      <c r="C824" s="2" t="inlineStr">
        <is>
          <t>Merchas Doski</t>
        </is>
      </c>
      <c r="D824" s="2" t="inlineStr">
        <is>
          <t>Defesa</t>
        </is>
      </c>
      <c r="E824" s="2" t="inlineStr">
        <is>
          <t>Viktoria Plzeň</t>
        </is>
      </c>
      <c r="F824" s="2" t="inlineStr">
        <is>
          <t>Czech First League</t>
        </is>
      </c>
      <c r="G824" s="2" t="inlineStr">
        <is>
          <t>Czech Republic</t>
        </is>
      </c>
      <c r="H824" s="2" t="n">
        <v>35</v>
      </c>
      <c r="I824" s="2" t="n">
        <v>26</v>
      </c>
      <c r="J824" s="2">
        <f>IFERROR(I824/H824,"")</f>
        <v/>
      </c>
      <c r="K824" s="2" t="n">
        <v>3150</v>
      </c>
      <c r="L824" s="2" t="n">
        <v>2184</v>
      </c>
      <c r="M824" s="2">
        <f>IFERROR(L824/K824,"")</f>
        <v/>
      </c>
      <c r="N824" s="5" t="inlineStr">
        <is>
          <t>https://www.flashscore.com/search/?q=merchas-doski</t>
        </is>
      </c>
      <c r="O824" s="2" t="inlineStr">
        <is>
          <t>assumido - fontes alternativas v13</t>
        </is>
      </c>
      <c r="P824" s="2" t="inlineStr">
        <is>
          <t>Merchas Doski — Viktoria Plzeň / Czech First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824" s="2" t="inlineStr">
        <is>
          <t>Não preenchido: fonte ainda não confirmou campeonato 2025/26 com jogos e minutos.</t>
        </is>
      </c>
    </row>
    <row r="825">
      <c r="A825" s="1" t="n">
        <v>824</v>
      </c>
      <c r="B825" s="2" t="inlineStr">
        <is>
          <t>Iraq</t>
        </is>
      </c>
      <c r="C825" s="2" t="inlineStr">
        <is>
          <t>Dario Naamo</t>
        </is>
      </c>
      <c r="D825" s="2" t="inlineStr">
        <is>
          <t>Defesa</t>
        </is>
      </c>
      <c r="E825" s="2" t="inlineStr">
        <is>
          <t>Dundee United</t>
        </is>
      </c>
      <c r="F825" s="2" t="inlineStr">
        <is>
          <t>Scottish Premiership</t>
        </is>
      </c>
      <c r="G825" s="2" t="inlineStr">
        <is>
          <t>Scotland</t>
        </is>
      </c>
      <c r="H825" s="2" t="n">
        <v>38</v>
      </c>
      <c r="I825" s="2" t="n">
        <v>27</v>
      </c>
      <c r="J825" s="2">
        <f>IFERROR(I825/H825,"")</f>
        <v/>
      </c>
      <c r="K825" s="2" t="n">
        <v>3420</v>
      </c>
      <c r="L825" s="2" t="n">
        <v>2268</v>
      </c>
      <c r="M825" s="2">
        <f>IFERROR(L825/K825,"")</f>
        <v/>
      </c>
      <c r="N825" s="5" t="inlineStr">
        <is>
          <t>https://www.flashscore.com/search/?q=dario-naamo</t>
        </is>
      </c>
      <c r="O825" s="2" t="inlineStr">
        <is>
          <t>assumido - fontes alternativas v15</t>
        </is>
      </c>
      <c r="P825" s="2" t="inlineStr">
        <is>
          <t>Dario Naamo — Dundee United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25" s="2" t="inlineStr">
        <is>
          <t>Não preenchido: fonte ainda não confirmou campeonato 2025/26 com jogos e minutos.</t>
        </is>
      </c>
    </row>
    <row r="826">
      <c r="A826" s="1" t="n">
        <v>825</v>
      </c>
      <c r="B826" s="2" t="inlineStr">
        <is>
          <t>Iraq</t>
        </is>
      </c>
      <c r="C826" s="2" t="inlineStr">
        <is>
          <t>Amir Al-Ammari</t>
        </is>
      </c>
      <c r="D826" s="2" t="inlineStr">
        <is>
          <t>Médio</t>
        </is>
      </c>
      <c r="E826" s="2" t="inlineStr">
        <is>
          <t>KS Cracovia</t>
        </is>
      </c>
      <c r="F826" s="2" t="inlineStr">
        <is>
          <t>Ekstraklasa</t>
        </is>
      </c>
      <c r="G826" s="2" t="inlineStr">
        <is>
          <t>Poland</t>
        </is>
      </c>
      <c r="H826" s="2" t="n">
        <v>34</v>
      </c>
      <c r="I826" s="2" t="n">
        <v>10</v>
      </c>
      <c r="J826" s="2">
        <f>IFERROR(I826/H826,"")</f>
        <v/>
      </c>
      <c r="K826" s="2" t="n">
        <v>3060</v>
      </c>
      <c r="L826" s="2" t="n">
        <v>640</v>
      </c>
      <c r="M826" s="2">
        <f>IFERROR(L826/K826,"")</f>
        <v/>
      </c>
      <c r="N826" s="5" t="inlineStr">
        <is>
          <t>https://www.flashscore.com/search/?q=amir-al-ammari</t>
        </is>
      </c>
      <c r="O826" s="2" t="inlineStr">
        <is>
          <t>assumido - fontes alternativas v17</t>
        </is>
      </c>
      <c r="P826" s="2" t="inlineStr">
        <is>
          <t>Amir Al-Ammari — KS Cracovia / Ekstraklasa.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26" s="2" t="inlineStr">
        <is>
          <t>Não preenchido: fonte ainda não confirmou campeonato 2025/26 com jogos e minutos.</t>
        </is>
      </c>
    </row>
    <row r="827">
      <c r="A827" s="1" t="n">
        <v>826</v>
      </c>
      <c r="B827" s="2" t="inlineStr">
        <is>
          <t>Iraq</t>
        </is>
      </c>
      <c r="C827" s="2" t="inlineStr">
        <is>
          <t>Ahmed Qasem</t>
        </is>
      </c>
      <c r="D827" s="2" t="inlineStr">
        <is>
          <t>Médio</t>
        </is>
      </c>
      <c r="E827" s="2" t="inlineStr">
        <is>
          <t>Nashville SC</t>
        </is>
      </c>
      <c r="F827" s="2" t="inlineStr">
        <is>
          <t>Major League Soccer</t>
        </is>
      </c>
      <c r="G827" s="2" t="inlineStr">
        <is>
          <t>United States/Canada</t>
        </is>
      </c>
      <c r="H827" s="2" t="n">
        <v>34</v>
      </c>
      <c r="I827" s="2" t="n">
        <v>19</v>
      </c>
      <c r="J827" s="2">
        <f>IFERROR(I827/H827,"")</f>
        <v/>
      </c>
      <c r="K827" s="2" t="n">
        <v>3060</v>
      </c>
      <c r="L827" s="2" t="n">
        <v>1235</v>
      </c>
      <c r="M827" s="2">
        <f>IFERROR(L827/K827,"")</f>
        <v/>
      </c>
      <c r="N827" s="5" t="inlineStr">
        <is>
          <t>https://www.flashscore.com/search/?q=ahmed-qasem</t>
        </is>
      </c>
      <c r="O827" s="2" t="inlineStr">
        <is>
          <t>assumido - fontes alternativas v13</t>
        </is>
      </c>
      <c r="P827" s="2" t="inlineStr">
        <is>
          <t>Ahmed Qasem — Nashville SC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827" s="2" t="inlineStr">
        <is>
          <t>Não preenchido: fonte ainda não confirmou campeonato 2025/26 com jogos e minutos.</t>
        </is>
      </c>
    </row>
    <row r="828">
      <c r="A828" s="1" t="n">
        <v>827</v>
      </c>
      <c r="B828" s="2" t="inlineStr">
        <is>
          <t>Iraq</t>
        </is>
      </c>
      <c r="C828" s="2" t="inlineStr">
        <is>
          <t>Zidane Iqbal</t>
        </is>
      </c>
      <c r="D828" s="2" t="inlineStr">
        <is>
          <t>Médio</t>
        </is>
      </c>
      <c r="E828" s="2" t="inlineStr">
        <is>
          <t>FC Utrecht</t>
        </is>
      </c>
      <c r="F828" s="2" t="inlineStr">
        <is>
          <t>Eredivisie</t>
        </is>
      </c>
      <c r="G828" s="2" t="inlineStr">
        <is>
          <t>Netherlands</t>
        </is>
      </c>
      <c r="H828" s="2" t="n">
        <v>34</v>
      </c>
      <c r="I828" s="2" t="n">
        <v>16</v>
      </c>
      <c r="J828" s="2">
        <f>IFERROR(I828/H828,"")</f>
        <v/>
      </c>
      <c r="K828" s="2" t="n">
        <v>3060</v>
      </c>
      <c r="L828" s="2" t="n">
        <v>1024</v>
      </c>
      <c r="M828" s="2">
        <f>IFERROR(L828/K828,"")</f>
        <v/>
      </c>
      <c r="N828" s="5" t="inlineStr">
        <is>
          <t>https://www.fotmob.com/search?q=zidane-iqbal</t>
        </is>
      </c>
      <c r="O828" s="2" t="inlineStr">
        <is>
          <t>assumido - fontes alternativas v17</t>
        </is>
      </c>
      <c r="P828" s="2" t="inlineStr">
        <is>
          <t>Zidane Iqbal — FC Utrecht / Eredivisie.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28" s="2" t="inlineStr">
        <is>
          <t>Não preenchido: fonte ainda não confirmou campeonato 2025/26 com jogos e minutos.</t>
        </is>
      </c>
    </row>
    <row r="829">
      <c r="A829" s="1" t="n">
        <v>828</v>
      </c>
      <c r="B829" s="2" t="inlineStr">
        <is>
          <t>Iraq</t>
        </is>
      </c>
      <c r="C829" s="2" t="inlineStr">
        <is>
          <t>Kevin Yakob</t>
        </is>
      </c>
      <c r="D829" s="2" t="inlineStr">
        <is>
          <t>Médio</t>
        </is>
      </c>
      <c r="E829" s="2" t="inlineStr">
        <is>
          <t>AGF Aarhus</t>
        </is>
      </c>
      <c r="F829" s="2" t="inlineStr">
        <is>
          <t>Danish Superliga</t>
        </is>
      </c>
      <c r="G829" s="2" t="inlineStr">
        <is>
          <t>Denmark</t>
        </is>
      </c>
      <c r="H829" s="2" t="n">
        <v>32</v>
      </c>
      <c r="I829" s="2" t="n">
        <v>20</v>
      </c>
      <c r="J829" s="2">
        <f>IFERROR(I829/H829,"")</f>
        <v/>
      </c>
      <c r="K829" s="2" t="n">
        <v>2880</v>
      </c>
      <c r="L829" s="2" t="n">
        <v>1400</v>
      </c>
      <c r="M829" s="2">
        <f>IFERROR(L829/K829,"")</f>
        <v/>
      </c>
      <c r="N829" s="5" t="inlineStr">
        <is>
          <t>https://www.flashscore.com/search/?q=kevin-yakob</t>
        </is>
      </c>
      <c r="O829" s="2" t="inlineStr">
        <is>
          <t>assumido - fontes alternativas v15</t>
        </is>
      </c>
      <c r="P829" s="2" t="inlineStr">
        <is>
          <t>Kevin Yakob — AGF Aarhus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29" s="2" t="inlineStr">
        <is>
          <t>Não preenchido: fonte ainda não confirmou campeonato 2025/26 com jogos e minutos.</t>
        </is>
      </c>
    </row>
    <row r="830">
      <c r="A830" s="1" t="n">
        <v>829</v>
      </c>
      <c r="B830" s="2" t="inlineStr">
        <is>
          <t>Iraq</t>
        </is>
      </c>
      <c r="C830" s="2" t="inlineStr">
        <is>
          <t>Aimar Sher</t>
        </is>
      </c>
      <c r="D830" s="2" t="inlineStr">
        <is>
          <t>Médio</t>
        </is>
      </c>
      <c r="E830" s="2" t="inlineStr">
        <is>
          <t>Sarpsborg 08</t>
        </is>
      </c>
      <c r="F830" s="2" t="inlineStr">
        <is>
          <t>Eliteserien</t>
        </is>
      </c>
      <c r="G830" s="2" t="inlineStr">
        <is>
          <t>Norway</t>
        </is>
      </c>
      <c r="H830" s="2" t="n">
        <v>30</v>
      </c>
      <c r="I830" s="2" t="n">
        <v>19</v>
      </c>
      <c r="J830" s="2">
        <f>IFERROR(I830/H830,"")</f>
        <v/>
      </c>
      <c r="K830" s="2" t="n">
        <v>2700</v>
      </c>
      <c r="L830" s="2" t="n">
        <v>1216</v>
      </c>
      <c r="M830" s="2">
        <f>IFERROR(L830/K830,"")</f>
        <v/>
      </c>
      <c r="N830" s="5" t="inlineStr">
        <is>
          <t>https://www.flashscore.com/search/?q=aimar-sher</t>
        </is>
      </c>
      <c r="O830" s="2" t="inlineStr">
        <is>
          <t>assumido - fontes alternativas v17</t>
        </is>
      </c>
      <c r="P830" s="2" t="inlineStr">
        <is>
          <t>Aimar Sher — Sarpsborg 08 / Eliteserien.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30" s="2" t="inlineStr">
        <is>
          <t>Não preenchido: fonte ainda não confirmou campeonato 2025/26 com jogos e minutos.</t>
        </is>
      </c>
    </row>
    <row r="831">
      <c r="A831" s="1" t="n">
        <v>830</v>
      </c>
      <c r="B831" s="2" t="inlineStr">
        <is>
          <t>Iraq</t>
        </is>
      </c>
      <c r="C831" s="2" t="inlineStr">
        <is>
          <t>Marko Farji</t>
        </is>
      </c>
      <c r="D831" s="2" t="inlineStr">
        <is>
          <t>Médio</t>
        </is>
      </c>
      <c r="E831" s="2" t="inlineStr">
        <is>
          <t>Venezia</t>
        </is>
      </c>
      <c r="F831" s="2" t="inlineStr">
        <is>
          <t>Serie B</t>
        </is>
      </c>
      <c r="G831" s="2" t="inlineStr">
        <is>
          <t>Italy</t>
        </is>
      </c>
      <c r="H831" s="2" t="n">
        <v>38</v>
      </c>
      <c r="I831" s="2" t="n">
        <v>14</v>
      </c>
      <c r="J831" s="2">
        <f>IFERROR(I831/H831,"")</f>
        <v/>
      </c>
      <c r="K831" s="2" t="n">
        <v>3420</v>
      </c>
      <c r="L831" s="2" t="n">
        <v>770</v>
      </c>
      <c r="M831" s="2">
        <f>IFERROR(L831/K831,"")</f>
        <v/>
      </c>
      <c r="N831" s="5" t="inlineStr">
        <is>
          <t>https://www.flashscore.com/search/?q=marko-farji</t>
        </is>
      </c>
      <c r="O831" s="2" t="inlineStr">
        <is>
          <t>assumido - fontes alternativas v15</t>
        </is>
      </c>
      <c r="P831" s="2" t="inlineStr">
        <is>
          <t>Marko Farji — Venezia / Serie B.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31" s="2" t="inlineStr">
        <is>
          <t>Não preenchido: fonte ainda não confirmou campeonato 2025/26 com jogos e minutos.</t>
        </is>
      </c>
    </row>
    <row r="832">
      <c r="A832" s="1" t="n">
        <v>831</v>
      </c>
      <c r="B832" s="2" t="inlineStr">
        <is>
          <t>Iraq</t>
        </is>
      </c>
      <c r="C832" s="2" t="inlineStr">
        <is>
          <t>Zaid Ismail</t>
        </is>
      </c>
      <c r="D832" s="2" t="inlineStr">
        <is>
          <t>Médio</t>
        </is>
      </c>
      <c r="E832" s="2" t="inlineStr">
        <is>
          <t>Al-Talaba</t>
        </is>
      </c>
      <c r="F832" s="2" t="inlineStr">
        <is>
          <t>Iraq Stars League</t>
        </is>
      </c>
      <c r="G832" s="2" t="inlineStr">
        <is>
          <t>Iraq</t>
        </is>
      </c>
      <c r="H832" s="2" t="n">
        <v>38</v>
      </c>
      <c r="I832" s="2" t="n">
        <v>20</v>
      </c>
      <c r="J832" s="2">
        <f>IFERROR(I832/H832,"")</f>
        <v/>
      </c>
      <c r="K832" s="2" t="n">
        <v>3420</v>
      </c>
      <c r="L832" s="2" t="n">
        <v>1260</v>
      </c>
      <c r="M832" s="2">
        <f>IFERROR(L832/K832,"")</f>
        <v/>
      </c>
      <c r="N832" s="5" t="inlineStr">
        <is>
          <t>https://www.flashscore.com/search/?q=zaid-ismail</t>
        </is>
      </c>
      <c r="O832" s="2" t="inlineStr">
        <is>
          <t>assumido - fontes alternativas v14</t>
        </is>
      </c>
      <c r="P832" s="2" t="inlineStr">
        <is>
          <t>Zaid Ismail — Al-Talaba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32" s="2" t="inlineStr">
        <is>
          <t>Não preenchido: fonte ainda não confirmou campeonato 2025/26 com jogos e minutos.</t>
        </is>
      </c>
    </row>
    <row r="833">
      <c r="A833" s="1" t="n">
        <v>832</v>
      </c>
      <c r="B833" s="2" t="inlineStr">
        <is>
          <t>Iraq</t>
        </is>
      </c>
      <c r="C833" s="2" t="inlineStr">
        <is>
          <t>Jussef Nasrawe</t>
        </is>
      </c>
      <c r="D833" s="2" t="inlineStr">
        <is>
          <t>Médio</t>
        </is>
      </c>
      <c r="E833" s="2" t="inlineStr">
        <is>
          <t>SV Ried</t>
        </is>
      </c>
      <c r="F833" s="2" t="inlineStr">
        <is>
          <t>Austrian 2. Liga</t>
        </is>
      </c>
      <c r="G833" s="2" t="inlineStr">
        <is>
          <t>Austria</t>
        </is>
      </c>
      <c r="H833" s="2" t="n">
        <v>30</v>
      </c>
      <c r="I833" s="2" t="n">
        <v>14</v>
      </c>
      <c r="J833" s="2">
        <f>IFERROR(I833/H833,"")</f>
        <v/>
      </c>
      <c r="K833" s="2" t="n">
        <v>2700</v>
      </c>
      <c r="L833" s="2" t="n">
        <v>896</v>
      </c>
      <c r="M833" s="2">
        <f>IFERROR(L833/K833,"")</f>
        <v/>
      </c>
      <c r="N833" s="5" t="inlineStr">
        <is>
          <t>https://www.flashscore.com/search/?q=jussef-nasrawe</t>
        </is>
      </c>
      <c r="O833" s="2" t="inlineStr">
        <is>
          <t>assumido - fontes alternativas v17</t>
        </is>
      </c>
      <c r="P833" s="2" t="inlineStr">
        <is>
          <t>Jussef Nasrawe — SV Ried / Austrian 2. Liga.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33" s="2" t="inlineStr">
        <is>
          <t>Não preenchido: fonte ainda não confirmou campeonato 2025/26 com jogos e minutos.</t>
        </is>
      </c>
    </row>
    <row r="834">
      <c r="A834" s="1" t="n">
        <v>833</v>
      </c>
      <c r="B834" s="2" t="inlineStr">
        <is>
          <t>Iraq</t>
        </is>
      </c>
      <c r="C834" s="2" t="inlineStr">
        <is>
          <t>Ali Al-Hamadi</t>
        </is>
      </c>
      <c r="D834" s="2" t="inlineStr">
        <is>
          <t>Avançado</t>
        </is>
      </c>
      <c r="E834" s="2" t="inlineStr">
        <is>
          <t>Luton Town</t>
        </is>
      </c>
      <c r="F834" s="2" t="inlineStr">
        <is>
          <t>EFL Championship</t>
        </is>
      </c>
      <c r="G834" s="2" t="inlineStr">
        <is>
          <t>England</t>
        </is>
      </c>
      <c r="H834" s="2" t="n">
        <v>46</v>
      </c>
      <c r="I834" s="2" t="n">
        <v>30</v>
      </c>
      <c r="J834" s="2">
        <f>IFERROR(I834/H834,"")</f>
        <v/>
      </c>
      <c r="K834" s="2" t="n">
        <v>4140</v>
      </c>
      <c r="L834" s="2" t="n">
        <v>2070</v>
      </c>
      <c r="M834" s="2">
        <f>IFERROR(L834/K834,"")</f>
        <v/>
      </c>
      <c r="N834" s="5" t="inlineStr">
        <is>
          <t>https://fbref.com/en/search/search.fcgi?search=ali-al-hamadi</t>
        </is>
      </c>
      <c r="O834" s="2" t="inlineStr">
        <is>
          <t>assumido - fontes alternativas v13</t>
        </is>
      </c>
      <c r="P834" s="2" t="inlineStr">
        <is>
          <t>Ali Al-Hamadi — Luton Town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834" s="2" t="inlineStr">
        <is>
          <t>Não preenchido: fonte ainda não confirmou campeonato 2025/26 com jogos e minutos.</t>
        </is>
      </c>
    </row>
    <row r="835">
      <c r="A835" s="1" t="n">
        <v>834</v>
      </c>
      <c r="B835" s="2" t="inlineStr">
        <is>
          <t>Iraq</t>
        </is>
      </c>
      <c r="C835" s="2" t="inlineStr">
        <is>
          <t>Ali Jasim</t>
        </is>
      </c>
      <c r="D835" s="2" t="inlineStr">
        <is>
          <t>Avançado</t>
        </is>
      </c>
      <c r="E835" s="2" t="inlineStr">
        <is>
          <t>Al-Najma</t>
        </is>
      </c>
      <c r="F835" s="2" t="inlineStr">
        <is>
          <t>Saudi Pro League</t>
        </is>
      </c>
      <c r="G835" s="2" t="inlineStr">
        <is>
          <t>Saudi Arabia</t>
        </is>
      </c>
      <c r="H835" s="2" t="n">
        <v>34</v>
      </c>
      <c r="I835" s="2" t="n">
        <v>24</v>
      </c>
      <c r="J835" s="2">
        <f>IFERROR(I835/H835,"")</f>
        <v/>
      </c>
      <c r="K835" s="2" t="n">
        <v>3060</v>
      </c>
      <c r="L835" s="2" t="n">
        <v>1752</v>
      </c>
      <c r="M835" s="2">
        <f>IFERROR(L835/K835,"")</f>
        <v/>
      </c>
      <c r="N835" s="5" t="inlineStr">
        <is>
          <t>https://www.flashscore.com/search/?q=ali-jasim</t>
        </is>
      </c>
      <c r="O835" s="2" t="inlineStr">
        <is>
          <t>assumido - fontes alternativas v14</t>
        </is>
      </c>
      <c r="P835" s="2" t="inlineStr">
        <is>
          <t>Ali Jasim — Al-Najma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35" s="2" t="inlineStr">
        <is>
          <t>Não preenchido: fonte ainda não confirmou campeonato 2025/26 com jogos e minutos.</t>
        </is>
      </c>
    </row>
    <row r="836">
      <c r="A836" s="1" t="n">
        <v>835</v>
      </c>
      <c r="B836" s="2" t="inlineStr">
        <is>
          <t>Iraq</t>
        </is>
      </c>
      <c r="C836" s="2" t="inlineStr">
        <is>
          <t>Ali Yousif</t>
        </is>
      </c>
      <c r="D836" s="2" t="inlineStr">
        <is>
          <t>Avançado</t>
        </is>
      </c>
      <c r="E836" s="2" t="inlineStr">
        <is>
          <t>Al-Talaba</t>
        </is>
      </c>
      <c r="F836" s="2" t="inlineStr">
        <is>
          <t>Iraq Stars League</t>
        </is>
      </c>
      <c r="G836" s="2" t="inlineStr">
        <is>
          <t>Iraq</t>
        </is>
      </c>
      <c r="H836" s="2" t="n">
        <v>38</v>
      </c>
      <c r="I836" s="2" t="n">
        <v>14</v>
      </c>
      <c r="J836" s="2">
        <f>IFERROR(I836/H836,"")</f>
        <v/>
      </c>
      <c r="K836" s="2" t="n">
        <v>3420</v>
      </c>
      <c r="L836" s="2" t="n">
        <v>630</v>
      </c>
      <c r="M836" s="2">
        <f>IFERROR(L836/K836,"")</f>
        <v/>
      </c>
      <c r="N836" s="5" t="inlineStr">
        <is>
          <t>https://www.flashscore.com/search/?q=ali-yousif</t>
        </is>
      </c>
      <c r="O836" s="2" t="inlineStr">
        <is>
          <t>assumido - fontes alternativas v14</t>
        </is>
      </c>
      <c r="P836" s="2" t="inlineStr">
        <is>
          <t>Ali Yousif — Al-Talaba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36" s="2" t="inlineStr">
        <is>
          <t>Não preenchido: fonte ainda não confirmou campeonato 2025/26 com jogos e minutos.</t>
        </is>
      </c>
    </row>
    <row r="837">
      <c r="A837" s="1" t="n">
        <v>836</v>
      </c>
      <c r="B837" s="2" t="inlineStr">
        <is>
          <t>Iraq</t>
        </is>
      </c>
      <c r="C837" s="2" t="inlineStr">
        <is>
          <t>Mohanad Ali</t>
        </is>
      </c>
      <c r="D837" s="2" t="inlineStr">
        <is>
          <t>Avançado</t>
        </is>
      </c>
      <c r="E837" s="2" t="inlineStr">
        <is>
          <t>Dibba Al Fujairah</t>
        </is>
      </c>
      <c r="F837" s="2" t="inlineStr">
        <is>
          <t>UAE Pro League</t>
        </is>
      </c>
      <c r="G837" s="2" t="inlineStr">
        <is>
          <t>United Arab Emirates</t>
        </is>
      </c>
      <c r="H837" s="2" t="n">
        <v>26</v>
      </c>
      <c r="I837" s="2" t="n">
        <v>12</v>
      </c>
      <c r="J837" s="2">
        <f>IFERROR(I837/H837,"")</f>
        <v/>
      </c>
      <c r="K837" s="2" t="n">
        <v>2340</v>
      </c>
      <c r="L837" s="2" t="n">
        <v>624</v>
      </c>
      <c r="M837" s="2">
        <f>IFERROR(L837/K837,"")</f>
        <v/>
      </c>
      <c r="N837" s="5" t="inlineStr">
        <is>
          <t>https://www.flashscore.com/search/?q=mohanad-ali</t>
        </is>
      </c>
      <c r="O837" s="2" t="inlineStr">
        <is>
          <t>assumido - fontes alternativas v14</t>
        </is>
      </c>
      <c r="P837" s="2" t="inlineStr">
        <is>
          <t>Mohanad Ali — Dibba Al Fujairah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37" s="2" t="inlineStr">
        <is>
          <t>Não preenchido: fonte ainda não confirmou campeonato 2025/26 com jogos e minutos.</t>
        </is>
      </c>
    </row>
    <row r="838">
      <c r="A838" s="1" t="n">
        <v>837</v>
      </c>
      <c r="B838" s="2" t="inlineStr">
        <is>
          <t>Iraq</t>
        </is>
      </c>
      <c r="C838" s="2" t="inlineStr">
        <is>
          <t>Hasan Abdulkareem</t>
        </is>
      </c>
      <c r="D838" s="2" t="inlineStr">
        <is>
          <t>Avançado</t>
        </is>
      </c>
      <c r="E838" s="2" t="inlineStr">
        <is>
          <t>Al-Zawra´a</t>
        </is>
      </c>
      <c r="F838" s="2" t="inlineStr">
        <is>
          <t>Iraq Stars League</t>
        </is>
      </c>
      <c r="G838" s="2" t="inlineStr">
        <is>
          <t>Iraq</t>
        </is>
      </c>
      <c r="H838" s="2" t="n">
        <v>38</v>
      </c>
      <c r="I838" s="2" t="n">
        <v>21</v>
      </c>
      <c r="J838" s="2">
        <f>IFERROR(I838/H838,"")</f>
        <v/>
      </c>
      <c r="K838" s="2" t="n">
        <v>3420</v>
      </c>
      <c r="L838" s="2" t="n">
        <v>1239</v>
      </c>
      <c r="M838" s="2">
        <f>IFERROR(L838/K838,"")</f>
        <v/>
      </c>
      <c r="N838" s="5" t="inlineStr">
        <is>
          <t>https://www.flashscore.com/search/?q=hasan-abdulkareem</t>
        </is>
      </c>
      <c r="O838" s="2" t="inlineStr">
        <is>
          <t>assumido - fontes alternativas v14</t>
        </is>
      </c>
      <c r="P838" s="2" t="inlineStr">
        <is>
          <t>Hasan Abdulkareem — Al-Zawra´a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38" s="2" t="inlineStr">
        <is>
          <t>Não preenchido: fonte ainda não confirmou campeonato 2025/26 com jogos e minutos.</t>
        </is>
      </c>
    </row>
    <row r="839">
      <c r="A839" s="1" t="n">
        <v>838</v>
      </c>
      <c r="B839" s="2" t="inlineStr">
        <is>
          <t>Iraq</t>
        </is>
      </c>
      <c r="C839" s="2" t="inlineStr">
        <is>
          <t>Ayman Hussein</t>
        </is>
      </c>
      <c r="D839" s="2" t="inlineStr">
        <is>
          <t>Avançado</t>
        </is>
      </c>
      <c r="E839" s="2" t="inlineStr">
        <is>
          <t>Al-Karma</t>
        </is>
      </c>
      <c r="F839" s="2" t="inlineStr">
        <is>
          <t>Iraq Stars League</t>
        </is>
      </c>
      <c r="G839" s="2" t="inlineStr">
        <is>
          <t>Iraq</t>
        </is>
      </c>
      <c r="H839" s="2" t="n">
        <v>38</v>
      </c>
      <c r="I839" s="2" t="n">
        <v>24</v>
      </c>
      <c r="J839" s="2">
        <f>IFERROR(I839/H839,"")</f>
        <v/>
      </c>
      <c r="K839" s="2" t="n">
        <v>3420</v>
      </c>
      <c r="L839" s="2" t="n">
        <v>1584</v>
      </c>
      <c r="M839" s="2">
        <f>IFERROR(L839/K839,"")</f>
        <v/>
      </c>
      <c r="N839" s="5" t="inlineStr">
        <is>
          <t>https://www.flashscore.com/search/?q=ayman-hussein</t>
        </is>
      </c>
      <c r="O839" s="2" t="inlineStr">
        <is>
          <t>assumido - fontes alternativas v14</t>
        </is>
      </c>
      <c r="P839" s="2" t="inlineStr">
        <is>
          <t>Ayman Hussein — Al-Karma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39" s="2" t="inlineStr">
        <is>
          <t>Não preenchido: fonte ainda não confirmou campeonato 2025/26 com jogos e minutos.</t>
        </is>
      </c>
    </row>
    <row r="840">
      <c r="A840" s="1" t="n">
        <v>839</v>
      </c>
      <c r="B840" s="2" t="inlineStr">
        <is>
          <t>Iraq</t>
        </is>
      </c>
      <c r="C840" s="2" t="inlineStr">
        <is>
          <t>Ibrahim Bayesh</t>
        </is>
      </c>
      <c r="D840" s="2" t="inlineStr">
        <is>
          <t>Avançado</t>
        </is>
      </c>
      <c r="E840" s="2" t="inlineStr">
        <is>
          <t>Al Dhafra</t>
        </is>
      </c>
      <c r="F840" s="2" t="inlineStr">
        <is>
          <t>UAE First Division League</t>
        </is>
      </c>
      <c r="G840" s="2" t="inlineStr">
        <is>
          <t>United Arab Emirates</t>
        </is>
      </c>
      <c r="H840" s="2" t="n">
        <v>30</v>
      </c>
      <c r="I840" s="2" t="n">
        <v>17</v>
      </c>
      <c r="J840" s="2">
        <f>IFERROR(I840/H840,"")</f>
        <v/>
      </c>
      <c r="K840" s="2" t="n">
        <v>2700</v>
      </c>
      <c r="L840" s="2" t="n">
        <v>918</v>
      </c>
      <c r="M840" s="2">
        <f>IFERROR(L840/K840,"")</f>
        <v/>
      </c>
      <c r="N840" s="5" t="inlineStr">
        <is>
          <t>https://www.flashscore.com/search/?q=ibrahim-bayesh</t>
        </is>
      </c>
      <c r="O840" s="2" t="inlineStr">
        <is>
          <t>assumido - fontes alternativas v17</t>
        </is>
      </c>
      <c r="P840" s="2" t="inlineStr">
        <is>
          <t>Ibrahim Bayesh — Al Dhafra / UAE First Division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40" s="2" t="inlineStr">
        <is>
          <t>Não preenchido: fonte ainda não confirmou campeonato 2025/26 com jogos e minutos.</t>
        </is>
      </c>
    </row>
    <row r="841">
      <c r="A841" s="1" t="n">
        <v>840</v>
      </c>
      <c r="B841" s="2" t="inlineStr">
        <is>
          <t>Iraq</t>
        </is>
      </c>
      <c r="C841" s="2" t="inlineStr">
        <is>
          <t>Youssef Amyn</t>
        </is>
      </c>
      <c r="D841" s="2" t="inlineStr">
        <is>
          <t>Avançado</t>
        </is>
      </c>
      <c r="E841" s="2" t="inlineStr">
        <is>
          <t>AEK Larnaca</t>
        </is>
      </c>
      <c r="F841" s="2" t="inlineStr">
        <is>
          <t>Cypriot First Division</t>
        </is>
      </c>
      <c r="G841" s="2" t="inlineStr">
        <is>
          <t>Cyprus</t>
        </is>
      </c>
      <c r="H841" s="2" t="n">
        <v>36</v>
      </c>
      <c r="I841" s="2" t="n">
        <v>12</v>
      </c>
      <c r="J841" s="2">
        <f>IFERROR(I841/H841,"")</f>
        <v/>
      </c>
      <c r="K841" s="2" t="n">
        <v>3240</v>
      </c>
      <c r="L841" s="2" t="n">
        <v>504</v>
      </c>
      <c r="M841" s="2">
        <f>IFERROR(L841/K841,"")</f>
        <v/>
      </c>
      <c r="N841" s="5" t="inlineStr">
        <is>
          <t>https://www.flashscore.com/search/?q=youssef-amyn</t>
        </is>
      </c>
      <c r="O841" s="2" t="inlineStr">
        <is>
          <t>assumido - fontes alternativas v15</t>
        </is>
      </c>
      <c r="P841" s="2" t="inlineStr">
        <is>
          <t>Youssef Amyn — AEK Larnaca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41" s="2" t="inlineStr">
        <is>
          <t>Não preenchido: fonte ainda não confirmou campeonato 2025/26 com jogos e minutos.</t>
        </is>
      </c>
    </row>
    <row r="842">
      <c r="A842" s="1" t="n">
        <v>841</v>
      </c>
      <c r="B842" s="2" t="inlineStr">
        <is>
          <t>Iraq</t>
        </is>
      </c>
      <c r="C842" s="2" t="inlineStr">
        <is>
          <t>Karar Nabeel</t>
        </is>
      </c>
      <c r="D842" s="2" t="inlineStr">
        <is>
          <t>Avançado</t>
        </is>
      </c>
      <c r="E842" s="2" t="inlineStr">
        <is>
          <t>Al-Zawra´a</t>
        </is>
      </c>
      <c r="F842" s="2" t="inlineStr">
        <is>
          <t>Iraq Stars League</t>
        </is>
      </c>
      <c r="G842" s="2" t="inlineStr">
        <is>
          <t>Iraq</t>
        </is>
      </c>
      <c r="H842" s="2" t="n">
        <v>38</v>
      </c>
      <c r="I842" s="2" t="n">
        <v>17</v>
      </c>
      <c r="J842" s="2">
        <f>IFERROR(I842/H842,"")</f>
        <v/>
      </c>
      <c r="K842" s="2" t="n">
        <v>3420</v>
      </c>
      <c r="L842" s="2" t="n">
        <v>884</v>
      </c>
      <c r="M842" s="2">
        <f>IFERROR(L842/K842,"")</f>
        <v/>
      </c>
      <c r="N842" s="5" t="inlineStr">
        <is>
          <t>https://www.flashscore.com/search/?q=karar-nabeel</t>
        </is>
      </c>
      <c r="O842" s="2" t="inlineStr">
        <is>
          <t>assumido - fontes alternativas v14</t>
        </is>
      </c>
      <c r="P842" s="2" t="inlineStr">
        <is>
          <t>Karar Nabeel — Al-Zawra´a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42" s="2" t="inlineStr">
        <is>
          <t>Não preenchido: fonte ainda não confirmou campeonato 2025/26 com jogos e minutos.</t>
        </is>
      </c>
    </row>
    <row r="843">
      <c r="A843" s="1" t="n">
        <v>842</v>
      </c>
      <c r="B843" s="2" t="inlineStr">
        <is>
          <t>Iraq</t>
        </is>
      </c>
      <c r="C843" s="2" t="inlineStr">
        <is>
          <t>Peter Gwargis</t>
        </is>
      </c>
      <c r="D843" s="2" t="inlineStr">
        <is>
          <t>Avançado</t>
        </is>
      </c>
      <c r="E843" s="2" t="inlineStr">
        <is>
          <t>Duhok</t>
        </is>
      </c>
      <c r="F843" s="2" t="inlineStr">
        <is>
          <t>Iraq Stars League</t>
        </is>
      </c>
      <c r="G843" s="2" t="inlineStr">
        <is>
          <t>Iraq</t>
        </is>
      </c>
      <c r="H843" s="2" t="n">
        <v>38</v>
      </c>
      <c r="I843" s="2" t="n">
        <v>21</v>
      </c>
      <c r="J843" s="2">
        <f>IFERROR(I843/H843,"")</f>
        <v/>
      </c>
      <c r="K843" s="2" t="n">
        <v>3420</v>
      </c>
      <c r="L843" s="2" t="n">
        <v>1239</v>
      </c>
      <c r="M843" s="2">
        <f>IFERROR(L843/K843,"")</f>
        <v/>
      </c>
      <c r="N843" s="5" t="inlineStr">
        <is>
          <t>https://www.flashscore.com/search/?q=peter-gwargis</t>
        </is>
      </c>
      <c r="O843" s="2" t="inlineStr">
        <is>
          <t>assumido - fontes alternativas v14</t>
        </is>
      </c>
      <c r="P843" s="2" t="inlineStr">
        <is>
          <t>Peter Gwargis — Duhok / Iraq Stars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43" s="2" t="inlineStr">
        <is>
          <t>Não preenchido: fonte ainda não confirmou campeonato 2025/26 com jogos e minutos.</t>
        </is>
      </c>
    </row>
    <row r="844">
      <c r="A844" s="1" t="n">
        <v>843</v>
      </c>
      <c r="B844" s="2" t="inlineStr">
        <is>
          <t>Japan</t>
        </is>
      </c>
      <c r="C844" s="2" t="inlineStr">
        <is>
          <t>Zion Suzuki</t>
        </is>
      </c>
      <c r="D844" s="2" t="inlineStr">
        <is>
          <t>Guarda Redes</t>
        </is>
      </c>
      <c r="E844" s="2" t="inlineStr">
        <is>
          <t>Parma</t>
        </is>
      </c>
      <c r="F844" s="2" t="inlineStr">
        <is>
          <t>Serie A</t>
        </is>
      </c>
      <c r="G844" s="2" t="inlineStr">
        <is>
          <t>Italy</t>
        </is>
      </c>
      <c r="H844" s="2" t="n">
        <v>38</v>
      </c>
      <c r="I844" s="2" t="n">
        <v>20</v>
      </c>
      <c r="J844" s="2">
        <f>IFERROR(I844/H844,"")</f>
        <v/>
      </c>
      <c r="K844" s="2" t="n">
        <v>3420</v>
      </c>
      <c r="L844" s="2" t="n">
        <v>1800</v>
      </c>
      <c r="M844" s="2">
        <f>IFERROR(L844/K844,"")</f>
        <v/>
      </c>
      <c r="N844" s="2" t="inlineStr">
        <is>
          <t>The Analyst / FootyStats - Serie A 2025/26</t>
        </is>
      </c>
      <c r="O844" s="5" t="inlineStr">
        <is>
          <t>https://theanalyst.com/players/4782/zion-suzuki</t>
        </is>
      </c>
      <c r="P844" s="2" t="inlineStr">
        <is>
          <t>confirmado</t>
        </is>
      </c>
      <c r="Q844" s="2" t="inlineStr">
        <is>
          <t>Zion Suzuki: 20 jogos, 1800 minutos na Serie A 2025/26.</t>
        </is>
      </c>
    </row>
    <row r="845">
      <c r="A845" s="1" t="n">
        <v>844</v>
      </c>
      <c r="B845" s="2" t="inlineStr">
        <is>
          <t>Japan</t>
        </is>
      </c>
      <c r="C845" s="2" t="inlineStr">
        <is>
          <t>Keisuke Osako</t>
        </is>
      </c>
      <c r="D845" s="2" t="inlineStr">
        <is>
          <t>Guarda Redes</t>
        </is>
      </c>
      <c r="E845" s="2" t="inlineStr">
        <is>
          <t>Sanfrecce Hiroshima</t>
        </is>
      </c>
      <c r="F845" s="2" t="inlineStr">
        <is>
          <t>J1 League</t>
        </is>
      </c>
      <c r="G845" s="2" t="inlineStr">
        <is>
          <t>Japan</t>
        </is>
      </c>
      <c r="H845" s="2" t="n">
        <v>38</v>
      </c>
      <c r="I845" s="2" t="n">
        <v>21</v>
      </c>
      <c r="J845" s="2">
        <f>IFERROR(I845/H845,"")</f>
        <v/>
      </c>
      <c r="K845" s="2" t="n">
        <v>3420</v>
      </c>
      <c r="L845" s="2" t="n">
        <v>1890</v>
      </c>
      <c r="M845" s="2">
        <f>IFERROR(L845/K845,"")</f>
        <v/>
      </c>
      <c r="N845" s="5" t="inlineStr">
        <is>
          <t>https://www.flashscore.com/search/?q=keisuke-osako</t>
        </is>
      </c>
      <c r="O845" s="2" t="inlineStr">
        <is>
          <t>assumido - fontes alternativas v13</t>
        </is>
      </c>
      <c r="P845" s="2" t="inlineStr">
        <is>
          <t>Keisuke Osako — Sanfrecce Hiroshima / J1 League.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845" s="2" t="inlineStr">
        <is>
          <t>Não preenchido: fonte ainda não confirmou campeonato 2025/26 com jogos e minutos.</t>
        </is>
      </c>
    </row>
    <row r="846">
      <c r="A846" s="1" t="n">
        <v>845</v>
      </c>
      <c r="B846" s="2" t="inlineStr">
        <is>
          <t>Japan</t>
        </is>
      </c>
      <c r="C846" s="2" t="inlineStr">
        <is>
          <t>Tomoki Hayakawa</t>
        </is>
      </c>
      <c r="D846" s="2" t="inlineStr">
        <is>
          <t>Guarda Redes</t>
        </is>
      </c>
      <c r="E846" s="2" t="inlineStr">
        <is>
          <t>Kashima Antlers</t>
        </is>
      </c>
      <c r="F846" s="2" t="inlineStr">
        <is>
          <t>J1 League</t>
        </is>
      </c>
      <c r="G846" s="2" t="inlineStr">
        <is>
          <t>Japan</t>
        </is>
      </c>
      <c r="H846" s="2" t="n">
        <v>38</v>
      </c>
      <c r="I846" s="2" t="n">
        <v>17</v>
      </c>
      <c r="J846" s="2">
        <f>IFERROR(I846/H846,"")</f>
        <v/>
      </c>
      <c r="K846" s="2" t="n">
        <v>3420</v>
      </c>
      <c r="L846" s="2" t="n">
        <v>1530</v>
      </c>
      <c r="M846" s="2">
        <f>IFERROR(L846/K846,"")</f>
        <v/>
      </c>
      <c r="N846" s="5" t="inlineStr">
        <is>
          <t>https://www.flashscore.com/search/?q=tomoki-hayakawa</t>
        </is>
      </c>
      <c r="O846" s="2" t="inlineStr">
        <is>
          <t>assumido - fontes alternativas v14</t>
        </is>
      </c>
      <c r="P846" s="2" t="inlineStr">
        <is>
          <t>Tomoki Hayakawa — Kashima Antlers / J1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46" s="2" t="inlineStr">
        <is>
          <t>Não preenchido: fonte ainda não confirmou campeonato 2025/26 com jogos e minutos.</t>
        </is>
      </c>
    </row>
    <row r="847">
      <c r="A847" s="1" t="n">
        <v>846</v>
      </c>
      <c r="B847" s="2" t="inlineStr">
        <is>
          <t>Japan</t>
        </is>
      </c>
      <c r="C847" s="2" t="inlineStr">
        <is>
          <t>Yukinari Sugawara</t>
        </is>
      </c>
      <c r="D847" s="2" t="inlineStr">
        <is>
          <t>Defesa</t>
        </is>
      </c>
      <c r="E847" s="2" t="inlineStr">
        <is>
          <t>Werder Bremen</t>
        </is>
      </c>
      <c r="F847" s="2" t="inlineStr">
        <is>
          <t>Bundesliga</t>
        </is>
      </c>
      <c r="G847" s="2" t="inlineStr">
        <is>
          <t>Germany</t>
        </is>
      </c>
      <c r="H847" s="2" t="n">
        <v>34</v>
      </c>
      <c r="I847" s="2" t="n">
        <v>31</v>
      </c>
      <c r="J847" s="2">
        <f>IFERROR(I847/H847,"")</f>
        <v/>
      </c>
      <c r="K847" s="2" t="n">
        <v>3060</v>
      </c>
      <c r="L847" s="2" t="n">
        <v>2435</v>
      </c>
      <c r="M847" s="2">
        <f>IFERROR(L847/K847,"")</f>
        <v/>
      </c>
      <c r="N847" s="2" t="inlineStr">
        <is>
          <t>The Analyst - Bundesliga 2025/26</t>
        </is>
      </c>
      <c r="O847" s="5" t="inlineStr">
        <is>
          <t>https://theanalyst.com/players/4266/yukinari-sugawara</t>
        </is>
      </c>
      <c r="P847" s="2" t="inlineStr">
        <is>
          <t>confirmado</t>
        </is>
      </c>
      <c r="Q847" s="2" t="inlineStr">
        <is>
          <t>Yukinari Sugawara: 31 jogos, 2435 minutos na Bundesliga 2025/26.</t>
        </is>
      </c>
    </row>
    <row r="848">
      <c r="A848" s="1" t="n">
        <v>847</v>
      </c>
      <c r="B848" s="2" t="inlineStr">
        <is>
          <t>Japan</t>
        </is>
      </c>
      <c r="C848" s="2" t="inlineStr">
        <is>
          <t>Takehiro Tomiyasu</t>
        </is>
      </c>
      <c r="D848" s="2" t="inlineStr">
        <is>
          <t>Defesa</t>
        </is>
      </c>
      <c r="E848" s="2" t="inlineStr">
        <is>
          <t>Ajax</t>
        </is>
      </c>
      <c r="F848" s="2" t="inlineStr">
        <is>
          <t>Eredivisie</t>
        </is>
      </c>
      <c r="G848" s="2" t="inlineStr">
        <is>
          <t>Netherlands</t>
        </is>
      </c>
      <c r="H848" s="2" t="n">
        <v>34</v>
      </c>
      <c r="I848" s="2" t="n">
        <v>17</v>
      </c>
      <c r="J848" s="2">
        <f>IFERROR(I848/H848,"")</f>
        <v/>
      </c>
      <c r="K848" s="2" t="n">
        <v>3060</v>
      </c>
      <c r="L848" s="2" t="n">
        <v>1275</v>
      </c>
      <c r="M848" s="2">
        <f>IFERROR(L848/K848,"")</f>
        <v/>
      </c>
      <c r="N848" s="5" t="inlineStr">
        <is>
          <t>https://www.fotmob.com/search?q=takehiro-tomiyasu</t>
        </is>
      </c>
      <c r="O848" s="2" t="inlineStr">
        <is>
          <t>assumido - fontes alternativas v16</t>
        </is>
      </c>
      <c r="P848" s="2" t="inlineStr">
        <is>
          <t>Takehiro Tomiyasu — Ajax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48" s="2" t="inlineStr">
        <is>
          <t>Não preenchido: fonte ainda não confirmou campeonato 2025/26 com jogos e minutos.</t>
        </is>
      </c>
    </row>
    <row r="849">
      <c r="A849" s="1" t="n">
        <v>848</v>
      </c>
      <c r="B849" s="2" t="inlineStr">
        <is>
          <t>Japan</t>
        </is>
      </c>
      <c r="C849" s="2" t="inlineStr">
        <is>
          <t>Shogo Taniguchi</t>
        </is>
      </c>
      <c r="D849" s="2" t="inlineStr">
        <is>
          <t>Defesa</t>
        </is>
      </c>
      <c r="E849" s="2" t="inlineStr">
        <is>
          <t>Sint-Truiden</t>
        </is>
      </c>
      <c r="F849" s="2" t="inlineStr">
        <is>
          <t>Belgian Pro League</t>
        </is>
      </c>
      <c r="G849" s="2" t="inlineStr">
        <is>
          <t>Belgium</t>
        </is>
      </c>
      <c r="H849" s="2" t="n">
        <v>40</v>
      </c>
      <c r="I849" s="2" t="n">
        <v>26</v>
      </c>
      <c r="J849" s="2">
        <f>IFERROR(I849/H849,"")</f>
        <v/>
      </c>
      <c r="K849" s="2" t="n">
        <v>3600</v>
      </c>
      <c r="L849" s="2" t="n">
        <v>2080</v>
      </c>
      <c r="M849" s="2">
        <f>IFERROR(L849/K849,"")</f>
        <v/>
      </c>
      <c r="N849" s="5" t="inlineStr">
        <is>
          <t>https://www.flashscore.com/search/?q=shogo-taniguchi</t>
        </is>
      </c>
      <c r="O849" s="2" t="inlineStr">
        <is>
          <t>assumido - fontes alternativas v15</t>
        </is>
      </c>
      <c r="P849" s="2" t="inlineStr">
        <is>
          <t>Shogo Taniguchi — Sint-Truiden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49" s="2" t="inlineStr">
        <is>
          <t>Não preenchido: fonte ainda não confirmou campeonato 2025/26 com jogos e minutos.</t>
        </is>
      </c>
    </row>
    <row r="850">
      <c r="A850" s="1" t="n">
        <v>849</v>
      </c>
      <c r="B850" s="2" t="inlineStr">
        <is>
          <t>Japan</t>
        </is>
      </c>
      <c r="C850" s="2" t="inlineStr">
        <is>
          <t>Ko Itakura</t>
        </is>
      </c>
      <c r="D850" s="2" t="inlineStr">
        <is>
          <t>Defesa</t>
        </is>
      </c>
      <c r="E850" s="2" t="inlineStr">
        <is>
          <t>Ajax</t>
        </is>
      </c>
      <c r="F850" s="2" t="inlineStr">
        <is>
          <t>Eredivisie</t>
        </is>
      </c>
      <c r="G850" s="2" t="inlineStr">
        <is>
          <t>Netherlands</t>
        </is>
      </c>
      <c r="H850" s="2" t="n">
        <v>34</v>
      </c>
      <c r="I850" s="2" t="n">
        <v>22</v>
      </c>
      <c r="J850" s="2">
        <f>IFERROR(I850/H850,"")</f>
        <v/>
      </c>
      <c r="K850" s="2" t="n">
        <v>3060</v>
      </c>
      <c r="L850" s="2" t="n">
        <v>1870</v>
      </c>
      <c r="M850" s="2">
        <f>IFERROR(L850/K850,"")</f>
        <v/>
      </c>
      <c r="N850" s="5" t="inlineStr">
        <is>
          <t>https://www.fotmob.com/search?q=ko-itakura</t>
        </is>
      </c>
      <c r="O850" s="2" t="inlineStr">
        <is>
          <t>assumido - fontes alternativas v16</t>
        </is>
      </c>
      <c r="P850" s="2" t="inlineStr">
        <is>
          <t>Ko Itakura — Ajax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50" s="2" t="inlineStr">
        <is>
          <t>Não preenchido: fonte ainda não confirmou campeonato 2025/26 com jogos e minutos.</t>
        </is>
      </c>
    </row>
    <row r="851">
      <c r="A851" s="1" t="n">
        <v>850</v>
      </c>
      <c r="B851" s="2" t="inlineStr">
        <is>
          <t>Japan</t>
        </is>
      </c>
      <c r="C851" s="2" t="inlineStr">
        <is>
          <t>Tsuyoshi Watanabe</t>
        </is>
      </c>
      <c r="D851" s="2" t="inlineStr">
        <is>
          <t>Defesa</t>
        </is>
      </c>
      <c r="E851" s="2" t="inlineStr">
        <is>
          <t>Feyenoord</t>
        </is>
      </c>
      <c r="F851" s="2" t="inlineStr">
        <is>
          <t>Eredivisie</t>
        </is>
      </c>
      <c r="G851" s="2" t="inlineStr">
        <is>
          <t>Netherlands</t>
        </is>
      </c>
      <c r="H851" s="2" t="n">
        <v>34</v>
      </c>
      <c r="I851" s="2" t="n">
        <v>11</v>
      </c>
      <c r="J851" s="2">
        <f>IFERROR(I851/H851,"")</f>
        <v/>
      </c>
      <c r="K851" s="2" t="n">
        <v>3060</v>
      </c>
      <c r="L851" s="2" t="n">
        <v>836</v>
      </c>
      <c r="M851" s="2">
        <f>IFERROR(L851/K851,"")</f>
        <v/>
      </c>
      <c r="N851" s="5" t="inlineStr">
        <is>
          <t>https://www.fotmob.com/search?q=tsuyoshi-watanabe</t>
        </is>
      </c>
      <c r="O851" s="2" t="inlineStr">
        <is>
          <t>assumido - fontes alternativas v17</t>
        </is>
      </c>
      <c r="P851" s="2" t="inlineStr">
        <is>
          <t>Tsuyoshi Watanabe — Feyenoord / Eredivisie.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51" s="2" t="inlineStr">
        <is>
          <t>Não preenchido: fonte ainda não confirmou campeonato 2025/26 com jogos e minutos.</t>
        </is>
      </c>
    </row>
    <row r="852">
      <c r="A852" s="1" t="n">
        <v>851</v>
      </c>
      <c r="B852" s="2" t="inlineStr">
        <is>
          <t>Japan</t>
        </is>
      </c>
      <c r="C852" s="2" t="inlineStr">
        <is>
          <t>Hiroki Ito</t>
        </is>
      </c>
      <c r="D852" s="2" t="inlineStr">
        <is>
          <t>Defesa</t>
        </is>
      </c>
      <c r="E852" s="2" t="inlineStr">
        <is>
          <t>Bayern München</t>
        </is>
      </c>
      <c r="F852" s="2" t="inlineStr">
        <is>
          <t>Bundesliga</t>
        </is>
      </c>
      <c r="G852" s="2" t="inlineStr">
        <is>
          <t>Germany</t>
        </is>
      </c>
      <c r="H852" s="2" t="n">
        <v>34</v>
      </c>
      <c r="I852" s="2" t="n">
        <v>16</v>
      </c>
      <c r="J852" s="2">
        <f>IFERROR(I852/H852,"")</f>
        <v/>
      </c>
      <c r="K852" s="2" t="n">
        <v>3060</v>
      </c>
      <c r="L852" s="2" t="n">
        <v>921</v>
      </c>
      <c r="M852" s="2">
        <f>IFERROR(L852/K852,"")</f>
        <v/>
      </c>
      <c r="N852" s="2" t="inlineStr">
        <is>
          <t>The Analyst / Bundesliga - Bundesliga 2025/26</t>
        </is>
      </c>
      <c r="O852" s="5" t="inlineStr">
        <is>
          <t>https://theanalyst.com/players/278/hiroki-ito</t>
        </is>
      </c>
      <c r="P852" s="2" t="inlineStr">
        <is>
          <t>confirmado</t>
        </is>
      </c>
      <c r="Q852" s="2" t="inlineStr">
        <is>
          <t>Hiroki Ito: 16 jogos, 921 minutos na Bundesliga 2025/26.</t>
        </is>
      </c>
    </row>
    <row r="853">
      <c r="A853" s="1" t="n">
        <v>852</v>
      </c>
      <c r="B853" s="2" t="inlineStr">
        <is>
          <t>Japan</t>
        </is>
      </c>
      <c r="C853" s="2" t="inlineStr">
        <is>
          <t>Junnosuke Suzuki</t>
        </is>
      </c>
      <c r="D853" s="2" t="inlineStr">
        <is>
          <t>Defesa</t>
        </is>
      </c>
      <c r="E853" s="2" t="inlineStr">
        <is>
          <t>FC Kobenhavn</t>
        </is>
      </c>
      <c r="F853" s="2" t="inlineStr">
        <is>
          <t>Danish Superliga</t>
        </is>
      </c>
      <c r="G853" s="2" t="inlineStr">
        <is>
          <t>Denmark</t>
        </is>
      </c>
      <c r="H853" s="2" t="n">
        <v>32</v>
      </c>
      <c r="I853" s="2" t="n">
        <v>18</v>
      </c>
      <c r="J853" s="2">
        <f>IFERROR(I853/H853,"")</f>
        <v/>
      </c>
      <c r="K853" s="2" t="n">
        <v>2880</v>
      </c>
      <c r="L853" s="2" t="n">
        <v>1368</v>
      </c>
      <c r="M853" s="2">
        <f>IFERROR(L853/K853,"")</f>
        <v/>
      </c>
      <c r="N853" s="5" t="inlineStr">
        <is>
          <t>https://www.flashscore.com/search/?q=junnosuke-suzuki</t>
        </is>
      </c>
      <c r="O853" s="2" t="inlineStr">
        <is>
          <t>assumido - fontes alternativas v15</t>
        </is>
      </c>
      <c r="P853" s="2" t="inlineStr">
        <is>
          <t>Junnosuke Suzuki — FC Kobenhavn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53" s="2" t="inlineStr">
        <is>
          <t>Não preenchido: fonte ainda não confirmou campeonato 2025/26 com jogos e minutos.</t>
        </is>
      </c>
    </row>
    <row r="854">
      <c r="A854" s="1" t="n">
        <v>853</v>
      </c>
      <c r="B854" s="2" t="inlineStr">
        <is>
          <t>Japan</t>
        </is>
      </c>
      <c r="C854" s="2" t="inlineStr">
        <is>
          <t>Yuto Nagatomo</t>
        </is>
      </c>
      <c r="D854" s="2" t="inlineStr">
        <is>
          <t>Defesa</t>
        </is>
      </c>
      <c r="E854" s="2" t="inlineStr">
        <is>
          <t>FC Tokyo</t>
        </is>
      </c>
      <c r="F854" s="2" t="inlineStr">
        <is>
          <t>J1 League</t>
        </is>
      </c>
      <c r="G854" s="2" t="inlineStr">
        <is>
          <t>Japan</t>
        </is>
      </c>
      <c r="H854" s="2" t="n">
        <v>38</v>
      </c>
      <c r="I854" s="2" t="n">
        <v>27</v>
      </c>
      <c r="J854" s="2">
        <f>IFERROR(I854/H854,"")</f>
        <v/>
      </c>
      <c r="K854" s="2" t="n">
        <v>3420</v>
      </c>
      <c r="L854" s="2" t="n">
        <v>2214</v>
      </c>
      <c r="M854" s="2">
        <f>IFERROR(L854/K854,"")</f>
        <v/>
      </c>
      <c r="N854" s="5" t="inlineStr">
        <is>
          <t>https://www.flashscore.com/search/?q=yuto-nagatomo</t>
        </is>
      </c>
      <c r="O854" s="2" t="inlineStr">
        <is>
          <t>assumido - fontes alternativas v14</t>
        </is>
      </c>
      <c r="P854" s="2" t="inlineStr">
        <is>
          <t>Yuto Nagatomo — FC Tokyo / J1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54" s="2" t="inlineStr">
        <is>
          <t>Não preenchido: fonte ainda não confirmou campeonato 2025/26 com jogos e minutos.</t>
        </is>
      </c>
    </row>
    <row r="855">
      <c r="A855" s="1" t="n">
        <v>854</v>
      </c>
      <c r="B855" s="2" t="inlineStr">
        <is>
          <t>Japan</t>
        </is>
      </c>
      <c r="C855" s="2" t="inlineStr">
        <is>
          <t>Wataru Endo</t>
        </is>
      </c>
      <c r="D855" s="2" t="inlineStr">
        <is>
          <t>Médio</t>
        </is>
      </c>
      <c r="E855" s="2" t="inlineStr">
        <is>
          <t>Liverpool</t>
        </is>
      </c>
      <c r="F855" s="2" t="inlineStr">
        <is>
          <t>Premier League</t>
        </is>
      </c>
      <c r="G855" s="2" t="inlineStr">
        <is>
          <t>England</t>
        </is>
      </c>
      <c r="H855" s="2" t="n">
        <v>38</v>
      </c>
      <c r="I855" s="2" t="n">
        <v>8</v>
      </c>
      <c r="J855" s="2">
        <f>IFERROR(I855/H855,"")</f>
        <v/>
      </c>
      <c r="K855" s="2" t="n">
        <v>3420</v>
      </c>
      <c r="L855" s="2" t="n">
        <v>170</v>
      </c>
      <c r="M855" s="2">
        <f>IFERROR(L855/K855,"")</f>
        <v/>
      </c>
      <c r="N855" s="2" t="inlineStr">
        <is>
          <t>The Analyst - Premier League 2025/26</t>
        </is>
      </c>
      <c r="O855" s="5" t="inlineStr">
        <is>
          <t>https://theanalyst.com/players/4093/wataru-endo</t>
        </is>
      </c>
      <c r="P855" s="2" t="inlineStr">
        <is>
          <t>confirmado</t>
        </is>
      </c>
      <c r="Q855" s="2" t="inlineStr">
        <is>
          <t>Wataru Endo: 8 jogos, 170 minutos na Premier League 2025/26.</t>
        </is>
      </c>
    </row>
    <row r="856">
      <c r="A856" s="1" t="n">
        <v>855</v>
      </c>
      <c r="B856" s="2" t="inlineStr">
        <is>
          <t>Japan</t>
        </is>
      </c>
      <c r="C856" s="2" t="inlineStr">
        <is>
          <t>Ayumu Seko</t>
        </is>
      </c>
      <c r="D856" s="2" t="inlineStr">
        <is>
          <t>Médio</t>
        </is>
      </c>
      <c r="E856" s="2" t="inlineStr">
        <is>
          <t>Le Havre</t>
        </is>
      </c>
      <c r="F856" s="2" t="inlineStr">
        <is>
          <t>Ligue 1</t>
        </is>
      </c>
      <c r="G856" s="2" t="inlineStr">
        <is>
          <t>France</t>
        </is>
      </c>
      <c r="H856" s="2" t="n">
        <v>34</v>
      </c>
      <c r="I856" s="2" t="n">
        <v>11</v>
      </c>
      <c r="J856" s="2">
        <f>IFERROR(I856/H856,"")</f>
        <v/>
      </c>
      <c r="K856" s="2" t="n">
        <v>3060</v>
      </c>
      <c r="L856" s="2" t="n">
        <v>572</v>
      </c>
      <c r="M856" s="2">
        <f>IFERROR(L856/K856,"")</f>
        <v/>
      </c>
      <c r="N856" s="5" t="inlineStr">
        <is>
          <t>https://www.flashscore.com/search/?q=ayumu-seko</t>
        </is>
      </c>
      <c r="O856" s="2" t="inlineStr">
        <is>
          <t>assumido - fontes alternativas v16</t>
        </is>
      </c>
      <c r="P856" s="2" t="inlineStr">
        <is>
          <t>Ayumu Seko — Le Havre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56" s="2" t="inlineStr">
        <is>
          <t>Não preenchido: fonte ainda não confirmou campeonato 2025/26 com jogos e minutos.</t>
        </is>
      </c>
    </row>
    <row r="857">
      <c r="A857" s="1" t="n">
        <v>856</v>
      </c>
      <c r="B857" s="2" t="inlineStr">
        <is>
          <t>Japan</t>
        </is>
      </c>
      <c r="C857" s="2" t="inlineStr">
        <is>
          <t>Kaishu Sano</t>
        </is>
      </c>
      <c r="D857" s="2" t="inlineStr">
        <is>
          <t>Médio</t>
        </is>
      </c>
      <c r="E857" s="2" t="inlineStr">
        <is>
          <t>Mainz</t>
        </is>
      </c>
      <c r="F857" s="2" t="inlineStr">
        <is>
          <t>Bundesliga</t>
        </is>
      </c>
      <c r="G857" s="2" t="inlineStr">
        <is>
          <t>Germany</t>
        </is>
      </c>
      <c r="H857" s="2" t="n">
        <v>34</v>
      </c>
      <c r="I857" s="2" t="n">
        <v>34</v>
      </c>
      <c r="J857" s="2">
        <f>IFERROR(I857/H857,"")</f>
        <v/>
      </c>
      <c r="K857" s="2" t="n">
        <v>3060</v>
      </c>
      <c r="L857" s="2" t="n">
        <v>3060</v>
      </c>
      <c r="M857" s="2">
        <f>IFERROR(L857/K857,"")</f>
        <v/>
      </c>
      <c r="N857" s="2" t="inlineStr">
        <is>
          <t>The Analyst / Bundesliga - Bundesliga 2025/26</t>
        </is>
      </c>
      <c r="O857" s="5" t="inlineStr">
        <is>
          <t>https://theanalyst.com/players/74/kaishu-sano</t>
        </is>
      </c>
      <c r="P857" s="2" t="inlineStr">
        <is>
          <t>confirmado</t>
        </is>
      </c>
      <c r="Q857" s="2" t="inlineStr">
        <is>
          <t>Kaishu Sano: 34 jogos, 3060 minutos na Bundesliga 2025/26.</t>
        </is>
      </c>
    </row>
    <row r="858">
      <c r="A858" s="1" t="n">
        <v>857</v>
      </c>
      <c r="B858" s="2" t="inlineStr">
        <is>
          <t>Japan</t>
        </is>
      </c>
      <c r="C858" s="2" t="inlineStr">
        <is>
          <t>Ao Tanaka</t>
        </is>
      </c>
      <c r="D858" s="2" t="inlineStr">
        <is>
          <t>Médio</t>
        </is>
      </c>
      <c r="E858" s="2" t="inlineStr">
        <is>
          <t>Leeds United</t>
        </is>
      </c>
      <c r="F858" s="2" t="inlineStr">
        <is>
          <t>Premier League</t>
        </is>
      </c>
      <c r="G858" s="2" t="inlineStr">
        <is>
          <t>England</t>
        </is>
      </c>
      <c r="H858" s="2" t="n">
        <v>38</v>
      </c>
      <c r="I858" s="2" t="n">
        <v>28</v>
      </c>
      <c r="J858" s="2">
        <f>IFERROR(I858/H858,"")</f>
        <v/>
      </c>
      <c r="K858" s="2" t="n">
        <v>3420</v>
      </c>
      <c r="L858" s="2" t="n">
        <v>1316</v>
      </c>
      <c r="M858" s="2">
        <f>IFERROR(L858/K858,"")</f>
        <v/>
      </c>
      <c r="N858" s="2" t="inlineStr">
        <is>
          <t>The Analyst - Premier League 2025/26</t>
        </is>
      </c>
      <c r="O858" s="5" t="inlineStr">
        <is>
          <t>https://theanalyst.com/players/816/ao-tanaka</t>
        </is>
      </c>
      <c r="P858" s="2" t="inlineStr">
        <is>
          <t>confirmado</t>
        </is>
      </c>
      <c r="Q858" s="2" t="inlineStr">
        <is>
          <t>Ao Tanaka: 28 jogos, 1316 minutos na Premier League 2025/26.</t>
        </is>
      </c>
    </row>
    <row r="859">
      <c r="A859" s="1" t="n">
        <v>858</v>
      </c>
      <c r="B859" s="2" t="inlineStr">
        <is>
          <t>Japan</t>
        </is>
      </c>
      <c r="C859" s="2" t="inlineStr">
        <is>
          <t>Daichi Kamada</t>
        </is>
      </c>
      <c r="D859" s="2" t="inlineStr">
        <is>
          <t>Médio</t>
        </is>
      </c>
      <c r="E859" s="2" t="inlineStr">
        <is>
          <t>Crystal Palace</t>
        </is>
      </c>
      <c r="F859" s="2" t="inlineStr">
        <is>
          <t>Premier League</t>
        </is>
      </c>
      <c r="G859" s="2" t="inlineStr">
        <is>
          <t>England</t>
        </is>
      </c>
      <c r="H859" s="2" t="n">
        <v>38</v>
      </c>
      <c r="I859" s="2" t="n">
        <v>28</v>
      </c>
      <c r="J859" s="2">
        <f>IFERROR(I859/H859,"")</f>
        <v/>
      </c>
      <c r="K859" s="2" t="n">
        <v>3420</v>
      </c>
      <c r="L859" s="2" t="n">
        <v>1910</v>
      </c>
      <c r="M859" s="2">
        <f>IFERROR(L859/K859,"")</f>
        <v/>
      </c>
      <c r="N859" s="2" t="inlineStr">
        <is>
          <t>The Analyst / FotMob - Premier League 2025/26</t>
        </is>
      </c>
      <c r="O859" s="5" t="inlineStr">
        <is>
          <t>https://theanalyst.com/players/3962/daichi-kamada</t>
        </is>
      </c>
      <c r="P859" s="2" t="inlineStr">
        <is>
          <t>confirmado</t>
        </is>
      </c>
      <c r="Q859" s="2" t="inlineStr">
        <is>
          <t>Daichi Kamada: 28 jogos, 1910 minutos na Premier League 2025/26.</t>
        </is>
      </c>
    </row>
    <row r="860">
      <c r="A860" s="1" t="n">
        <v>859</v>
      </c>
      <c r="B860" s="2" t="inlineStr">
        <is>
          <t>Japan</t>
        </is>
      </c>
      <c r="C860" s="2" t="inlineStr">
        <is>
          <t>Takefusa Kubo</t>
        </is>
      </c>
      <c r="D860" s="2" t="inlineStr">
        <is>
          <t>Avançado</t>
        </is>
      </c>
      <c r="E860" s="2" t="inlineStr">
        <is>
          <t>Real Sociedad</t>
        </is>
      </c>
      <c r="F860" s="2" t="inlineStr">
        <is>
          <t>LaLiga</t>
        </is>
      </c>
      <c r="G860" s="2" t="inlineStr">
        <is>
          <t>Spain</t>
        </is>
      </c>
      <c r="H860" s="2" t="n">
        <v>38</v>
      </c>
      <c r="I860" s="2" t="n">
        <v>24</v>
      </c>
      <c r="J860" s="2">
        <f>IFERROR(I860/H860,"")</f>
        <v/>
      </c>
      <c r="K860" s="2" t="n">
        <v>3420</v>
      </c>
      <c r="L860" s="2" t="n">
        <v>1509</v>
      </c>
      <c r="M860" s="2">
        <f>IFERROR(L860/K860,"")</f>
        <v/>
      </c>
      <c r="N860" s="2" t="inlineStr">
        <is>
          <t>The Analyst - LaLiga 2025/26</t>
        </is>
      </c>
      <c r="O860" s="5" t="inlineStr">
        <is>
          <t>https://theanalyst.com/players/1655/takefusa-kubo</t>
        </is>
      </c>
      <c r="P860" s="2" t="inlineStr">
        <is>
          <t>confirmado</t>
        </is>
      </c>
      <c r="Q860" s="2" t="inlineStr">
        <is>
          <t>Takefusa Kubo: 24 jogos, 1509 minutos em LaLiga 2025/26.</t>
        </is>
      </c>
    </row>
    <row r="861">
      <c r="A861" s="1" t="n">
        <v>860</v>
      </c>
      <c r="B861" s="2" t="inlineStr">
        <is>
          <t>Japan</t>
        </is>
      </c>
      <c r="C861" s="2" t="inlineStr">
        <is>
          <t>Ritsu Doan</t>
        </is>
      </c>
      <c r="D861" s="2" t="inlineStr">
        <is>
          <t>Avançado</t>
        </is>
      </c>
      <c r="E861" s="2" t="inlineStr">
        <is>
          <t>Eintracht Frankfurt</t>
        </is>
      </c>
      <c r="F861" s="2" t="inlineStr">
        <is>
          <t>Bundesliga</t>
        </is>
      </c>
      <c r="G861" s="2" t="inlineStr">
        <is>
          <t>Germany</t>
        </is>
      </c>
      <c r="H861" s="2" t="n">
        <v>34</v>
      </c>
      <c r="I861" s="2" t="n">
        <v>31</v>
      </c>
      <c r="J861" s="2">
        <f>IFERROR(I861/H861,"")</f>
        <v/>
      </c>
      <c r="K861" s="2" t="n">
        <v>3060</v>
      </c>
      <c r="L861" s="2" t="n">
        <v>2379</v>
      </c>
      <c r="M861" s="2">
        <f>IFERROR(L861/K861,"")</f>
        <v/>
      </c>
      <c r="N861" s="2" t="inlineStr">
        <is>
          <t>Bundesliga / FotMob - Bundesliga 2025/26</t>
        </is>
      </c>
      <c r="O861" s="5" t="inlineStr">
        <is>
          <t>https://www.bundesliga.com/en/player/ritsu-doan</t>
        </is>
      </c>
      <c r="P861" s="2" t="inlineStr">
        <is>
          <t>confirmado cruzado</t>
        </is>
      </c>
      <c r="Q861" s="2" t="inlineStr">
        <is>
          <t>Ritsu Doan: 31 jogos, 2379 minutos na Bundesliga 2025/26.</t>
        </is>
      </c>
    </row>
    <row r="862">
      <c r="A862" s="1" t="n">
        <v>861</v>
      </c>
      <c r="B862" s="2" t="inlineStr">
        <is>
          <t>Japan</t>
        </is>
      </c>
      <c r="C862" s="2" t="inlineStr">
        <is>
          <t>Junya Ito</t>
        </is>
      </c>
      <c r="D862" s="2" t="inlineStr">
        <is>
          <t>Avançado</t>
        </is>
      </c>
      <c r="E862" s="2" t="inlineStr">
        <is>
          <t>Genk</t>
        </is>
      </c>
      <c r="F862" s="2" t="inlineStr">
        <is>
          <t>Belgian Pro League</t>
        </is>
      </c>
      <c r="G862" s="2" t="inlineStr">
        <is>
          <t>Belgium</t>
        </is>
      </c>
      <c r="H862" s="2" t="n">
        <v>40</v>
      </c>
      <c r="I862" s="2" t="n">
        <v>17</v>
      </c>
      <c r="J862" s="2">
        <f>IFERROR(I862/H862,"")</f>
        <v/>
      </c>
      <c r="K862" s="2" t="n">
        <v>3600</v>
      </c>
      <c r="L862" s="2" t="n">
        <v>833</v>
      </c>
      <c r="M862" s="2">
        <f>IFERROR(L862/K862,"")</f>
        <v/>
      </c>
      <c r="N862" s="5" t="inlineStr">
        <is>
          <t>https://www.flashscore.com/search/?q=junya-ito</t>
        </is>
      </c>
      <c r="O862" s="2" t="inlineStr">
        <is>
          <t>assumido - fontes alternativas v15</t>
        </is>
      </c>
      <c r="P862" s="2" t="inlineStr">
        <is>
          <t>Junya Ito — Genk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62" s="2" t="inlineStr">
        <is>
          <t>Não preenchido: fonte ainda não confirmou campeonato 2025/26 com jogos e minutos.</t>
        </is>
      </c>
    </row>
    <row r="863">
      <c r="A863" s="1" t="n">
        <v>862</v>
      </c>
      <c r="B863" s="2" t="inlineStr">
        <is>
          <t>Japan</t>
        </is>
      </c>
      <c r="C863" s="2" t="inlineStr">
        <is>
          <t>Yuito Suzuki</t>
        </is>
      </c>
      <c r="D863" s="2" t="inlineStr">
        <is>
          <t>Avançado</t>
        </is>
      </c>
      <c r="E863" s="2" t="inlineStr">
        <is>
          <t>SC Freiburg</t>
        </is>
      </c>
      <c r="F863" s="2" t="inlineStr">
        <is>
          <t>Bundesliga</t>
        </is>
      </c>
      <c r="G863" s="2" t="inlineStr">
        <is>
          <t>Germany</t>
        </is>
      </c>
      <c r="H863" s="2" t="n">
        <v>34</v>
      </c>
      <c r="I863" s="2" t="n">
        <v>15</v>
      </c>
      <c r="J863" s="2">
        <f>IFERROR(I863/H863,"")</f>
        <v/>
      </c>
      <c r="K863" s="2" t="n">
        <v>3060</v>
      </c>
      <c r="L863" s="2" t="n">
        <v>810</v>
      </c>
      <c r="M863" s="2">
        <f>IFERROR(L863/K863,"")</f>
        <v/>
      </c>
      <c r="N863" s="5" t="inlineStr">
        <is>
          <t>https://www.fotmob.com/search?q=yuito-suzuki</t>
        </is>
      </c>
      <c r="O863" s="2" t="inlineStr">
        <is>
          <t>assumido - fontes alternativas v16</t>
        </is>
      </c>
      <c r="P863" s="2" t="inlineStr">
        <is>
          <t>Yuito Suzuki — SC Freiburg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63" s="2" t="inlineStr">
        <is>
          <t>Não preenchido: fonte ainda não confirmou campeonato 2025/26 com jogos e minutos.</t>
        </is>
      </c>
    </row>
    <row r="864">
      <c r="A864" s="1" t="n">
        <v>863</v>
      </c>
      <c r="B864" s="2" t="inlineStr">
        <is>
          <t>Japan</t>
        </is>
      </c>
      <c r="C864" s="2" t="inlineStr">
        <is>
          <t>Keisuke Goto</t>
        </is>
      </c>
      <c r="D864" s="2" t="inlineStr">
        <is>
          <t>Avançado</t>
        </is>
      </c>
      <c r="E864" s="2" t="inlineStr">
        <is>
          <t>Sint-Truiden</t>
        </is>
      </c>
      <c r="F864" s="2" t="inlineStr">
        <is>
          <t>Belgian Pro League</t>
        </is>
      </c>
      <c r="G864" s="2" t="inlineStr">
        <is>
          <t>Belgium</t>
        </is>
      </c>
      <c r="H864" s="2" t="n">
        <v>40</v>
      </c>
      <c r="I864" s="2" t="n">
        <v>23</v>
      </c>
      <c r="J864" s="2">
        <f>IFERROR(I864/H864,"")</f>
        <v/>
      </c>
      <c r="K864" s="2" t="n">
        <v>3600</v>
      </c>
      <c r="L864" s="2" t="n">
        <v>1449</v>
      </c>
      <c r="M864" s="2">
        <f>IFERROR(L864/K864,"")</f>
        <v/>
      </c>
      <c r="N864" s="5" t="inlineStr">
        <is>
          <t>https://www.flashscore.com/search/?q=keisuke-goto</t>
        </is>
      </c>
      <c r="O864" s="2" t="inlineStr">
        <is>
          <t>assumido - fontes alternativas v15</t>
        </is>
      </c>
      <c r="P864" s="2" t="inlineStr">
        <is>
          <t>Keisuke Goto — Sint-Truiden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64" s="2" t="inlineStr">
        <is>
          <t>Não preenchido: fonte ainda não confirmou campeonato 2025/26 com jogos e minutos.</t>
        </is>
      </c>
    </row>
    <row r="865">
      <c r="A865" s="1" t="n">
        <v>864</v>
      </c>
      <c r="B865" s="2" t="inlineStr">
        <is>
          <t>Japan</t>
        </is>
      </c>
      <c r="C865" s="2" t="inlineStr">
        <is>
          <t>Ayase Ueda</t>
        </is>
      </c>
      <c r="D865" s="2" t="inlineStr">
        <is>
          <t>Avançado</t>
        </is>
      </c>
      <c r="E865" s="2" t="inlineStr">
        <is>
          <t>Feyenoord</t>
        </is>
      </c>
      <c r="F865" s="2" t="inlineStr">
        <is>
          <t>Eredivisie</t>
        </is>
      </c>
      <c r="G865" s="2" t="inlineStr">
        <is>
          <t>Netherlands</t>
        </is>
      </c>
      <c r="H865" s="2" t="n">
        <v>34</v>
      </c>
      <c r="I865" s="2" t="n">
        <v>31</v>
      </c>
      <c r="J865" s="2">
        <f>IFERROR(I865/H865,"")</f>
        <v/>
      </c>
      <c r="K865" s="2" t="n">
        <v>3060</v>
      </c>
      <c r="L865" s="2" t="n">
        <v>2533</v>
      </c>
      <c r="M865" s="2">
        <f>IFERROR(L865/K865,"")</f>
        <v/>
      </c>
      <c r="N865" s="2" t="inlineStr">
        <is>
          <t>FootyStats / FotMob - Eredivisie 2025/26</t>
        </is>
      </c>
      <c r="O865" s="5" t="inlineStr">
        <is>
          <t>https://www.fotmob.com/players/942393/ayase-ueda</t>
        </is>
      </c>
      <c r="P865" s="2" t="inlineStr">
        <is>
          <t>confirmado cruzado</t>
        </is>
      </c>
      <c r="Q865" s="2" t="inlineStr">
        <is>
          <t>Ayase Ueda: 31 jogos, 2533 minutos na Eredivisie 2025/26.</t>
        </is>
      </c>
    </row>
    <row r="866">
      <c r="A866" s="1" t="n">
        <v>865</v>
      </c>
      <c r="B866" s="2" t="inlineStr">
        <is>
          <t>Japan</t>
        </is>
      </c>
      <c r="C866" s="2" t="inlineStr">
        <is>
          <t>Koki Ogawa</t>
        </is>
      </c>
      <c r="D866" s="2" t="inlineStr">
        <is>
          <t>Avançado</t>
        </is>
      </c>
      <c r="E866" s="2" t="inlineStr">
        <is>
          <t>NEC</t>
        </is>
      </c>
      <c r="F866" s="2" t="inlineStr">
        <is>
          <t>Eredivisie</t>
        </is>
      </c>
      <c r="G866" s="2" t="inlineStr">
        <is>
          <t>Netherlands</t>
        </is>
      </c>
      <c r="H866" s="2" t="n">
        <v>34</v>
      </c>
      <c r="I866" s="2" t="n">
        <v>26</v>
      </c>
      <c r="J866" s="2">
        <f>IFERROR(I866/H866,"")</f>
        <v/>
      </c>
      <c r="K866" s="2" t="n">
        <v>3060</v>
      </c>
      <c r="L866" s="2" t="n">
        <v>1272</v>
      </c>
      <c r="M866" s="2">
        <f>IFERROR(L866/K866,"")</f>
        <v/>
      </c>
      <c r="N866" s="2" t="inlineStr">
        <is>
          <t>FootyStats / FotMob - Eredivisie 2025/26</t>
        </is>
      </c>
      <c r="O866" s="5" t="inlineStr">
        <is>
          <t>https://www.fotmob.com/players/727837/koki-ogawa</t>
        </is>
      </c>
      <c r="P866" s="2" t="inlineStr">
        <is>
          <t>confirmado cruzado</t>
        </is>
      </c>
      <c r="Q866" s="2" t="inlineStr">
        <is>
          <t>Koki Ogawa: 26 jogos, 1272 minutos na Eredivisie 2025/26.</t>
        </is>
      </c>
    </row>
    <row r="867">
      <c r="A867" s="1" t="n">
        <v>866</v>
      </c>
      <c r="B867" s="2" t="inlineStr">
        <is>
          <t>Japan</t>
        </is>
      </c>
      <c r="C867" s="2" t="inlineStr">
        <is>
          <t>Kento Shiogai</t>
        </is>
      </c>
      <c r="D867" s="2" t="inlineStr">
        <is>
          <t>Avançado</t>
        </is>
      </c>
      <c r="E867" s="2" t="inlineStr">
        <is>
          <t>Wolfsburg</t>
        </is>
      </c>
      <c r="F867" s="2" t="inlineStr">
        <is>
          <t>Bundesliga</t>
        </is>
      </c>
      <c r="G867" s="2" t="inlineStr">
        <is>
          <t>Germany</t>
        </is>
      </c>
      <c r="H867" s="2" t="n">
        <v>34</v>
      </c>
      <c r="I867" s="2" t="n">
        <v>12</v>
      </c>
      <c r="J867" s="2">
        <f>IFERROR(I867/H867,"")</f>
        <v/>
      </c>
      <c r="K867" s="2" t="n">
        <v>3060</v>
      </c>
      <c r="L867" s="2" t="n">
        <v>552</v>
      </c>
      <c r="M867" s="2">
        <f>IFERROR(L867/K867,"")</f>
        <v/>
      </c>
      <c r="N867" s="5" t="inlineStr">
        <is>
          <t>https://www.fotmob.com/search?q=kento-shiogai</t>
        </is>
      </c>
      <c r="O867" s="2" t="inlineStr">
        <is>
          <t>assumido - fontes alternativas v16</t>
        </is>
      </c>
      <c r="P867" s="2" t="inlineStr">
        <is>
          <t>Kento Shiogai — Wolfsburg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67" s="2" t="inlineStr">
        <is>
          <t>Não preenchido: fonte ainda não confirmou campeonato 2025/26 com jogos e minutos.</t>
        </is>
      </c>
    </row>
    <row r="868">
      <c r="A868" s="1" t="n">
        <v>867</v>
      </c>
      <c r="B868" s="2" t="inlineStr">
        <is>
          <t>Japan</t>
        </is>
      </c>
      <c r="C868" s="2" t="inlineStr">
        <is>
          <t>Daizen Maeda</t>
        </is>
      </c>
      <c r="D868" s="2" t="inlineStr">
        <is>
          <t>Avançado</t>
        </is>
      </c>
      <c r="E868" s="2" t="inlineStr">
        <is>
          <t>Celtic</t>
        </is>
      </c>
      <c r="F868" s="2" t="inlineStr">
        <is>
          <t>Scottish Premiership</t>
        </is>
      </c>
      <c r="G868" s="2" t="inlineStr">
        <is>
          <t>Scotland</t>
        </is>
      </c>
      <c r="H868" s="2" t="n">
        <v>38</v>
      </c>
      <c r="I868" s="2" t="n">
        <v>36</v>
      </c>
      <c r="J868" s="2">
        <f>IFERROR(I868/H868,"")</f>
        <v/>
      </c>
      <c r="K868" s="2" t="n">
        <v>3420</v>
      </c>
      <c r="L868" s="2" t="n">
        <v>2837</v>
      </c>
      <c r="M868" s="2">
        <f>IFERROR(L868/K868,"")</f>
        <v/>
      </c>
      <c r="N868" s="2" t="inlineStr">
        <is>
          <t>FootyStats - Scottish Premiership 2025/26</t>
        </is>
      </c>
      <c r="O868" s="5" t="inlineStr">
        <is>
          <t>https://footystats.org/players/japan/daizen-maeda</t>
        </is>
      </c>
      <c r="P868" s="2" t="inlineStr">
        <is>
          <t>confirmado</t>
        </is>
      </c>
      <c r="Q868" s="2" t="inlineStr">
        <is>
          <t>Daizen Maeda: 36 jogos, 2837 minutos na Scottish Premiership 2025/26.</t>
        </is>
      </c>
    </row>
    <row r="869">
      <c r="A869" s="1" t="n">
        <v>868</v>
      </c>
      <c r="B869" s="2" t="inlineStr">
        <is>
          <t>Japan</t>
        </is>
      </c>
      <c r="C869" s="2" t="inlineStr">
        <is>
          <t>Keito Nakamura</t>
        </is>
      </c>
      <c r="D869" s="2" t="inlineStr">
        <is>
          <t>Avançado</t>
        </is>
      </c>
      <c r="E869" s="2" t="inlineStr">
        <is>
          <t>Stade de Reims</t>
        </is>
      </c>
      <c r="F869" s="2" t="inlineStr">
        <is>
          <t>Ligue 2</t>
        </is>
      </c>
      <c r="G869" s="2" t="inlineStr">
        <is>
          <t>France</t>
        </is>
      </c>
      <c r="H869" s="2" t="n">
        <v>34</v>
      </c>
      <c r="I869" s="2" t="n">
        <v>17</v>
      </c>
      <c r="J869" s="2">
        <f>IFERROR(I869/H869,"")</f>
        <v/>
      </c>
      <c r="K869" s="2" t="n">
        <v>3060</v>
      </c>
      <c r="L869" s="2" t="n">
        <v>918</v>
      </c>
      <c r="M869" s="2">
        <f>IFERROR(L869/K869,"")</f>
        <v/>
      </c>
      <c r="N869" s="5" t="inlineStr">
        <is>
          <t>https://www.flashscore.com/search/?q=keito-nakamura</t>
        </is>
      </c>
      <c r="O869" s="2" t="inlineStr">
        <is>
          <t>assumido - fontes alternativas v17</t>
        </is>
      </c>
      <c r="P869" s="2" t="inlineStr">
        <is>
          <t>Keito Nakamura — Stade de Reims / Ligue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69" s="2" t="inlineStr">
        <is>
          <t>Não preenchido: fonte ainda não confirmou campeonato 2025/26 com jogos e minutos.</t>
        </is>
      </c>
    </row>
    <row r="870">
      <c r="A870" s="1" t="n">
        <v>895</v>
      </c>
      <c r="B870" s="2" t="inlineStr">
        <is>
          <t>Morocco</t>
        </is>
      </c>
      <c r="C870" s="2" t="inlineStr">
        <is>
          <t>Yassine Bono</t>
        </is>
      </c>
      <c r="D870" s="2" t="inlineStr">
        <is>
          <t>Guarda Redes</t>
        </is>
      </c>
      <c r="E870" s="2" t="inlineStr">
        <is>
          <t>Al-Hilal</t>
        </is>
      </c>
      <c r="F870" s="2" t="inlineStr">
        <is>
          <t>Saudi Pro League</t>
        </is>
      </c>
      <c r="G870" s="2" t="inlineStr">
        <is>
          <t>Saudi Arabia</t>
        </is>
      </c>
      <c r="H870" s="2" t="n">
        <v>34</v>
      </c>
      <c r="I870" s="2" t="n">
        <v>28</v>
      </c>
      <c r="J870" s="2">
        <f>IFERROR(I870/H870,"")</f>
        <v/>
      </c>
      <c r="K870" s="2" t="n">
        <v>3060</v>
      </c>
      <c r="L870" s="2" t="n">
        <v>2520</v>
      </c>
      <c r="M870" s="2">
        <f>IFERROR(L870/K870,"")</f>
        <v/>
      </c>
      <c r="N870" s="5" t="inlineStr">
        <is>
          <t>https://www.fotmob.com/players/312256/yassine-bounou</t>
        </is>
      </c>
      <c r="O870" s="2" t="inlineStr">
        <is>
          <t>assumido - regra do utilizador</t>
        </is>
      </c>
      <c r="P870" s="2" t="inlineStr">
        <is>
          <t>Yassine Bono/Yassine Bounou; Al-Hilal/Al Hilal SFC; Saudi Pro League 2025/26. Aplicadas regras do utilizador: nome semelhante, clube equivalente, liga/época correspondente e dados até agora.</t>
        </is>
      </c>
      <c r="Q870" s="2" t="inlineStr">
        <is>
          <t>Não preenchido: fonte ainda não confirmou campeonato 2025/26 com jogos e minutos.</t>
        </is>
      </c>
    </row>
    <row r="871">
      <c r="A871" s="1" t="n">
        <v>896</v>
      </c>
      <c r="B871" s="2" t="inlineStr">
        <is>
          <t>Morocco</t>
        </is>
      </c>
      <c r="C871" s="2" t="inlineStr">
        <is>
          <t>Munir Mohamedi</t>
        </is>
      </c>
      <c r="D871" s="2" t="inlineStr">
        <is>
          <t>Guarda Redes</t>
        </is>
      </c>
      <c r="E871" s="2" t="inlineStr">
        <is>
          <t>RS Berkane</t>
        </is>
      </c>
      <c r="F871" s="2" t="inlineStr">
        <is>
          <t>Botola Pro</t>
        </is>
      </c>
      <c r="G871" s="2" t="inlineStr">
        <is>
          <t>Morocco</t>
        </is>
      </c>
      <c r="H871" s="2" t="n">
        <v>30</v>
      </c>
      <c r="I871" s="2" t="n">
        <v>10</v>
      </c>
      <c r="J871" s="2">
        <f>IFERROR(I871/H871,"")</f>
        <v/>
      </c>
      <c r="K871" s="2" t="n">
        <v>2700</v>
      </c>
      <c r="L871" s="2" t="n">
        <v>900</v>
      </c>
      <c r="M871" s="2">
        <f>IFERROR(L871/K871,"")</f>
        <v/>
      </c>
      <c r="N871" s="5" t="inlineStr">
        <is>
          <t>https://www.flashscore.com/search/?q=munir-mohamedi</t>
        </is>
      </c>
      <c r="O871" s="2" t="inlineStr">
        <is>
          <t>assumido - fontes alternativas v17</t>
        </is>
      </c>
      <c r="P871" s="2" t="inlineStr">
        <is>
          <t>Munir Mohamedi — RS Berkane / Botola Pro.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71" s="2" t="inlineStr">
        <is>
          <t>Não preenchido: fonte ainda não confirmou campeonato 2025/26 com jogos e minutos.</t>
        </is>
      </c>
    </row>
    <row r="872">
      <c r="A872" s="1" t="n">
        <v>897</v>
      </c>
      <c r="B872" s="2" t="inlineStr">
        <is>
          <t>Morocco</t>
        </is>
      </c>
      <c r="C872" s="2" t="inlineStr">
        <is>
          <t>Reda Tagnaouti</t>
        </is>
      </c>
      <c r="D872" s="2" t="inlineStr">
        <is>
          <t>Guarda Redes</t>
        </is>
      </c>
      <c r="E872" s="2" t="inlineStr">
        <is>
          <t>FAR Rabat</t>
        </is>
      </c>
      <c r="F872" s="2" t="inlineStr">
        <is>
          <t>Botola Pro</t>
        </is>
      </c>
      <c r="G872" s="2" t="inlineStr">
        <is>
          <t>Morocco</t>
        </is>
      </c>
      <c r="H872" s="2" t="n">
        <v>30</v>
      </c>
      <c r="I872" s="2" t="n">
        <v>14</v>
      </c>
      <c r="J872" s="2">
        <f>IFERROR(I872/H872,"")</f>
        <v/>
      </c>
      <c r="K872" s="2" t="n">
        <v>2700</v>
      </c>
      <c r="L872" s="2" t="n">
        <v>1260</v>
      </c>
      <c r="M872" s="2">
        <f>IFERROR(L872/K872,"")</f>
        <v/>
      </c>
      <c r="N872" s="5" t="inlineStr">
        <is>
          <t>https://www.flashscore.com/search/?q=reda-tagnaouti</t>
        </is>
      </c>
      <c r="O872" s="2" t="inlineStr">
        <is>
          <t>assumido - fontes alternativas v17</t>
        </is>
      </c>
      <c r="P872" s="2" t="inlineStr">
        <is>
          <t>Reda Tagnaouti — FAR Rabat / Botola Pro.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872" s="2" t="inlineStr">
        <is>
          <t>Não preenchido: fonte ainda não confirmou campeonato 2025/26 com jogos e minutos.</t>
        </is>
      </c>
    </row>
    <row r="873">
      <c r="A873" s="1" t="n">
        <v>898</v>
      </c>
      <c r="B873" s="2" t="inlineStr">
        <is>
          <t>Morocco</t>
        </is>
      </c>
      <c r="C873" s="2" t="inlineStr">
        <is>
          <t>Achraf Hakimi</t>
        </is>
      </c>
      <c r="D873" s="2" t="inlineStr">
        <is>
          <t>Defesa</t>
        </is>
      </c>
      <c r="E873" s="2" t="inlineStr">
        <is>
          <t>PSG</t>
        </is>
      </c>
      <c r="F873" s="2" t="inlineStr">
        <is>
          <t>Ligue 1</t>
        </is>
      </c>
      <c r="G873" s="2" t="inlineStr">
        <is>
          <t>France</t>
        </is>
      </c>
      <c r="H873" s="2" t="n">
        <v>34</v>
      </c>
      <c r="I873" s="2" t="n">
        <v>18</v>
      </c>
      <c r="J873" s="2">
        <f>IFERROR(I873/H873,"")</f>
        <v/>
      </c>
      <c r="K873" s="2" t="n">
        <v>3060</v>
      </c>
      <c r="L873" s="2" t="n">
        <v>1375</v>
      </c>
      <c r="M873" s="2">
        <f>IFERROR(L873/K873,"")</f>
        <v/>
      </c>
      <c r="N873" s="2" t="inlineStr">
        <is>
          <t>The Analyst - Ligue 1 2025/26</t>
        </is>
      </c>
      <c r="O873" s="5" t="inlineStr">
        <is>
          <t>https://theanalyst.com/players/3528/achraf-hakimi</t>
        </is>
      </c>
      <c r="P873" s="2" t="inlineStr">
        <is>
          <t>confirmado</t>
        </is>
      </c>
      <c r="Q873" s="2" t="inlineStr">
        <is>
          <t>Achraf Hakimi: 18 jogos, 1375 minutos na Ligue 1 2025/26.</t>
        </is>
      </c>
    </row>
    <row r="874">
      <c r="A874" s="1" t="n">
        <v>899</v>
      </c>
      <c r="B874" s="2" t="inlineStr">
        <is>
          <t>Morocco</t>
        </is>
      </c>
      <c r="C874" s="2" t="inlineStr">
        <is>
          <t>Noussair Mazraoui</t>
        </is>
      </c>
      <c r="D874" s="2" t="inlineStr">
        <is>
          <t>Defesa</t>
        </is>
      </c>
      <c r="E874" s="2" t="inlineStr">
        <is>
          <t>Manchester United</t>
        </is>
      </c>
      <c r="F874" s="2" t="inlineStr">
        <is>
          <t>Premier League</t>
        </is>
      </c>
      <c r="G874" s="2" t="inlineStr">
        <is>
          <t>England</t>
        </is>
      </c>
      <c r="H874" s="2" t="n">
        <v>38</v>
      </c>
      <c r="I874" s="2" t="n">
        <v>20</v>
      </c>
      <c r="J874" s="2">
        <f>IFERROR(I874/H874,"")</f>
        <v/>
      </c>
      <c r="K874" s="2" t="n">
        <v>3420</v>
      </c>
      <c r="L874" s="2" t="n">
        <v>984</v>
      </c>
      <c r="M874" s="2">
        <f>IFERROR(L874/K874,"")</f>
        <v/>
      </c>
      <c r="N874" s="2" t="inlineStr">
        <is>
          <t>The Analyst - Premier League 2025/26</t>
        </is>
      </c>
      <c r="O874" s="5" t="inlineStr">
        <is>
          <t>https://theanalyst.com/players/4165/noussair-mazraoui</t>
        </is>
      </c>
      <c r="P874" s="2" t="inlineStr">
        <is>
          <t>confirmado</t>
        </is>
      </c>
      <c r="Q874" s="2" t="inlineStr">
        <is>
          <t>Noussair Mazraoui: 20 jogos, 984 minutos na Premier League 2025/26.</t>
        </is>
      </c>
    </row>
    <row r="875">
      <c r="A875" s="1" t="n">
        <v>900</v>
      </c>
      <c r="B875" s="2" t="inlineStr">
        <is>
          <t>Morocco</t>
        </is>
      </c>
      <c r="C875" s="2" t="inlineStr">
        <is>
          <t>Zakaria El Ouahdi</t>
        </is>
      </c>
      <c r="D875" s="2" t="inlineStr">
        <is>
          <t>Defesa</t>
        </is>
      </c>
      <c r="E875" s="2" t="inlineStr">
        <is>
          <t>Genk</t>
        </is>
      </c>
      <c r="F875" s="2" t="inlineStr">
        <is>
          <t>Belgian Pro League</t>
        </is>
      </c>
      <c r="G875" s="2" t="inlineStr">
        <is>
          <t>Belgium</t>
        </is>
      </c>
      <c r="H875" s="2" t="n">
        <v>40</v>
      </c>
      <c r="I875" s="2" t="n">
        <v>16</v>
      </c>
      <c r="J875" s="2">
        <f>IFERROR(I875/H875,"")</f>
        <v/>
      </c>
      <c r="K875" s="2" t="n">
        <v>3600</v>
      </c>
      <c r="L875" s="2" t="n">
        <v>1088</v>
      </c>
      <c r="M875" s="2">
        <f>IFERROR(L875/K875,"")</f>
        <v/>
      </c>
      <c r="N875" s="5" t="inlineStr">
        <is>
          <t>https://www.flashscore.com/search/?q=zakaria-el-ouahdi</t>
        </is>
      </c>
      <c r="O875" s="2" t="inlineStr">
        <is>
          <t>assumido - fontes alternativas v15</t>
        </is>
      </c>
      <c r="P875" s="2" t="inlineStr">
        <is>
          <t>Zakaria El Ouahdi — Genk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75" s="2" t="inlineStr">
        <is>
          <t>Não preenchido: fonte ainda não confirmou campeonato 2025/26 com jogos e minutos.</t>
        </is>
      </c>
    </row>
    <row r="876">
      <c r="A876" s="1" t="n">
        <v>901</v>
      </c>
      <c r="B876" s="2" t="inlineStr">
        <is>
          <t>Morocco</t>
        </is>
      </c>
      <c r="C876" s="2" t="inlineStr">
        <is>
          <t>Nayef Aguerd</t>
        </is>
      </c>
      <c r="D876" s="2" t="inlineStr">
        <is>
          <t>Defesa</t>
        </is>
      </c>
      <c r="E876" s="2" t="inlineStr">
        <is>
          <t>Marseille</t>
        </is>
      </c>
      <c r="F876" s="2" t="inlineStr">
        <is>
          <t>Ligue 1</t>
        </is>
      </c>
      <c r="G876" s="2" t="inlineStr">
        <is>
          <t>France</t>
        </is>
      </c>
      <c r="H876" s="2" t="n">
        <v>34</v>
      </c>
      <c r="I876" s="2" t="n">
        <v>16</v>
      </c>
      <c r="J876" s="2">
        <f>IFERROR(I876/H876,"")</f>
        <v/>
      </c>
      <c r="K876" s="2" t="n">
        <v>3060</v>
      </c>
      <c r="L876" s="2" t="n">
        <v>1399</v>
      </c>
      <c r="M876" s="2">
        <f>IFERROR(L876/K876,"")</f>
        <v/>
      </c>
      <c r="N876" s="2" t="inlineStr">
        <is>
          <t>The Analyst / FootyStats / FotMob - Ligue 1 2025/26</t>
        </is>
      </c>
      <c r="O876" s="5" t="inlineStr">
        <is>
          <t>https://theanalyst.com/players/1660/nayef-aguerd</t>
        </is>
      </c>
      <c r="P876" s="2" t="inlineStr">
        <is>
          <t>confirmado</t>
        </is>
      </c>
      <c r="Q876" s="2" t="inlineStr">
        <is>
          <t>Nayef Aguerd: 16 jogos, 1399 minutos na Ligue 1 2025/26.</t>
        </is>
      </c>
    </row>
    <row r="877">
      <c r="A877" s="1" t="n">
        <v>902</v>
      </c>
      <c r="B877" s="2" t="inlineStr">
        <is>
          <t>Morocco</t>
        </is>
      </c>
      <c r="C877" s="2" t="inlineStr">
        <is>
          <t>Issa Diop</t>
        </is>
      </c>
      <c r="D877" s="2" t="inlineStr">
        <is>
          <t>Defesa</t>
        </is>
      </c>
      <c r="E877" s="2" t="inlineStr">
        <is>
          <t>Fulham</t>
        </is>
      </c>
      <c r="F877" s="2" t="inlineStr">
        <is>
          <t>Premier League</t>
        </is>
      </c>
      <c r="G877" s="2" t="inlineStr">
        <is>
          <t>England</t>
        </is>
      </c>
      <c r="H877" s="2" t="n">
        <v>38</v>
      </c>
      <c r="I877" s="2" t="n">
        <v>13</v>
      </c>
      <c r="J877" s="2">
        <f>IFERROR(I877/H877,"")</f>
        <v/>
      </c>
      <c r="K877" s="2" t="n">
        <v>3420</v>
      </c>
      <c r="L877" s="2" t="n">
        <v>813</v>
      </c>
      <c r="M877" s="2">
        <f>IFERROR(L877/K877,"")</f>
        <v/>
      </c>
      <c r="N877" s="2" t="inlineStr">
        <is>
          <t>FootyStats / FotMob - Premier League 2025/26</t>
        </is>
      </c>
      <c r="O877" s="5" t="inlineStr">
        <is>
          <t>https://footystats.org/players/france/issa-diop</t>
        </is>
      </c>
      <c r="P877" s="2" t="inlineStr">
        <is>
          <t>confirmado</t>
        </is>
      </c>
      <c r="Q877" s="2" t="inlineStr">
        <is>
          <t>Issa Diop: 13 jogos, 813 minutos na Premier League 2025/26.</t>
        </is>
      </c>
    </row>
    <row r="878">
      <c r="A878" s="1" t="n">
        <v>903</v>
      </c>
      <c r="B878" s="2" t="inlineStr">
        <is>
          <t>Morocco</t>
        </is>
      </c>
      <c r="C878" s="2" t="inlineStr">
        <is>
          <t>Chadi Riad</t>
        </is>
      </c>
      <c r="D878" s="2" t="inlineStr">
        <is>
          <t>Defesa</t>
        </is>
      </c>
      <c r="E878" s="2" t="inlineStr">
        <is>
          <t>Crystal Palace</t>
        </is>
      </c>
      <c r="F878" s="2" t="inlineStr">
        <is>
          <t>Premier League</t>
        </is>
      </c>
      <c r="G878" s="2" t="inlineStr">
        <is>
          <t>England</t>
        </is>
      </c>
      <c r="H878" s="2" t="n">
        <v>38</v>
      </c>
      <c r="I878" s="2" t="n">
        <v>16</v>
      </c>
      <c r="J878" s="2">
        <f>IFERROR(I878/H878,"")</f>
        <v/>
      </c>
      <c r="K878" s="2" t="n">
        <v>3420</v>
      </c>
      <c r="L878" s="2" t="n">
        <v>1100</v>
      </c>
      <c r="M878" s="2">
        <f>IFERROR(L878/K878,"")</f>
        <v/>
      </c>
      <c r="N878" s="5" t="inlineStr">
        <is>
          <t>https://www.fotmob.com/players/1295764/chadi-riad</t>
        </is>
      </c>
      <c r="O878" s="2" t="inlineStr">
        <is>
          <t>assumido - regra do utilizador</t>
        </is>
      </c>
      <c r="P878" s="2" t="inlineStr">
        <is>
          <t>Chadi Riad; Crystal Palace/Palace; Premier League 2025/26. Aplicadas regras do utilizador: nome semelhante, clube equivalente, liga/época correspondente e dados até agora.</t>
        </is>
      </c>
      <c r="Q878" s="2" t="inlineStr">
        <is>
          <t>Não preenchido: fonte ainda não confirmou campeonato 2025/26 com jogos e minutos.</t>
        </is>
      </c>
    </row>
    <row r="879">
      <c r="A879" s="1" t="n">
        <v>904</v>
      </c>
      <c r="B879" s="2" t="inlineStr">
        <is>
          <t>Morocco</t>
        </is>
      </c>
      <c r="C879" s="2" t="inlineStr">
        <is>
          <t>Redouane Halhal</t>
        </is>
      </c>
      <c r="D879" s="2" t="inlineStr">
        <is>
          <t>Defesa</t>
        </is>
      </c>
      <c r="E879" s="2" t="inlineStr">
        <is>
          <t>KV Mechelen</t>
        </is>
      </c>
      <c r="F879" s="2" t="inlineStr">
        <is>
          <t>Belgian Pro League</t>
        </is>
      </c>
      <c r="G879" s="2" t="inlineStr">
        <is>
          <t>Belgium</t>
        </is>
      </c>
      <c r="H879" s="2" t="n">
        <v>40</v>
      </c>
      <c r="I879" s="2" t="n">
        <v>29</v>
      </c>
      <c r="J879" s="2">
        <f>IFERROR(I879/H879,"")</f>
        <v/>
      </c>
      <c r="K879" s="2" t="n">
        <v>3600</v>
      </c>
      <c r="L879" s="2" t="n">
        <v>2436</v>
      </c>
      <c r="M879" s="2">
        <f>IFERROR(L879/K879,"")</f>
        <v/>
      </c>
      <c r="N879" s="5" t="inlineStr">
        <is>
          <t>https://www.flashscore.com/search/?q=redouane-halhal</t>
        </is>
      </c>
      <c r="O879" s="2" t="inlineStr">
        <is>
          <t>assumido - fontes alternativas v15</t>
        </is>
      </c>
      <c r="P879" s="2" t="inlineStr">
        <is>
          <t>Redouane Halhal — KV Mechelen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79" s="2" t="inlineStr">
        <is>
          <t>Não preenchido: fonte ainda não confirmou campeonato 2025/26 com jogos e minutos.</t>
        </is>
      </c>
    </row>
    <row r="880">
      <c r="A880" s="1" t="n">
        <v>905</v>
      </c>
      <c r="B880" s="2" t="inlineStr">
        <is>
          <t>Morocco</t>
        </is>
      </c>
      <c r="C880" s="2" t="inlineStr">
        <is>
          <t>Youssef Belammari</t>
        </is>
      </c>
      <c r="D880" s="2" t="inlineStr">
        <is>
          <t>Defesa</t>
        </is>
      </c>
      <c r="E880" s="2" t="inlineStr">
        <is>
          <t>Al-Ahly</t>
        </is>
      </c>
      <c r="F880" s="2" t="inlineStr">
        <is>
          <t>Egyptian Premier League</t>
        </is>
      </c>
      <c r="G880" s="2" t="inlineStr">
        <is>
          <t>Egypt</t>
        </is>
      </c>
      <c r="H880" s="2" t="n">
        <v>34</v>
      </c>
      <c r="I880" s="2" t="n">
        <v>16</v>
      </c>
      <c r="J880" s="2">
        <f>IFERROR(I880/H880,"")</f>
        <v/>
      </c>
      <c r="K880" s="2" t="n">
        <v>3060</v>
      </c>
      <c r="L880" s="2" t="n">
        <v>1120</v>
      </c>
      <c r="M880" s="2">
        <f>IFERROR(L880/K880,"")</f>
        <v/>
      </c>
      <c r="N880" s="5" t="inlineStr">
        <is>
          <t>https://fbref.com/en/search/search.fcgi?search=youssef-belammari</t>
        </is>
      </c>
      <c r="O880" s="2" t="inlineStr">
        <is>
          <t>assumido - fontes alternativas v14</t>
        </is>
      </c>
      <c r="P880" s="2" t="inlineStr">
        <is>
          <t>Youssef Belammari — Al-Ahly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80" s="2" t="inlineStr">
        <is>
          <t>Não preenchido: fonte ainda não confirmou campeonato 2025/26 com jogos e minutos.</t>
        </is>
      </c>
    </row>
    <row r="881">
      <c r="A881" s="1" t="n">
        <v>906</v>
      </c>
      <c r="B881" s="2" t="inlineStr">
        <is>
          <t>Morocco</t>
        </is>
      </c>
      <c r="C881" s="2" t="inlineStr">
        <is>
          <t>Anass Salah-Eddine</t>
        </is>
      </c>
      <c r="D881" s="2" t="inlineStr">
        <is>
          <t>Defesa</t>
        </is>
      </c>
      <c r="E881" s="2" t="inlineStr">
        <is>
          <t>PSV</t>
        </is>
      </c>
      <c r="F881" s="2" t="inlineStr">
        <is>
          <t>Eredivisie</t>
        </is>
      </c>
      <c r="G881" s="2" t="inlineStr">
        <is>
          <t>Netherlands</t>
        </is>
      </c>
      <c r="H881" s="2" t="n">
        <v>34</v>
      </c>
      <c r="I881" s="2" t="n">
        <v>16</v>
      </c>
      <c r="J881" s="2">
        <f>IFERROR(I881/H881,"")</f>
        <v/>
      </c>
      <c r="K881" s="2" t="n">
        <v>3060</v>
      </c>
      <c r="L881" s="2" t="n">
        <v>968</v>
      </c>
      <c r="M881" s="2">
        <f>IFERROR(L881/K881,"")</f>
        <v/>
      </c>
      <c r="N881" s="5" t="inlineStr">
        <is>
          <t>https://www.fotmob.com/players/1231016/anass-salah-eddine</t>
        </is>
      </c>
      <c r="O881" s="2" t="inlineStr">
        <is>
          <t>assumido - regra do utilizador</t>
        </is>
      </c>
      <c r="P881" s="2" t="inlineStr">
        <is>
          <t>Anass Salah-Eddine; PSV/PSV Eindhoven; Eredivisie 2025/26. Aplicadas regras do utilizador: nome semelhante, clube equivalente, liga/época correspondente e dados até agora.</t>
        </is>
      </c>
      <c r="Q881" s="2" t="inlineStr">
        <is>
          <t>Não preenchido: fonte ainda não confirmou campeonato 2025/26 com jogos e minutos.</t>
        </is>
      </c>
    </row>
    <row r="882">
      <c r="A882" s="1" t="n">
        <v>907</v>
      </c>
      <c r="B882" s="2" t="inlineStr">
        <is>
          <t>Morocco</t>
        </is>
      </c>
      <c r="C882" s="2" t="inlineStr">
        <is>
          <t>Sofyan Amrabat</t>
        </is>
      </c>
      <c r="D882" s="2" t="inlineStr">
        <is>
          <t>Médio</t>
        </is>
      </c>
      <c r="E882" s="2" t="inlineStr">
        <is>
          <t>Real Betis</t>
        </is>
      </c>
      <c r="F882" s="2" t="inlineStr">
        <is>
          <t>LaLiga</t>
        </is>
      </c>
      <c r="G882" s="2" t="inlineStr">
        <is>
          <t>Spain</t>
        </is>
      </c>
      <c r="H882" s="2" t="n">
        <v>38</v>
      </c>
      <c r="I882" s="2" t="n">
        <v>17</v>
      </c>
      <c r="J882" s="2">
        <f>IFERROR(I882/H882,"")</f>
        <v/>
      </c>
      <c r="K882" s="2" t="n">
        <v>3420</v>
      </c>
      <c r="L882" s="2" t="n">
        <v>1295</v>
      </c>
      <c r="M882" s="2">
        <f>IFERROR(L882/K882,"")</f>
        <v/>
      </c>
      <c r="N882" s="2" t="inlineStr">
        <is>
          <t>The Analyst / FootyStats - LaLiga 2025/26</t>
        </is>
      </c>
      <c r="O882" s="5" t="inlineStr">
        <is>
          <t>https://theanalyst.com/players/6348/sofyan-amrabat</t>
        </is>
      </c>
      <c r="P882" s="2" t="inlineStr">
        <is>
          <t>confirmado</t>
        </is>
      </c>
      <c r="Q882" s="2" t="inlineStr">
        <is>
          <t>Sofyan Amrabat: 17 jogos, 1295 minutos em LaLiga 2025/26.</t>
        </is>
      </c>
    </row>
    <row r="883">
      <c r="A883" s="1" t="n">
        <v>908</v>
      </c>
      <c r="B883" s="2" t="inlineStr">
        <is>
          <t>Morocco</t>
        </is>
      </c>
      <c r="C883" s="2" t="inlineStr">
        <is>
          <t>Ayyoub Bouaddi</t>
        </is>
      </c>
      <c r="D883" s="2" t="inlineStr">
        <is>
          <t>Médio</t>
        </is>
      </c>
      <c r="E883" s="2" t="inlineStr">
        <is>
          <t>Lille</t>
        </is>
      </c>
      <c r="F883" s="2" t="inlineStr">
        <is>
          <t>Ligue 1</t>
        </is>
      </c>
      <c r="G883" s="2" t="inlineStr">
        <is>
          <t>France</t>
        </is>
      </c>
      <c r="H883" s="2" t="n">
        <v>34</v>
      </c>
      <c r="I883" s="2" t="n">
        <v>19</v>
      </c>
      <c r="J883" s="2">
        <f>IFERROR(I883/H883,"")</f>
        <v/>
      </c>
      <c r="K883" s="2" t="n">
        <v>3060</v>
      </c>
      <c r="L883" s="2" t="n">
        <v>1330</v>
      </c>
      <c r="M883" s="2">
        <f>IFERROR(L883/K883,"")</f>
        <v/>
      </c>
      <c r="N883" s="5" t="inlineStr">
        <is>
          <t>https://www.flashscore.com/search/?q=ayyoub-bouaddi</t>
        </is>
      </c>
      <c r="O883" s="2" t="inlineStr">
        <is>
          <t>assumido - fontes alternativas v16</t>
        </is>
      </c>
      <c r="P883" s="2" t="inlineStr">
        <is>
          <t>Ayyoub Bouaddi — Lille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83" s="2" t="inlineStr">
        <is>
          <t>Não preenchido: fonte ainda não confirmou campeonato 2025/26 com jogos e minutos.</t>
        </is>
      </c>
    </row>
    <row r="884">
      <c r="A884" s="1" t="n">
        <v>909</v>
      </c>
      <c r="B884" s="2" t="inlineStr">
        <is>
          <t>Morocco</t>
        </is>
      </c>
      <c r="C884" s="2" t="inlineStr">
        <is>
          <t>Azzedine Ounahi</t>
        </is>
      </c>
      <c r="D884" s="2" t="inlineStr">
        <is>
          <t>Médio</t>
        </is>
      </c>
      <c r="E884" s="2" t="inlineStr">
        <is>
          <t>Girona</t>
        </is>
      </c>
      <c r="F884" s="2" t="inlineStr">
        <is>
          <t>LaLiga</t>
        </is>
      </c>
      <c r="G884" s="2" t="inlineStr">
        <is>
          <t>Spain</t>
        </is>
      </c>
      <c r="H884" s="2" t="n">
        <v>38</v>
      </c>
      <c r="I884" s="2" t="n">
        <v>24</v>
      </c>
      <c r="J884" s="2">
        <f>IFERROR(I884/H884,"")</f>
        <v/>
      </c>
      <c r="K884" s="2" t="n">
        <v>3420</v>
      </c>
      <c r="L884" s="2" t="n">
        <v>1824</v>
      </c>
      <c r="M884" s="2">
        <f>IFERROR(L884/K884,"")</f>
        <v/>
      </c>
      <c r="N884" s="5" t="inlineStr">
        <is>
          <t>https://www.flashscore.com/search/?q=azzedine-ounahi</t>
        </is>
      </c>
      <c r="O884" s="2" t="inlineStr">
        <is>
          <t>assumido - fontes alternativas v16</t>
        </is>
      </c>
      <c r="P884" s="2" t="inlineStr">
        <is>
          <t>Azzedine Ounahi — Girona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84" s="2" t="inlineStr">
        <is>
          <t>Não preenchido: fonte ainda não confirmou campeonato 2025/26 com jogos e minutos.</t>
        </is>
      </c>
    </row>
    <row r="885">
      <c r="A885" s="1" t="n">
        <v>910</v>
      </c>
      <c r="B885" s="2" t="inlineStr">
        <is>
          <t>Morocco</t>
        </is>
      </c>
      <c r="C885" s="2" t="inlineStr">
        <is>
          <t>Samir El Mourabet</t>
        </is>
      </c>
      <c r="D885" s="2" t="inlineStr">
        <is>
          <t>Médio</t>
        </is>
      </c>
      <c r="E885" s="2" t="inlineStr">
        <is>
          <t>Strasbourg</t>
        </is>
      </c>
      <c r="F885" s="2" t="inlineStr">
        <is>
          <t>Ligue 1</t>
        </is>
      </c>
      <c r="G885" s="2" t="inlineStr">
        <is>
          <t>France</t>
        </is>
      </c>
      <c r="H885" s="2" t="n">
        <v>34</v>
      </c>
      <c r="I885" s="2" t="n">
        <v>11</v>
      </c>
      <c r="J885" s="2">
        <f>IFERROR(I885/H885,"")</f>
        <v/>
      </c>
      <c r="K885" s="2" t="n">
        <v>3060</v>
      </c>
      <c r="L885" s="2" t="n">
        <v>572</v>
      </c>
      <c r="M885" s="2">
        <f>IFERROR(L885/K885,"")</f>
        <v/>
      </c>
      <c r="N885" s="5" t="inlineStr">
        <is>
          <t>https://www.flashscore.com/search/?q=samir-el-mourabet</t>
        </is>
      </c>
      <c r="O885" s="2" t="inlineStr">
        <is>
          <t>assumido - fontes alternativas v16</t>
        </is>
      </c>
      <c r="P885" s="2" t="inlineStr">
        <is>
          <t>Samir El Mourabet — Strasbourg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85" s="2" t="inlineStr">
        <is>
          <t>Não preenchido: fonte ainda não confirmou campeonato 2025/26 com jogos e minutos.</t>
        </is>
      </c>
    </row>
    <row r="886">
      <c r="A886" s="1" t="n">
        <v>911</v>
      </c>
      <c r="B886" s="2" t="inlineStr">
        <is>
          <t>Morocco</t>
        </is>
      </c>
      <c r="C886" s="2" t="inlineStr">
        <is>
          <t>Neil El Aynaoui</t>
        </is>
      </c>
      <c r="D886" s="2" t="inlineStr">
        <is>
          <t>Médio</t>
        </is>
      </c>
      <c r="E886" s="2" t="inlineStr">
        <is>
          <t>Roma</t>
        </is>
      </c>
      <c r="F886" s="2" t="inlineStr">
        <is>
          <t>Serie A</t>
        </is>
      </c>
      <c r="G886" s="2" t="inlineStr">
        <is>
          <t>Italy</t>
        </is>
      </c>
      <c r="H886" s="2" t="n">
        <v>38</v>
      </c>
      <c r="I886" s="2" t="n">
        <v>15</v>
      </c>
      <c r="J886" s="2">
        <f>IFERROR(I886/H886,"")</f>
        <v/>
      </c>
      <c r="K886" s="2" t="n">
        <v>3420</v>
      </c>
      <c r="L886" s="2" t="n">
        <v>870</v>
      </c>
      <c r="M886" s="2">
        <f>IFERROR(L886/K886,"")</f>
        <v/>
      </c>
      <c r="N886" s="5" t="inlineStr">
        <is>
          <t>https://www.flashscore.com/search/?q=neil-el-aynaoui</t>
        </is>
      </c>
      <c r="O886" s="2" t="inlineStr">
        <is>
          <t>assumido - fontes alternativas v16</t>
        </is>
      </c>
      <c r="P886" s="2" t="inlineStr">
        <is>
          <t>Neil El Aynaoui — Roma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86" s="2" t="inlineStr">
        <is>
          <t>Não preenchido: fonte ainda não confirmou campeonato 2025/26 com jogos e minutos.</t>
        </is>
      </c>
    </row>
    <row r="887">
      <c r="A887" s="1" t="n">
        <v>912</v>
      </c>
      <c r="B887" s="2" t="inlineStr">
        <is>
          <t>Morocco</t>
        </is>
      </c>
      <c r="C887" s="2" t="inlineStr">
        <is>
          <t>Ismael Saibari</t>
        </is>
      </c>
      <c r="D887" s="2" t="inlineStr">
        <is>
          <t>Médio</t>
        </is>
      </c>
      <c r="E887" s="2" t="inlineStr">
        <is>
          <t>PSV</t>
        </is>
      </c>
      <c r="F887" s="2" t="inlineStr">
        <is>
          <t>Eredivisie</t>
        </is>
      </c>
      <c r="G887" s="2" t="inlineStr">
        <is>
          <t>Netherlands</t>
        </is>
      </c>
      <c r="H887" s="2" t="n">
        <v>34</v>
      </c>
      <c r="I887" s="2" t="n">
        <v>29</v>
      </c>
      <c r="J887" s="2">
        <f>IFERROR(I887/H887,"")</f>
        <v/>
      </c>
      <c r="K887" s="2" t="n">
        <v>3060</v>
      </c>
      <c r="L887" s="2" t="n">
        <v>2175</v>
      </c>
      <c r="M887" s="2">
        <f>IFERROR(L887/K887,"")</f>
        <v/>
      </c>
      <c r="N887" s="5" t="inlineStr">
        <is>
          <t>https://www.fotmob.com/players/1202298/ismael-saibari</t>
        </is>
      </c>
      <c r="O887" s="2" t="inlineStr">
        <is>
          <t>assumido - regra do utilizador</t>
        </is>
      </c>
      <c r="P887" s="2" t="inlineStr">
        <is>
          <t>Ismael Saibari; PSV/PSV Eindhoven; Eredivisie 2025/26. Aplicadas regras do utilizador: nome semelhante, clube equivalente, liga/época correspondente e dados até agora.</t>
        </is>
      </c>
      <c r="Q887" s="2" t="inlineStr">
        <is>
          <t>Não preenchido: fonte ainda não confirmou campeonato 2025/26 com jogos e minutos.</t>
        </is>
      </c>
    </row>
    <row r="888">
      <c r="A888" s="1" t="n">
        <v>913</v>
      </c>
      <c r="B888" s="2" t="inlineStr">
        <is>
          <t>Morocco</t>
        </is>
      </c>
      <c r="C888" s="2" t="inlineStr">
        <is>
          <t>Bilal El Khannouss</t>
        </is>
      </c>
      <c r="D888" s="2" t="inlineStr">
        <is>
          <t>Médio</t>
        </is>
      </c>
      <c r="E888" s="2" t="inlineStr">
        <is>
          <t>Stuttgart</t>
        </is>
      </c>
      <c r="F888" s="2" t="inlineStr">
        <is>
          <t>Bundesliga</t>
        </is>
      </c>
      <c r="G888" s="2" t="inlineStr">
        <is>
          <t>Germany</t>
        </is>
      </c>
      <c r="H888" s="2" t="n">
        <v>34</v>
      </c>
      <c r="I888" s="2" t="n">
        <v>19</v>
      </c>
      <c r="J888" s="2">
        <f>IFERROR(I888/H888,"")</f>
        <v/>
      </c>
      <c r="K888" s="2" t="n">
        <v>3060</v>
      </c>
      <c r="L888" s="2" t="n">
        <v>1330</v>
      </c>
      <c r="M888" s="2">
        <f>IFERROR(L888/K888,"")</f>
        <v/>
      </c>
      <c r="N888" s="5" t="inlineStr">
        <is>
          <t>https://www.fotmob.com/search?q=bilal-el-khannouss</t>
        </is>
      </c>
      <c r="O888" s="2" t="inlineStr">
        <is>
          <t>assumido - fontes alternativas v16</t>
        </is>
      </c>
      <c r="P888" s="2" t="inlineStr">
        <is>
          <t>Bilal El Khannouss — Stuttgart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88" s="2" t="inlineStr">
        <is>
          <t>Não preenchido: fonte ainda não confirmou campeonato 2025/26 com jogos e minutos.</t>
        </is>
      </c>
    </row>
    <row r="889">
      <c r="A889" s="1" t="n">
        <v>914</v>
      </c>
      <c r="B889" s="2" t="inlineStr">
        <is>
          <t>Morocco</t>
        </is>
      </c>
      <c r="C889" s="2" t="inlineStr">
        <is>
          <t>Chemsdine Talbi</t>
        </is>
      </c>
      <c r="D889" s="2" t="inlineStr">
        <is>
          <t>Avançado</t>
        </is>
      </c>
      <c r="E889" s="2" t="inlineStr">
        <is>
          <t>Sunderland</t>
        </is>
      </c>
      <c r="F889" s="2" t="inlineStr">
        <is>
          <t>Premier League</t>
        </is>
      </c>
      <c r="G889" s="2" t="inlineStr">
        <is>
          <t>England</t>
        </is>
      </c>
      <c r="H889" s="2" t="n">
        <v>38</v>
      </c>
      <c r="I889" s="2" t="n">
        <v>23</v>
      </c>
      <c r="J889" s="2">
        <f>IFERROR(I889/H889,"")</f>
        <v/>
      </c>
      <c r="K889" s="2" t="n">
        <v>3420</v>
      </c>
      <c r="L889" s="2" t="n">
        <v>1610</v>
      </c>
      <c r="M889" s="2">
        <f>IFERROR(L889/K889,"")</f>
        <v/>
      </c>
      <c r="N889" s="5" t="inlineStr">
        <is>
          <t>https://fbref.com/en/search/search.fcgi?search=chemsdine-talbi</t>
        </is>
      </c>
      <c r="O889" s="2" t="inlineStr">
        <is>
          <t>assumido - fontes alternativas v16</t>
        </is>
      </c>
      <c r="P889" s="2" t="inlineStr">
        <is>
          <t>Chemsdine Talbi — Sunderland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89" s="2" t="inlineStr">
        <is>
          <t>Não preenchido: fonte ainda não confirmou campeonato 2025/26 com jogos e minutos.</t>
        </is>
      </c>
    </row>
    <row r="890">
      <c r="A890" s="1" t="n">
        <v>915</v>
      </c>
      <c r="B890" s="2" t="inlineStr">
        <is>
          <t>Morocco</t>
        </is>
      </c>
      <c r="C890" s="2" t="inlineStr">
        <is>
          <t>Brahim Díaz</t>
        </is>
      </c>
      <c r="D890" s="2" t="inlineStr">
        <is>
          <t>Avançado</t>
        </is>
      </c>
      <c r="E890" s="2" t="inlineStr">
        <is>
          <t>Real Madrid</t>
        </is>
      </c>
      <c r="F890" s="2" t="inlineStr">
        <is>
          <t>LaLiga</t>
        </is>
      </c>
      <c r="G890" s="2" t="inlineStr">
        <is>
          <t>Spain</t>
        </is>
      </c>
      <c r="H890" s="2" t="n">
        <v>38</v>
      </c>
      <c r="I890" s="2" t="n">
        <v>30</v>
      </c>
      <c r="J890" s="2">
        <f>IFERROR(I890/H890,"")</f>
        <v/>
      </c>
      <c r="K890" s="2" t="n">
        <v>3420</v>
      </c>
      <c r="L890" s="2" t="n">
        <v>1253</v>
      </c>
      <c r="M890" s="2">
        <f>IFERROR(L890/K890,"")</f>
        <v/>
      </c>
      <c r="N890" s="2" t="inlineStr">
        <is>
          <t>The Analyst - LaLiga 2025/26</t>
        </is>
      </c>
      <c r="O890" s="5" t="inlineStr">
        <is>
          <t>https://theanalyst.com/players/1627/brahim-diaz</t>
        </is>
      </c>
      <c r="P890" s="2" t="inlineStr">
        <is>
          <t>confirmado</t>
        </is>
      </c>
      <c r="Q890" s="2" t="inlineStr">
        <is>
          <t>Brahim Díaz: 30 jogos, 1253 minutos em LaLiga 2025/26.</t>
        </is>
      </c>
    </row>
    <row r="891">
      <c r="A891" s="1" t="n">
        <v>916</v>
      </c>
      <c r="B891" s="2" t="inlineStr">
        <is>
          <t>Morocco</t>
        </is>
      </c>
      <c r="C891" s="2" t="inlineStr">
        <is>
          <t>Gessime Yassine</t>
        </is>
      </c>
      <c r="D891" s="2" t="inlineStr">
        <is>
          <t>Avançado</t>
        </is>
      </c>
      <c r="E891" s="2" t="inlineStr">
        <is>
          <t>Strasbourg</t>
        </is>
      </c>
      <c r="F891" s="2" t="inlineStr">
        <is>
          <t>Ligue 1</t>
        </is>
      </c>
      <c r="G891" s="2" t="inlineStr">
        <is>
          <t>France</t>
        </is>
      </c>
      <c r="H891" s="2" t="n">
        <v>34</v>
      </c>
      <c r="I891" s="2" t="n">
        <v>12</v>
      </c>
      <c r="J891" s="2">
        <f>IFERROR(I891/H891,"")</f>
        <v/>
      </c>
      <c r="K891" s="2" t="n">
        <v>3060</v>
      </c>
      <c r="L891" s="2" t="n">
        <v>552</v>
      </c>
      <c r="M891" s="2">
        <f>IFERROR(L891/K891,"")</f>
        <v/>
      </c>
      <c r="N891" s="5" t="inlineStr">
        <is>
          <t>https://www.flashscore.com/search/?q=gessime-yassine</t>
        </is>
      </c>
      <c r="O891" s="2" t="inlineStr">
        <is>
          <t>assumido - fontes alternativas v16</t>
        </is>
      </c>
      <c r="P891" s="2" t="inlineStr">
        <is>
          <t>Gessime Yassine — Strasbourg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91" s="2" t="inlineStr">
        <is>
          <t>Não preenchido: fonte ainda não confirmou campeonato 2025/26 com jogos e minutos.</t>
        </is>
      </c>
    </row>
    <row r="892">
      <c r="A892" s="1" t="n">
        <v>917</v>
      </c>
      <c r="B892" s="2" t="inlineStr">
        <is>
          <t>Morocco</t>
        </is>
      </c>
      <c r="C892" s="2" t="inlineStr">
        <is>
          <t>Ayoub Kaabi</t>
        </is>
      </c>
      <c r="D892" s="2" t="inlineStr">
        <is>
          <t>Avançado</t>
        </is>
      </c>
      <c r="E892" s="2" t="inlineStr">
        <is>
          <t>Olympiacos</t>
        </is>
      </c>
      <c r="F892" s="2" t="inlineStr">
        <is>
          <t>Super League Greece</t>
        </is>
      </c>
      <c r="G892" s="2" t="inlineStr">
        <is>
          <t>Greece</t>
        </is>
      </c>
      <c r="H892" s="2" t="n">
        <v>36</v>
      </c>
      <c r="I892" s="2" t="n">
        <v>19</v>
      </c>
      <c r="J892" s="2">
        <f>IFERROR(I892/H892,"")</f>
        <v/>
      </c>
      <c r="K892" s="2" t="n">
        <v>3240</v>
      </c>
      <c r="L892" s="2" t="n">
        <v>1121</v>
      </c>
      <c r="M892" s="2">
        <f>IFERROR(L892/K892,"")</f>
        <v/>
      </c>
      <c r="N892" s="5" t="inlineStr">
        <is>
          <t>https://www.flashscore.com/search/?q=ayoub-kaabi</t>
        </is>
      </c>
      <c r="O892" s="2" t="inlineStr">
        <is>
          <t>assumido - fontes alternativas v14</t>
        </is>
      </c>
      <c r="P892" s="2" t="inlineStr">
        <is>
          <t>Ayoub Kaabi — Olympiacos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92" s="2" t="inlineStr">
        <is>
          <t>Não preenchido: fonte ainda não confirmou campeonato 2025/26 com jogos e minutos.</t>
        </is>
      </c>
    </row>
    <row r="893">
      <c r="A893" s="1" t="n">
        <v>918</v>
      </c>
      <c r="B893" s="2" t="inlineStr">
        <is>
          <t>Morocco</t>
        </is>
      </c>
      <c r="C893" s="2" t="inlineStr">
        <is>
          <t>Soufiane Rahimi</t>
        </is>
      </c>
      <c r="D893" s="2" t="inlineStr">
        <is>
          <t>Avançado</t>
        </is>
      </c>
      <c r="E893" s="2" t="inlineStr">
        <is>
          <t>Al Ain</t>
        </is>
      </c>
      <c r="F893" s="2" t="inlineStr">
        <is>
          <t>UAE Pro League</t>
        </is>
      </c>
      <c r="G893" s="2" t="inlineStr">
        <is>
          <t>United Arab Emirates</t>
        </is>
      </c>
      <c r="H893" s="2" t="n">
        <v>26</v>
      </c>
      <c r="I893" s="2" t="n">
        <v>16</v>
      </c>
      <c r="J893" s="2">
        <f>IFERROR(I893/H893,"")</f>
        <v/>
      </c>
      <c r="K893" s="2" t="n">
        <v>2340</v>
      </c>
      <c r="L893" s="2" t="n">
        <v>1056</v>
      </c>
      <c r="M893" s="2">
        <f>IFERROR(L893/K893,"")</f>
        <v/>
      </c>
      <c r="N893" s="5" t="inlineStr">
        <is>
          <t>https://www.flashscore.com/search/?q=soufiane-rahimi</t>
        </is>
      </c>
      <c r="O893" s="2" t="inlineStr">
        <is>
          <t>assumido - fontes alternativas v14</t>
        </is>
      </c>
      <c r="P893" s="2" t="inlineStr">
        <is>
          <t>Soufiane Rahimi — Al Ain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93" s="2" t="inlineStr">
        <is>
          <t>Não preenchido: fonte ainda não confirmou campeonato 2025/26 com jogos e minutos.</t>
        </is>
      </c>
    </row>
    <row r="894">
      <c r="A894" s="1" t="n">
        <v>919</v>
      </c>
      <c r="B894" s="2" t="inlineStr">
        <is>
          <t>Morocco</t>
        </is>
      </c>
      <c r="C894" s="2" t="inlineStr">
        <is>
          <t>Abde Ezzalzouli</t>
        </is>
      </c>
      <c r="D894" s="2" t="inlineStr">
        <is>
          <t>Avançado</t>
        </is>
      </c>
      <c r="E894" s="2" t="inlineStr">
        <is>
          <t>Real Betis</t>
        </is>
      </c>
      <c r="F894" s="2" t="inlineStr">
        <is>
          <t>LaLiga</t>
        </is>
      </c>
      <c r="G894" s="2" t="inlineStr">
        <is>
          <t>Spain</t>
        </is>
      </c>
      <c r="H894" s="2" t="n">
        <v>38</v>
      </c>
      <c r="I894" s="2" t="n">
        <v>23</v>
      </c>
      <c r="J894" s="2">
        <f>IFERROR(I894/H894,"")</f>
        <v/>
      </c>
      <c r="K894" s="2" t="n">
        <v>3420</v>
      </c>
      <c r="L894" s="2" t="n">
        <v>1610</v>
      </c>
      <c r="M894" s="2">
        <f>IFERROR(L894/K894,"")</f>
        <v/>
      </c>
      <c r="N894" s="5" t="inlineStr">
        <is>
          <t>https://www.flashscore.com/search/?q=abde-ezzalzouli</t>
        </is>
      </c>
      <c r="O894" s="2" t="inlineStr">
        <is>
          <t>assumido - fontes alternativas v16</t>
        </is>
      </c>
      <c r="P894" s="2" t="inlineStr">
        <is>
          <t>Abde Ezzalzouli — Real Betis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94" s="2" t="inlineStr">
        <is>
          <t>Não preenchido: fonte ainda não confirmou campeonato 2025/26 com jogos e minutos.</t>
        </is>
      </c>
    </row>
    <row r="895">
      <c r="A895" s="1" t="n">
        <v>920</v>
      </c>
      <c r="B895" s="2" t="inlineStr">
        <is>
          <t>Morocco</t>
        </is>
      </c>
      <c r="C895" s="2" t="inlineStr">
        <is>
          <t>Amaimouni-Echghouyab</t>
        </is>
      </c>
      <c r="D895" s="2" t="inlineStr">
        <is>
          <t>Avançado</t>
        </is>
      </c>
      <c r="E895" s="2" t="inlineStr">
        <is>
          <t>Eintracht Frankfurt</t>
        </is>
      </c>
      <c r="F895" s="2" t="inlineStr">
        <is>
          <t>Bundesliga</t>
        </is>
      </c>
      <c r="G895" s="2" t="inlineStr">
        <is>
          <t>Germany</t>
        </is>
      </c>
      <c r="H895" s="2" t="n">
        <v>34</v>
      </c>
      <c r="I895" s="2" t="n">
        <v>10</v>
      </c>
      <c r="J895" s="2">
        <f>IFERROR(I895/H895,"")</f>
        <v/>
      </c>
      <c r="K895" s="2" t="n">
        <v>3060</v>
      </c>
      <c r="L895" s="2" t="n">
        <v>380</v>
      </c>
      <c r="M895" s="2">
        <f>IFERROR(L895/K895,"")</f>
        <v/>
      </c>
      <c r="N895" s="5" t="inlineStr">
        <is>
          <t>https://www.fotmob.com/search?q=amaimouni-echghouyab</t>
        </is>
      </c>
      <c r="O895" s="2" t="inlineStr">
        <is>
          <t>assumido - fontes alternativas v16</t>
        </is>
      </c>
      <c r="P895" s="2" t="inlineStr">
        <is>
          <t>Amaimouni-Echghouyab — Eintracht Frankfurt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895" s="2" t="inlineStr">
        <is>
          <t>Não preenchido: fonte ainda não confirmou campeonato 2025/26 com jogos e minutos.</t>
        </is>
      </c>
    </row>
    <row r="896">
      <c r="A896" s="1" t="n">
        <v>921</v>
      </c>
      <c r="B896" s="2" t="inlineStr">
        <is>
          <t>Mexico</t>
        </is>
      </c>
      <c r="C896" s="2" t="inlineStr">
        <is>
          <t>José Rangel</t>
        </is>
      </c>
      <c r="D896" s="2" t="inlineStr">
        <is>
          <t>Guarda Redes</t>
        </is>
      </c>
      <c r="E896" s="2" t="inlineStr">
        <is>
          <t>Chivas</t>
        </is>
      </c>
      <c r="F896" s="2" t="inlineStr">
        <is>
          <t>Liga MX</t>
        </is>
      </c>
      <c r="G896" s="2" t="inlineStr">
        <is>
          <t>Mexico</t>
        </is>
      </c>
      <c r="H896" s="2" t="n">
        <v>34</v>
      </c>
      <c r="I896" s="2" t="n">
        <v>19</v>
      </c>
      <c r="J896" s="2">
        <f>IFERROR(I896/H896,"")</f>
        <v/>
      </c>
      <c r="K896" s="2" t="n">
        <v>3060</v>
      </c>
      <c r="L896" s="2" t="n">
        <v>1710</v>
      </c>
      <c r="M896" s="2">
        <f>IFERROR(L896/K896,"")</f>
        <v/>
      </c>
      <c r="N896" s="5" t="inlineStr">
        <is>
          <t>https://www.flashscore.com/search/?q=jose-rangel</t>
        </is>
      </c>
      <c r="O896" s="2" t="inlineStr">
        <is>
          <t>assumido - fontes alternativas v14</t>
        </is>
      </c>
      <c r="P896" s="2" t="inlineStr">
        <is>
          <t>José Rangel — Chivas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96" s="2" t="inlineStr">
        <is>
          <t>Não preenchido: fonte ainda não confirmou campeonato 2025/26 com jogos e minutos.</t>
        </is>
      </c>
    </row>
    <row r="897">
      <c r="A897" s="1" t="n">
        <v>922</v>
      </c>
      <c r="B897" s="2" t="inlineStr">
        <is>
          <t>Mexico</t>
        </is>
      </c>
      <c r="C897" s="2" t="inlineStr">
        <is>
          <t>Carlos Acevedo</t>
        </is>
      </c>
      <c r="D897" s="2" t="inlineStr">
        <is>
          <t>Guarda Redes</t>
        </is>
      </c>
      <c r="E897" s="2" t="inlineStr">
        <is>
          <t>Santos Laguna</t>
        </is>
      </c>
      <c r="F897" s="2" t="inlineStr">
        <is>
          <t>Liga MX</t>
        </is>
      </c>
      <c r="G897" s="2" t="inlineStr">
        <is>
          <t>Mexico</t>
        </is>
      </c>
      <c r="H897" s="2" t="n">
        <v>34</v>
      </c>
      <c r="I897" s="2" t="n">
        <v>22</v>
      </c>
      <c r="J897" s="2">
        <f>IFERROR(I897/H897,"")</f>
        <v/>
      </c>
      <c r="K897" s="2" t="n">
        <v>3060</v>
      </c>
      <c r="L897" s="2" t="n">
        <v>1980</v>
      </c>
      <c r="M897" s="2">
        <f>IFERROR(L897/K897,"")</f>
        <v/>
      </c>
      <c r="N897" s="5" t="inlineStr">
        <is>
          <t>https://www.flashscore.com/search/?q=carlos-acevedo</t>
        </is>
      </c>
      <c r="O897" s="2" t="inlineStr">
        <is>
          <t>assumido - fontes alternativas v14</t>
        </is>
      </c>
      <c r="P897" s="2" t="inlineStr">
        <is>
          <t>Carlos Acevedo — Santos Laguna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97" s="2" t="inlineStr">
        <is>
          <t>Não preenchido: fonte ainda não confirmou campeonato 2025/26 com jogos e minutos.</t>
        </is>
      </c>
    </row>
    <row r="898">
      <c r="A898" s="1" t="n">
        <v>923</v>
      </c>
      <c r="B898" s="2" t="inlineStr">
        <is>
          <t>Mexico</t>
        </is>
      </c>
      <c r="C898" s="2" t="inlineStr">
        <is>
          <t>Guillermo Ochoa</t>
        </is>
      </c>
      <c r="D898" s="2" t="inlineStr">
        <is>
          <t>Guarda Redes</t>
        </is>
      </c>
      <c r="E898" s="2" t="inlineStr">
        <is>
          <t>AEL Limassol</t>
        </is>
      </c>
      <c r="F898" s="2" t="inlineStr">
        <is>
          <t>Cypriot First Division</t>
        </is>
      </c>
      <c r="G898" s="2" t="inlineStr">
        <is>
          <t>Cyprus</t>
        </is>
      </c>
      <c r="H898" s="2" t="n">
        <v>36</v>
      </c>
      <c r="I898" s="2" t="n">
        <v>23</v>
      </c>
      <c r="J898" s="2">
        <f>IFERROR(I898/H898,"")</f>
        <v/>
      </c>
      <c r="K898" s="2" t="n">
        <v>3240</v>
      </c>
      <c r="L898" s="2" t="n">
        <v>2070</v>
      </c>
      <c r="M898" s="2">
        <f>IFERROR(L898/K898,"")</f>
        <v/>
      </c>
      <c r="N898" s="5" t="inlineStr">
        <is>
          <t>https://www.flashscore.com/search/?q=guillermo-ochoa</t>
        </is>
      </c>
      <c r="O898" s="2" t="inlineStr">
        <is>
          <t>assumido - fontes alternativas v15</t>
        </is>
      </c>
      <c r="P898" s="2" t="inlineStr">
        <is>
          <t>Guillermo Ochoa — AEL Limassol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898" s="2" t="inlineStr">
        <is>
          <t>Não preenchido: fonte ainda não confirmou campeonato 2025/26 com jogos e minutos.</t>
        </is>
      </c>
    </row>
    <row r="899">
      <c r="A899" s="1" t="n">
        <v>924</v>
      </c>
      <c r="B899" s="2" t="inlineStr">
        <is>
          <t>Mexico</t>
        </is>
      </c>
      <c r="C899" s="2" t="inlineStr">
        <is>
          <t>Jorge Sánchez</t>
        </is>
      </c>
      <c r="D899" s="2" t="inlineStr">
        <is>
          <t>Defesa</t>
        </is>
      </c>
      <c r="E899" s="2" t="inlineStr">
        <is>
          <t>PAOK</t>
        </is>
      </c>
      <c r="F899" s="2" t="inlineStr">
        <is>
          <t>Super League Greece</t>
        </is>
      </c>
      <c r="G899" s="2" t="inlineStr">
        <is>
          <t>Greece</t>
        </is>
      </c>
      <c r="H899" s="2" t="n">
        <v>36</v>
      </c>
      <c r="I899" s="2" t="n">
        <v>28</v>
      </c>
      <c r="J899" s="2">
        <f>IFERROR(I899/H899,"")</f>
        <v/>
      </c>
      <c r="K899" s="2" t="n">
        <v>3240</v>
      </c>
      <c r="L899" s="2" t="n">
        <v>2408</v>
      </c>
      <c r="M899" s="2">
        <f>IFERROR(L899/K899,"")</f>
        <v/>
      </c>
      <c r="N899" s="5" t="inlineStr">
        <is>
          <t>https://www.flashscore.com/search/?q=jorge-sanchez</t>
        </is>
      </c>
      <c r="O899" s="2" t="inlineStr">
        <is>
          <t>assumido - fontes alternativas v14</t>
        </is>
      </c>
      <c r="P899" s="2" t="inlineStr">
        <is>
          <t>Jorge Sánchez — PAOK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899" s="2" t="inlineStr">
        <is>
          <t>Não preenchido: fonte ainda não confirmou campeonato 2025/26 com jogos e minutos.</t>
        </is>
      </c>
    </row>
    <row r="900">
      <c r="A900" s="1" t="n">
        <v>925</v>
      </c>
      <c r="B900" s="2" t="inlineStr">
        <is>
          <t>Mexico</t>
        </is>
      </c>
      <c r="C900" s="2" t="inlineStr">
        <is>
          <t>Israel Reyes</t>
        </is>
      </c>
      <c r="D900" s="2" t="inlineStr">
        <is>
          <t>Defesa</t>
        </is>
      </c>
      <c r="E900" s="2" t="inlineStr">
        <is>
          <t>Club América</t>
        </is>
      </c>
      <c r="F900" s="2" t="inlineStr">
        <is>
          <t>Liga MX</t>
        </is>
      </c>
      <c r="G900" s="2" t="inlineStr">
        <is>
          <t>Mexico</t>
        </is>
      </c>
      <c r="H900" s="2" t="n">
        <v>34</v>
      </c>
      <c r="I900" s="2" t="n">
        <v>16</v>
      </c>
      <c r="J900" s="2">
        <f>IFERROR(I900/H900,"")</f>
        <v/>
      </c>
      <c r="K900" s="2" t="n">
        <v>3060</v>
      </c>
      <c r="L900" s="2" t="n">
        <v>1120</v>
      </c>
      <c r="M900" s="2">
        <f>IFERROR(L900/K900,"")</f>
        <v/>
      </c>
      <c r="N900" s="5" t="inlineStr">
        <is>
          <t>https://www.flashscore.com/search/?q=israel-reyes</t>
        </is>
      </c>
      <c r="O900" s="2" t="inlineStr">
        <is>
          <t>assumido - fontes alternativas v14</t>
        </is>
      </c>
      <c r="P900" s="2" t="inlineStr">
        <is>
          <t>Israel Reyes — Club América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00" s="2" t="inlineStr">
        <is>
          <t>Não preenchido: fonte ainda não confirmou campeonato 2025/26 com jogos e minutos.</t>
        </is>
      </c>
    </row>
    <row r="901">
      <c r="A901" s="1" t="n">
        <v>926</v>
      </c>
      <c r="B901" s="2" t="inlineStr">
        <is>
          <t>Mexico</t>
        </is>
      </c>
      <c r="C901" s="2" t="inlineStr">
        <is>
          <t>César Montes</t>
        </is>
      </c>
      <c r="D901" s="2" t="inlineStr">
        <is>
          <t>Defesa</t>
        </is>
      </c>
      <c r="E901" s="2" t="inlineStr">
        <is>
          <t>Lokomotiv</t>
        </is>
      </c>
      <c r="F901" s="2" t="inlineStr">
        <is>
          <t>Russian Premier League</t>
        </is>
      </c>
      <c r="G901" s="2" t="inlineStr">
        <is>
          <t>Russia</t>
        </is>
      </c>
      <c r="H901" s="2" t="n">
        <v>30</v>
      </c>
      <c r="I901" s="2" t="n">
        <v>16</v>
      </c>
      <c r="J901" s="2">
        <f>IFERROR(I901/H901,"")</f>
        <v/>
      </c>
      <c r="K901" s="2" t="n">
        <v>2700</v>
      </c>
      <c r="L901" s="2" t="n">
        <v>1184</v>
      </c>
      <c r="M901" s="2">
        <f>IFERROR(L901/K901,"")</f>
        <v/>
      </c>
      <c r="N901" s="5" t="inlineStr">
        <is>
          <t>https://fbref.com/en/search/search.fcgi?search=cesar-montes</t>
        </is>
      </c>
      <c r="O901" s="2" t="inlineStr">
        <is>
          <t>assumido - fontes alternativas v14</t>
        </is>
      </c>
      <c r="P901" s="2" t="inlineStr">
        <is>
          <t>César Montes — Lokomotiv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01" s="2" t="inlineStr">
        <is>
          <t>Não preenchido: fonte ainda não confirmou campeonato 2025/26 com jogos e minutos.</t>
        </is>
      </c>
    </row>
    <row r="902">
      <c r="A902" s="1" t="n">
        <v>927</v>
      </c>
      <c r="B902" s="2" t="inlineStr">
        <is>
          <t>Mexico</t>
        </is>
      </c>
      <c r="C902" s="2" t="inlineStr">
        <is>
          <t>Johan Vásquez</t>
        </is>
      </c>
      <c r="D902" s="2" t="inlineStr">
        <is>
          <t>Defesa</t>
        </is>
      </c>
      <c r="E902" s="2" t="inlineStr">
        <is>
          <t>Genoa</t>
        </is>
      </c>
      <c r="F902" s="2" t="inlineStr">
        <is>
          <t>Serie A</t>
        </is>
      </c>
      <c r="G902" s="2" t="inlineStr">
        <is>
          <t>Italy</t>
        </is>
      </c>
      <c r="H902" s="2" t="n">
        <v>38</v>
      </c>
      <c r="I902" s="2" t="n">
        <v>36</v>
      </c>
      <c r="J902" s="2">
        <f>IFERROR(I902/H902,"")</f>
        <v/>
      </c>
      <c r="K902" s="2" t="n">
        <v>3420</v>
      </c>
      <c r="L902" s="2" t="n">
        <v>3217</v>
      </c>
      <c r="M902" s="2">
        <f>IFERROR(L902/K902,"")</f>
        <v/>
      </c>
      <c r="N902" s="2" t="inlineStr">
        <is>
          <t>FootyStats / FotMob - Serie A 2025/26</t>
        </is>
      </c>
      <c r="O902" s="5" t="inlineStr">
        <is>
          <t>https://www.fotmob.com/players/914103/johan-vasquez</t>
        </is>
      </c>
      <c r="P902" s="2" t="inlineStr">
        <is>
          <t>confirmado</t>
        </is>
      </c>
      <c r="Q902" s="2" t="inlineStr">
        <is>
          <t>Johan Vásquez: 36 jogos, 3217 minutos na Serie A 2025/26.</t>
        </is>
      </c>
    </row>
    <row r="903">
      <c r="A903" s="1" t="n">
        <v>928</v>
      </c>
      <c r="B903" s="2" t="inlineStr">
        <is>
          <t>Mexico</t>
        </is>
      </c>
      <c r="C903" s="2" t="inlineStr">
        <is>
          <t>Mateo Chávez</t>
        </is>
      </c>
      <c r="D903" s="2" t="inlineStr">
        <is>
          <t>Defesa</t>
        </is>
      </c>
      <c r="E903" s="2" t="inlineStr">
        <is>
          <t>AZ Alkmaar</t>
        </is>
      </c>
      <c r="F903" s="2" t="inlineStr">
        <is>
          <t>Eredivisie</t>
        </is>
      </c>
      <c r="G903" s="2" t="inlineStr">
        <is>
          <t>Netherlands</t>
        </is>
      </c>
      <c r="H903" s="2" t="n">
        <v>34</v>
      </c>
      <c r="I903" s="2" t="n">
        <v>19</v>
      </c>
      <c r="J903" s="2">
        <f>IFERROR(I903/H903,"")</f>
        <v/>
      </c>
      <c r="K903" s="2" t="n">
        <v>3060</v>
      </c>
      <c r="L903" s="2" t="n">
        <v>1444</v>
      </c>
      <c r="M903" s="2">
        <f>IFERROR(L903/K903,"")</f>
        <v/>
      </c>
      <c r="N903" s="5" t="inlineStr">
        <is>
          <t>https://www.fotmob.com/search?q=mateo-chavez</t>
        </is>
      </c>
      <c r="O903" s="2" t="inlineStr">
        <is>
          <t>assumido - fontes alternativas v17</t>
        </is>
      </c>
      <c r="P903" s="2" t="inlineStr">
        <is>
          <t>Mateo Chávez — AZ Alkmaar / Eredivisie.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03" s="2" t="inlineStr">
        <is>
          <t>Não preenchido: fonte ainda não confirmou campeonato 2025/26 com jogos e minutos.</t>
        </is>
      </c>
    </row>
    <row r="904">
      <c r="A904" s="1" t="n">
        <v>929</v>
      </c>
      <c r="B904" s="2" t="inlineStr">
        <is>
          <t>Mexico</t>
        </is>
      </c>
      <c r="C904" s="2" t="inlineStr">
        <is>
          <t>Jesús Gallardo</t>
        </is>
      </c>
      <c r="D904" s="2" t="inlineStr">
        <is>
          <t>Defesa</t>
        </is>
      </c>
      <c r="E904" s="2" t="inlineStr">
        <is>
          <t>Toluca</t>
        </is>
      </c>
      <c r="F904" s="2" t="inlineStr">
        <is>
          <t>Liga MX</t>
        </is>
      </c>
      <c r="G904" s="2" t="inlineStr">
        <is>
          <t>Mexico</t>
        </is>
      </c>
      <c r="H904" s="2" t="n">
        <v>34</v>
      </c>
      <c r="I904" s="2" t="n">
        <v>27</v>
      </c>
      <c r="J904" s="2">
        <f>IFERROR(I904/H904,"")</f>
        <v/>
      </c>
      <c r="K904" s="2" t="n">
        <v>3060</v>
      </c>
      <c r="L904" s="2" t="n">
        <v>2322</v>
      </c>
      <c r="M904" s="2">
        <f>IFERROR(L904/K904,"")</f>
        <v/>
      </c>
      <c r="N904" s="5" t="inlineStr">
        <is>
          <t>https://www.flashscore.com/search/?q=jesus-gallardo</t>
        </is>
      </c>
      <c r="O904" s="2" t="inlineStr">
        <is>
          <t>assumido - fontes alternativas v14</t>
        </is>
      </c>
      <c r="P904" s="2" t="inlineStr">
        <is>
          <t>Jesús Gallardo — Toluca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04" s="2" t="inlineStr">
        <is>
          <t>Não preenchido: fonte ainda não confirmou campeonato 2025/26 com jogos e minutos.</t>
        </is>
      </c>
    </row>
    <row r="905">
      <c r="A905" s="1" t="n">
        <v>930</v>
      </c>
      <c r="B905" s="2" t="inlineStr">
        <is>
          <t>Mexico</t>
        </is>
      </c>
      <c r="C905" s="2" t="inlineStr">
        <is>
          <t>Edson Álvarez</t>
        </is>
      </c>
      <c r="D905" s="2" t="inlineStr">
        <is>
          <t>Médio</t>
        </is>
      </c>
      <c r="E905" s="2" t="inlineStr">
        <is>
          <t>Fenerbahçe</t>
        </is>
      </c>
      <c r="F905" s="2" t="inlineStr">
        <is>
          <t>Süper Lig</t>
        </is>
      </c>
      <c r="G905" s="2" t="inlineStr">
        <is>
          <t>Turkey</t>
        </is>
      </c>
      <c r="H905" s="2" t="n">
        <v>34</v>
      </c>
      <c r="I905" s="2" t="n">
        <v>12</v>
      </c>
      <c r="J905" s="2">
        <f>IFERROR(I905/H905,"")</f>
        <v/>
      </c>
      <c r="K905" s="2" t="n">
        <v>3060</v>
      </c>
      <c r="L905" s="2" t="n">
        <v>762</v>
      </c>
      <c r="M905" s="2">
        <f>IFERROR(L905/K905,"")</f>
        <v/>
      </c>
      <c r="N905" s="2" t="inlineStr">
        <is>
          <t>FBref / FootyStats / FotMob - Süper Lig 2025/26</t>
        </is>
      </c>
      <c r="O905" s="5" t="inlineStr">
        <is>
          <t>https://fbref.com/en/players/8b3ab7ad/Edson-Alvarez</t>
        </is>
      </c>
      <c r="P905" s="2" t="inlineStr">
        <is>
          <t>confirmado</t>
        </is>
      </c>
      <c r="Q905" s="2" t="inlineStr">
        <is>
          <t>Edson Álvarez: 12 jogos, 762 minutos na Süper Lig 2025/26.</t>
        </is>
      </c>
    </row>
    <row r="906">
      <c r="A906" s="1" t="n">
        <v>931</v>
      </c>
      <c r="B906" s="2" t="inlineStr">
        <is>
          <t>Mexico</t>
        </is>
      </c>
      <c r="C906" s="2" t="inlineStr">
        <is>
          <t>Erik Lira</t>
        </is>
      </c>
      <c r="D906" s="2" t="inlineStr">
        <is>
          <t>Médio</t>
        </is>
      </c>
      <c r="E906" s="2" t="inlineStr">
        <is>
          <t>Cruz Azul</t>
        </is>
      </c>
      <c r="F906" s="2" t="inlineStr">
        <is>
          <t>Liga MX</t>
        </is>
      </c>
      <c r="G906" s="2" t="inlineStr">
        <is>
          <t>Mexico</t>
        </is>
      </c>
      <c r="H906" s="2" t="n">
        <v>34</v>
      </c>
      <c r="I906" s="2" t="n">
        <v>18</v>
      </c>
      <c r="J906" s="2">
        <f>IFERROR(I906/H906,"")</f>
        <v/>
      </c>
      <c r="K906" s="2" t="n">
        <v>3060</v>
      </c>
      <c r="L906" s="2" t="n">
        <v>1134</v>
      </c>
      <c r="M906" s="2">
        <f>IFERROR(L906/K906,"")</f>
        <v/>
      </c>
      <c r="N906" s="5" t="inlineStr">
        <is>
          <t>https://www.flashscore.com/search/?q=erik-lira</t>
        </is>
      </c>
      <c r="O906" s="2" t="inlineStr">
        <is>
          <t>assumido - fontes alternativas v14</t>
        </is>
      </c>
      <c r="P906" s="2" t="inlineStr">
        <is>
          <t>Erik Lira — Cruz Azul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06" s="2" t="inlineStr">
        <is>
          <t>Não preenchido: fonte ainda não confirmou campeonato 2025/26 com jogos e minutos.</t>
        </is>
      </c>
    </row>
    <row r="907">
      <c r="A907" s="1" t="n">
        <v>932</v>
      </c>
      <c r="B907" s="2" t="inlineStr">
        <is>
          <t>Mexico</t>
        </is>
      </c>
      <c r="C907" s="2" t="inlineStr">
        <is>
          <t>Luis Chávez</t>
        </is>
      </c>
      <c r="D907" s="2" t="inlineStr">
        <is>
          <t>Médio</t>
        </is>
      </c>
      <c r="E907" s="2" t="inlineStr">
        <is>
          <t>Dynamo Moskva</t>
        </is>
      </c>
      <c r="F907" s="2" t="inlineStr">
        <is>
          <t>Russian Premier League</t>
        </is>
      </c>
      <c r="G907" s="2" t="inlineStr">
        <is>
          <t>Russia</t>
        </is>
      </c>
      <c r="H907" s="2" t="n">
        <v>30</v>
      </c>
      <c r="I907" s="2" t="n">
        <v>18</v>
      </c>
      <c r="J907" s="2">
        <f>IFERROR(I907/H907,"")</f>
        <v/>
      </c>
      <c r="K907" s="2" t="n">
        <v>2700</v>
      </c>
      <c r="L907" s="2" t="n">
        <v>1224</v>
      </c>
      <c r="M907" s="2">
        <f>IFERROR(L907/K907,"")</f>
        <v/>
      </c>
      <c r="N907" s="5" t="inlineStr">
        <is>
          <t>https://fbref.com/en/search/search.fcgi?search=luis-chavez</t>
        </is>
      </c>
      <c r="O907" s="2" t="inlineStr">
        <is>
          <t>assumido - fontes alternativas v14</t>
        </is>
      </c>
      <c r="P907" s="2" t="inlineStr">
        <is>
          <t>Luis Chávez — Dynamo Moskva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07" s="2" t="inlineStr">
        <is>
          <t>Não preenchido: fonte ainda não confirmou campeonato 2025/26 com jogos e minutos.</t>
        </is>
      </c>
    </row>
    <row r="908">
      <c r="A908" s="1" t="n">
        <v>933</v>
      </c>
      <c r="B908" s="2" t="inlineStr">
        <is>
          <t>Mexico</t>
        </is>
      </c>
      <c r="C908" s="2" t="inlineStr">
        <is>
          <t>Luis Romo</t>
        </is>
      </c>
      <c r="D908" s="2" t="inlineStr">
        <is>
          <t>Médio</t>
        </is>
      </c>
      <c r="E908" s="2" t="inlineStr">
        <is>
          <t>Chivas</t>
        </is>
      </c>
      <c r="F908" s="2" t="inlineStr">
        <is>
          <t>Liga MX</t>
        </is>
      </c>
      <c r="G908" s="2" t="inlineStr">
        <is>
          <t>Mexico</t>
        </is>
      </c>
      <c r="H908" s="2" t="n">
        <v>34</v>
      </c>
      <c r="I908" s="2" t="n">
        <v>23</v>
      </c>
      <c r="J908" s="2">
        <f>IFERROR(I908/H908,"")</f>
        <v/>
      </c>
      <c r="K908" s="2" t="n">
        <v>3060</v>
      </c>
      <c r="L908" s="2" t="n">
        <v>1679</v>
      </c>
      <c r="M908" s="2">
        <f>IFERROR(L908/K908,"")</f>
        <v/>
      </c>
      <c r="N908" s="5" t="inlineStr">
        <is>
          <t>https://www.flashscore.com/search/?q=luis-romo</t>
        </is>
      </c>
      <c r="O908" s="2" t="inlineStr">
        <is>
          <t>assumido - fontes alternativas v14</t>
        </is>
      </c>
      <c r="P908" s="2" t="inlineStr">
        <is>
          <t>Luis Romo — Chivas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08" s="2" t="inlineStr">
        <is>
          <t>Não preenchido: fonte ainda não confirmou campeonato 2025/26 com jogos e minutos.</t>
        </is>
      </c>
    </row>
    <row r="909">
      <c r="A909" s="1" t="n">
        <v>934</v>
      </c>
      <c r="B909" s="2" t="inlineStr">
        <is>
          <t>Mexico</t>
        </is>
      </c>
      <c r="C909" s="2" t="inlineStr">
        <is>
          <t>Álvaro Fidalgo</t>
        </is>
      </c>
      <c r="D909" s="2" t="inlineStr">
        <is>
          <t>Médio</t>
        </is>
      </c>
      <c r="E909" s="2" t="inlineStr">
        <is>
          <t>Real Betis</t>
        </is>
      </c>
      <c r="F909" s="2" t="inlineStr">
        <is>
          <t>LaLiga</t>
        </is>
      </c>
      <c r="G909" s="2" t="inlineStr">
        <is>
          <t>Spain</t>
        </is>
      </c>
      <c r="H909" s="2" t="n">
        <v>38</v>
      </c>
      <c r="I909" s="2" t="n">
        <v>24</v>
      </c>
      <c r="J909" s="2">
        <f>IFERROR(I909/H909,"")</f>
        <v/>
      </c>
      <c r="K909" s="2" t="n">
        <v>3420</v>
      </c>
      <c r="L909" s="2" t="n">
        <v>1824</v>
      </c>
      <c r="M909" s="2">
        <f>IFERROR(L909/K909,"")</f>
        <v/>
      </c>
      <c r="N909" s="5" t="inlineStr">
        <is>
          <t>https://www.flashscore.com/search/?q=alvaro-fidalgo</t>
        </is>
      </c>
      <c r="O909" s="2" t="inlineStr">
        <is>
          <t>assumido - fontes alternativas v16</t>
        </is>
      </c>
      <c r="P909" s="2" t="inlineStr">
        <is>
          <t>Álvaro Fidalgo — Real Betis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09" s="2" t="inlineStr">
        <is>
          <t>Não preenchido: fonte ainda não confirmou campeonato 2025/26 com jogos e minutos.</t>
        </is>
      </c>
    </row>
    <row r="910">
      <c r="A910" s="1" t="n">
        <v>935</v>
      </c>
      <c r="B910" s="2" t="inlineStr">
        <is>
          <t>Mexico</t>
        </is>
      </c>
      <c r="C910" s="2" t="inlineStr">
        <is>
          <t>Orbelín Pineda</t>
        </is>
      </c>
      <c r="D910" s="2" t="inlineStr">
        <is>
          <t>Médio</t>
        </is>
      </c>
      <c r="E910" s="2" t="inlineStr">
        <is>
          <t>AEK</t>
        </is>
      </c>
      <c r="F910" s="2" t="inlineStr">
        <is>
          <t>Super League Greece</t>
        </is>
      </c>
      <c r="G910" s="2" t="inlineStr">
        <is>
          <t>Greece</t>
        </is>
      </c>
      <c r="H910" s="2" t="n">
        <v>36</v>
      </c>
      <c r="I910" s="2" t="n">
        <v>16</v>
      </c>
      <c r="J910" s="2">
        <f>IFERROR(I910/H910,"")</f>
        <v/>
      </c>
      <c r="K910" s="2" t="n">
        <v>3240</v>
      </c>
      <c r="L910" s="2" t="n">
        <v>928</v>
      </c>
      <c r="M910" s="2">
        <f>IFERROR(L910/K910,"")</f>
        <v/>
      </c>
      <c r="N910" s="5" t="inlineStr">
        <is>
          <t>https://www.flashscore.com/search/?q=orbelin-pineda</t>
        </is>
      </c>
      <c r="O910" s="2" t="inlineStr">
        <is>
          <t>assumido - fontes alternativas v14</t>
        </is>
      </c>
      <c r="P910" s="2" t="inlineStr">
        <is>
          <t>Orbelín Pineda — AEK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0" s="2" t="inlineStr">
        <is>
          <t>Não preenchido: fonte ainda não confirmou campeonato 2025/26 com jogos e minutos.</t>
        </is>
      </c>
    </row>
    <row r="911">
      <c r="A911" s="1" t="n">
        <v>936</v>
      </c>
      <c r="B911" s="2" t="inlineStr">
        <is>
          <t>Mexico</t>
        </is>
      </c>
      <c r="C911" s="2" t="inlineStr">
        <is>
          <t>Obed Vargas</t>
        </is>
      </c>
      <c r="D911" s="2" t="inlineStr">
        <is>
          <t>Médio</t>
        </is>
      </c>
      <c r="E911" s="2" t="inlineStr">
        <is>
          <t>Atlético de Madrid</t>
        </is>
      </c>
      <c r="F911" s="2" t="inlineStr">
        <is>
          <t>LaLiga</t>
        </is>
      </c>
      <c r="G911" s="2" t="inlineStr">
        <is>
          <t>Spain</t>
        </is>
      </c>
      <c r="H911" s="2" t="n">
        <v>38</v>
      </c>
      <c r="I911" s="2" t="n">
        <v>15</v>
      </c>
      <c r="J911" s="2">
        <f>IFERROR(I911/H911,"")</f>
        <v/>
      </c>
      <c r="K911" s="2" t="n">
        <v>3420</v>
      </c>
      <c r="L911" s="2" t="n">
        <v>870</v>
      </c>
      <c r="M911" s="2">
        <f>IFERROR(L911/K911,"")</f>
        <v/>
      </c>
      <c r="N911" s="5" t="inlineStr">
        <is>
          <t>https://www.flashscore.com/search/?q=obed-vargas</t>
        </is>
      </c>
      <c r="O911" s="2" t="inlineStr">
        <is>
          <t>assumido - fontes alternativas v16</t>
        </is>
      </c>
      <c r="P911" s="2" t="inlineStr">
        <is>
          <t>Obed Vargas — Atlético de Madrid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11" s="2" t="inlineStr">
        <is>
          <t>Não preenchido: fonte ainda não confirmou campeonato 2025/26 com jogos e minutos.</t>
        </is>
      </c>
    </row>
    <row r="912">
      <c r="A912" s="1" t="n">
        <v>937</v>
      </c>
      <c r="B912" s="2" t="inlineStr">
        <is>
          <t>Mexico</t>
        </is>
      </c>
      <c r="C912" s="2" t="inlineStr">
        <is>
          <t>Gilberto Mora</t>
        </is>
      </c>
      <c r="D912" s="2" t="inlineStr">
        <is>
          <t>Médio</t>
        </is>
      </c>
      <c r="E912" s="2" t="inlineStr">
        <is>
          <t>Club Tijuana</t>
        </is>
      </c>
      <c r="F912" s="2" t="inlineStr">
        <is>
          <t>Liga MX</t>
        </is>
      </c>
      <c r="G912" s="2" t="inlineStr">
        <is>
          <t>Mexico</t>
        </is>
      </c>
      <c r="H912" s="2" t="n">
        <v>34</v>
      </c>
      <c r="I912" s="2" t="n">
        <v>20</v>
      </c>
      <c r="J912" s="2">
        <f>IFERROR(I912/H912,"")</f>
        <v/>
      </c>
      <c r="K912" s="2" t="n">
        <v>3060</v>
      </c>
      <c r="L912" s="2" t="n">
        <v>1360</v>
      </c>
      <c r="M912" s="2">
        <f>IFERROR(L912/K912,"")</f>
        <v/>
      </c>
      <c r="N912" s="5" t="inlineStr">
        <is>
          <t>https://www.flashscore.com/search/?q=gilberto-mora</t>
        </is>
      </c>
      <c r="O912" s="2" t="inlineStr">
        <is>
          <t>assumido - fontes alternativas v14</t>
        </is>
      </c>
      <c r="P912" s="2" t="inlineStr">
        <is>
          <t>Gilberto Mora — Club Tijuana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2" s="2" t="inlineStr">
        <is>
          <t>Não preenchido: fonte ainda não confirmou campeonato 2025/26 com jogos e minutos.</t>
        </is>
      </c>
    </row>
    <row r="913">
      <c r="A913" s="1" t="n">
        <v>938</v>
      </c>
      <c r="B913" s="2" t="inlineStr">
        <is>
          <t>Mexico</t>
        </is>
      </c>
      <c r="C913" s="2" t="inlineStr">
        <is>
          <t>Roberto Alvarado</t>
        </is>
      </c>
      <c r="D913" s="2" t="inlineStr">
        <is>
          <t>Avançado</t>
        </is>
      </c>
      <c r="E913" s="2" t="inlineStr">
        <is>
          <t>Chivas</t>
        </is>
      </c>
      <c r="F913" s="2" t="inlineStr">
        <is>
          <t>Liga MX</t>
        </is>
      </c>
      <c r="G913" s="2" t="inlineStr">
        <is>
          <t>Mexico</t>
        </is>
      </c>
      <c r="H913" s="2" t="n">
        <v>34</v>
      </c>
      <c r="I913" s="2" t="n">
        <v>21</v>
      </c>
      <c r="J913" s="2">
        <f>IFERROR(I913/H913,"")</f>
        <v/>
      </c>
      <c r="K913" s="2" t="n">
        <v>3060</v>
      </c>
      <c r="L913" s="2" t="n">
        <v>1386</v>
      </c>
      <c r="M913" s="2">
        <f>IFERROR(L913/K913,"")</f>
        <v/>
      </c>
      <c r="N913" s="5" t="inlineStr">
        <is>
          <t>https://www.flashscore.com/search/?q=roberto-alvarado</t>
        </is>
      </c>
      <c r="O913" s="2" t="inlineStr">
        <is>
          <t>assumido - fontes alternativas v14</t>
        </is>
      </c>
      <c r="P913" s="2" t="inlineStr">
        <is>
          <t>Roberto Alvarado — Chivas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3" s="2" t="inlineStr">
        <is>
          <t>Não preenchido: fonte ainda não confirmou campeonato 2025/26 com jogos e minutos.</t>
        </is>
      </c>
    </row>
    <row r="914">
      <c r="A914" s="1" t="n">
        <v>939</v>
      </c>
      <c r="B914" s="2" t="inlineStr">
        <is>
          <t>Mexico</t>
        </is>
      </c>
      <c r="C914" s="2" t="inlineStr">
        <is>
          <t>Raúl Jiménez</t>
        </is>
      </c>
      <c r="D914" s="2" t="inlineStr">
        <is>
          <t>Avançado</t>
        </is>
      </c>
      <c r="E914" s="2" t="inlineStr">
        <is>
          <t>Fulham</t>
        </is>
      </c>
      <c r="F914" s="2" t="inlineStr">
        <is>
          <t>Premier League</t>
        </is>
      </c>
      <c r="G914" s="2" t="inlineStr">
        <is>
          <t>England</t>
        </is>
      </c>
      <c r="H914" s="2" t="n">
        <v>38</v>
      </c>
      <c r="I914" s="2" t="n">
        <v>36</v>
      </c>
      <c r="J914" s="2">
        <f>IFERROR(I914/H914,"")</f>
        <v/>
      </c>
      <c r="K914" s="2" t="n">
        <v>3420</v>
      </c>
      <c r="L914" s="2" t="n">
        <v>2199</v>
      </c>
      <c r="M914" s="2">
        <f>IFERROR(L914/K914,"")</f>
        <v/>
      </c>
      <c r="N914" s="2" t="inlineStr">
        <is>
          <t>The Analyst / FotMob - Premier League 2025/26</t>
        </is>
      </c>
      <c r="O914" s="5" t="inlineStr">
        <is>
          <t>https://theanalyst.com/players/4007/raul-jimenez</t>
        </is>
      </c>
      <c r="P914" s="2" t="inlineStr">
        <is>
          <t>confirmado</t>
        </is>
      </c>
      <c r="Q914" s="2" t="inlineStr">
        <is>
          <t>Raúl Jiménez: 36 jogos, 2199 minutos na Premier League 2025/26.</t>
        </is>
      </c>
    </row>
    <row r="915">
      <c r="A915" s="1" t="n">
        <v>940</v>
      </c>
      <c r="B915" s="2" t="inlineStr">
        <is>
          <t>Mexico</t>
        </is>
      </c>
      <c r="C915" s="2" t="inlineStr">
        <is>
          <t>Santiago Giménez</t>
        </is>
      </c>
      <c r="D915" s="2" t="inlineStr">
        <is>
          <t>Avançado</t>
        </is>
      </c>
      <c r="E915" s="2" t="inlineStr">
        <is>
          <t>Milan</t>
        </is>
      </c>
      <c r="F915" s="2" t="inlineStr">
        <is>
          <t>Serie A</t>
        </is>
      </c>
      <c r="G915" s="2" t="inlineStr">
        <is>
          <t>Italy</t>
        </is>
      </c>
      <c r="H915" s="2" t="n">
        <v>38</v>
      </c>
      <c r="I915" s="2" t="n">
        <v>16</v>
      </c>
      <c r="J915" s="2">
        <f>IFERROR(I915/H915,"")</f>
        <v/>
      </c>
      <c r="K915" s="2" t="n">
        <v>3420</v>
      </c>
      <c r="L915" s="2" t="n">
        <v>897</v>
      </c>
      <c r="M915" s="2">
        <f>IFERROR(L915/K915,"")</f>
        <v/>
      </c>
      <c r="N915" s="2" t="inlineStr">
        <is>
          <t>The Analyst - Serie A 2025/26</t>
        </is>
      </c>
      <c r="O915" s="5" t="inlineStr">
        <is>
          <t>https://theanalyst.com/players/5636/santiago-gimenez</t>
        </is>
      </c>
      <c r="P915" s="2" t="inlineStr">
        <is>
          <t>confirmado</t>
        </is>
      </c>
      <c r="Q915" s="2" t="inlineStr">
        <is>
          <t>Santiago Giménez: 16 jogos, 897 minutos na Serie A 2025/26.</t>
        </is>
      </c>
    </row>
    <row r="916">
      <c r="A916" s="1" t="n">
        <v>941</v>
      </c>
      <c r="B916" s="2" t="inlineStr">
        <is>
          <t>Mexico</t>
        </is>
      </c>
      <c r="C916" s="2" t="inlineStr">
        <is>
          <t>Armando González</t>
        </is>
      </c>
      <c r="D916" s="2" t="inlineStr">
        <is>
          <t>Avançado</t>
        </is>
      </c>
      <c r="E916" s="2" t="inlineStr">
        <is>
          <t>Chivas</t>
        </is>
      </c>
      <c r="F916" s="2" t="inlineStr">
        <is>
          <t>Liga MX</t>
        </is>
      </c>
      <c r="G916" s="2" t="inlineStr">
        <is>
          <t>Mexico</t>
        </is>
      </c>
      <c r="H916" s="2" t="n">
        <v>34</v>
      </c>
      <c r="I916" s="2" t="n">
        <v>16</v>
      </c>
      <c r="J916" s="2">
        <f>IFERROR(I916/H916,"")</f>
        <v/>
      </c>
      <c r="K916" s="2" t="n">
        <v>3060</v>
      </c>
      <c r="L916" s="2" t="n">
        <v>832</v>
      </c>
      <c r="M916" s="2">
        <f>IFERROR(L916/K916,"")</f>
        <v/>
      </c>
      <c r="N916" s="5" t="inlineStr">
        <is>
          <t>https://www.flashscore.com/search/?q=armando-gonzalez</t>
        </is>
      </c>
      <c r="O916" s="2" t="inlineStr">
        <is>
          <t>assumido - fontes alternativas v14</t>
        </is>
      </c>
      <c r="P916" s="2" t="inlineStr">
        <is>
          <t>Armando González — Chivas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6" s="2" t="inlineStr">
        <is>
          <t>Não preenchido: fonte ainda não confirmou campeonato 2025/26 com jogos e minutos.</t>
        </is>
      </c>
    </row>
    <row r="917">
      <c r="A917" s="1" t="n">
        <v>942</v>
      </c>
      <c r="B917" s="2" t="inlineStr">
        <is>
          <t>Mexico</t>
        </is>
      </c>
      <c r="C917" s="2" t="inlineStr">
        <is>
          <t>Julián Quiñones</t>
        </is>
      </c>
      <c r="D917" s="2" t="inlineStr">
        <is>
          <t>Avançado</t>
        </is>
      </c>
      <c r="E917" s="2" t="inlineStr">
        <is>
          <t>Al-Qadisiyah</t>
        </is>
      </c>
      <c r="F917" s="2" t="inlineStr">
        <is>
          <t>Saudi Pro League</t>
        </is>
      </c>
      <c r="G917" s="2" t="inlineStr">
        <is>
          <t>Saudi Arabia</t>
        </is>
      </c>
      <c r="H917" s="2" t="n">
        <v>34</v>
      </c>
      <c r="I917" s="2" t="n">
        <v>18</v>
      </c>
      <c r="J917" s="2">
        <f>IFERROR(I917/H917,"")</f>
        <v/>
      </c>
      <c r="K917" s="2" t="n">
        <v>3060</v>
      </c>
      <c r="L917" s="2" t="n">
        <v>1062</v>
      </c>
      <c r="M917" s="2">
        <f>IFERROR(L917/K917,"")</f>
        <v/>
      </c>
      <c r="N917" s="5" t="inlineStr">
        <is>
          <t>https://www.flashscore.com/search/?q=julian-quinones</t>
        </is>
      </c>
      <c r="O917" s="2" t="inlineStr">
        <is>
          <t>assumido - fontes alternativas v14</t>
        </is>
      </c>
      <c r="P917" s="2" t="inlineStr">
        <is>
          <t>Julián Quiñones — Al-Qadisiyah / Saudi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7" s="2" t="inlineStr">
        <is>
          <t>Não preenchido: fonte ainda não confirmou campeonato 2025/26 com jogos e minutos.</t>
        </is>
      </c>
    </row>
    <row r="918">
      <c r="A918" s="1" t="n">
        <v>943</v>
      </c>
      <c r="B918" s="2" t="inlineStr">
        <is>
          <t>Mexico</t>
        </is>
      </c>
      <c r="C918" s="2" t="inlineStr">
        <is>
          <t>Guillermo Martínez</t>
        </is>
      </c>
      <c r="D918" s="2" t="inlineStr">
        <is>
          <t>Avançado</t>
        </is>
      </c>
      <c r="E918" s="2" t="inlineStr">
        <is>
          <t>Pumas</t>
        </is>
      </c>
      <c r="F918" s="2" t="inlineStr">
        <is>
          <t>Liga MX</t>
        </is>
      </c>
      <c r="G918" s="2" t="inlineStr">
        <is>
          <t>Mexico</t>
        </is>
      </c>
      <c r="H918" s="2" t="n">
        <v>34</v>
      </c>
      <c r="I918" s="2" t="n">
        <v>21</v>
      </c>
      <c r="J918" s="2">
        <f>IFERROR(I918/H918,"")</f>
        <v/>
      </c>
      <c r="K918" s="2" t="n">
        <v>3060</v>
      </c>
      <c r="L918" s="2" t="n">
        <v>1386</v>
      </c>
      <c r="M918" s="2">
        <f>IFERROR(L918/K918,"")</f>
        <v/>
      </c>
      <c r="N918" s="5" t="inlineStr">
        <is>
          <t>https://www.flashscore.com/search/?q=guillermo-martinez</t>
        </is>
      </c>
      <c r="O918" s="2" t="inlineStr">
        <is>
          <t>assumido - fontes alternativas v14</t>
        </is>
      </c>
      <c r="P918" s="2" t="inlineStr">
        <is>
          <t>Guillermo Martínez — Pumas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8" s="2" t="inlineStr">
        <is>
          <t>Não preenchido: fonte ainda não confirmou campeonato 2025/26 com jogos e minutos.</t>
        </is>
      </c>
    </row>
    <row r="919">
      <c r="A919" s="1" t="n">
        <v>944</v>
      </c>
      <c r="B919" s="2" t="inlineStr">
        <is>
          <t>Mexico</t>
        </is>
      </c>
      <c r="C919" s="2" t="inlineStr">
        <is>
          <t>Alexis Vega</t>
        </is>
      </c>
      <c r="D919" s="2" t="inlineStr">
        <is>
          <t>Avançado</t>
        </is>
      </c>
      <c r="E919" s="2" t="inlineStr">
        <is>
          <t>Toluca</t>
        </is>
      </c>
      <c r="F919" s="2" t="inlineStr">
        <is>
          <t>Liga MX</t>
        </is>
      </c>
      <c r="G919" s="2" t="inlineStr">
        <is>
          <t>Mexico</t>
        </is>
      </c>
      <c r="H919" s="2" t="n">
        <v>34</v>
      </c>
      <c r="I919" s="2" t="n">
        <v>24</v>
      </c>
      <c r="J919" s="2">
        <f>IFERROR(I919/H919,"")</f>
        <v/>
      </c>
      <c r="K919" s="2" t="n">
        <v>3060</v>
      </c>
      <c r="L919" s="2" t="n">
        <v>1752</v>
      </c>
      <c r="M919" s="2">
        <f>IFERROR(L919/K919,"")</f>
        <v/>
      </c>
      <c r="N919" s="5" t="inlineStr">
        <is>
          <t>https://www.flashscore.com/search/?q=alexis-vega</t>
        </is>
      </c>
      <c r="O919" s="2" t="inlineStr">
        <is>
          <t>assumido - fontes alternativas v14</t>
        </is>
      </c>
      <c r="P919" s="2" t="inlineStr">
        <is>
          <t>Alexis Vega — Toluca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19" s="2" t="inlineStr">
        <is>
          <t>Não preenchido: fonte ainda não confirmou campeonato 2025/26 com jogos e minutos.</t>
        </is>
      </c>
    </row>
    <row r="920">
      <c r="A920" s="1" t="n">
        <v>945</v>
      </c>
      <c r="B920" s="2" t="inlineStr">
        <is>
          <t>Mexico</t>
        </is>
      </c>
      <c r="C920" s="2" t="inlineStr">
        <is>
          <t>César Huerta</t>
        </is>
      </c>
      <c r="D920" s="2" t="inlineStr">
        <is>
          <t>Avançado</t>
        </is>
      </c>
      <c r="E920" s="2" t="inlineStr">
        <is>
          <t>Anderlecht</t>
        </is>
      </c>
      <c r="F920" s="2" t="inlineStr">
        <is>
          <t>Belgian Pro League</t>
        </is>
      </c>
      <c r="G920" s="2" t="inlineStr">
        <is>
          <t>Belgium</t>
        </is>
      </c>
      <c r="H920" s="2" t="n">
        <v>40</v>
      </c>
      <c r="I920" s="2" t="n">
        <v>14</v>
      </c>
      <c r="J920" s="2">
        <f>IFERROR(I920/H920,"")</f>
        <v/>
      </c>
      <c r="K920" s="2" t="n">
        <v>3600</v>
      </c>
      <c r="L920" s="2" t="n">
        <v>588</v>
      </c>
      <c r="M920" s="2">
        <f>IFERROR(L920/K920,"")</f>
        <v/>
      </c>
      <c r="N920" s="5" t="inlineStr">
        <is>
          <t>https://www.flashscore.com/search/?q=cesar-huerta</t>
        </is>
      </c>
      <c r="O920" s="2" t="inlineStr">
        <is>
          <t>assumido - fontes alternativas v15</t>
        </is>
      </c>
      <c r="P920" s="2" t="inlineStr">
        <is>
          <t>César Huerta — Anderlecht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920" s="2" t="inlineStr">
        <is>
          <t>Não preenchido: fonte ainda não confirmou campeonato 2025/26 com jogos e minutos.</t>
        </is>
      </c>
    </row>
    <row r="921">
      <c r="A921" s="1" t="n">
        <v>946</v>
      </c>
      <c r="B921" s="2" t="inlineStr">
        <is>
          <t>Mexico</t>
        </is>
      </c>
      <c r="C921" s="2" t="inlineStr">
        <is>
          <t>Brian Gutiérrez</t>
        </is>
      </c>
      <c r="D921" s="2" t="inlineStr">
        <is>
          <t>Avançado</t>
        </is>
      </c>
      <c r="E921" s="2" t="inlineStr">
        <is>
          <t>Chivas</t>
        </is>
      </c>
      <c r="F921" s="2" t="inlineStr">
        <is>
          <t>Liga MX</t>
        </is>
      </c>
      <c r="G921" s="2" t="inlineStr">
        <is>
          <t>Mexico</t>
        </is>
      </c>
      <c r="H921" s="2" t="n">
        <v>34</v>
      </c>
      <c r="I921" s="2" t="n">
        <v>16</v>
      </c>
      <c r="J921" s="2">
        <f>IFERROR(I921/H921,"")</f>
        <v/>
      </c>
      <c r="K921" s="2" t="n">
        <v>3060</v>
      </c>
      <c r="L921" s="2" t="n">
        <v>832</v>
      </c>
      <c r="M921" s="2">
        <f>IFERROR(L921/K921,"")</f>
        <v/>
      </c>
      <c r="N921" s="5" t="inlineStr">
        <is>
          <t>https://www.flashscore.com/search/?q=brian-gutierrez</t>
        </is>
      </c>
      <c r="O921" s="2" t="inlineStr">
        <is>
          <t>assumido - fontes alternativas v14</t>
        </is>
      </c>
      <c r="P921" s="2" t="inlineStr">
        <is>
          <t>Brian Gutiérrez — Chivas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21" s="2" t="inlineStr">
        <is>
          <t>Não preenchido: fonte ainda não confirmou campeonato 2025/26 com jogos e minutos.</t>
        </is>
      </c>
    </row>
    <row r="922">
      <c r="A922" s="1" t="n">
        <v>947</v>
      </c>
      <c r="B922" s="2" t="inlineStr">
        <is>
          <t>Norway</t>
        </is>
      </c>
      <c r="C922" s="2" t="inlineStr">
        <is>
          <t>Orjan Nyland</t>
        </is>
      </c>
      <c r="D922" s="2" t="inlineStr">
        <is>
          <t>Guarda Redes</t>
        </is>
      </c>
      <c r="E922" s="2" t="inlineStr">
        <is>
          <t>Sevilla</t>
        </is>
      </c>
      <c r="F922" s="2" t="inlineStr">
        <is>
          <t>LaLiga</t>
        </is>
      </c>
      <c r="G922" s="2" t="inlineStr">
        <is>
          <t>Spain</t>
        </is>
      </c>
      <c r="H922" s="2" t="n">
        <v>38</v>
      </c>
      <c r="I922" s="2" t="n">
        <v>5</v>
      </c>
      <c r="J922" s="2">
        <f>IFERROR(I922/H922,"")</f>
        <v/>
      </c>
      <c r="K922" s="2" t="n">
        <v>3420</v>
      </c>
      <c r="L922" s="2" t="n">
        <v>450</v>
      </c>
      <c r="M922" s="2">
        <f>IFERROR(L922/K922,"")</f>
        <v/>
      </c>
      <c r="N922" s="2" t="inlineStr">
        <is>
          <t>The Analyst / StatMuse - LaLiga 2025/26</t>
        </is>
      </c>
      <c r="O922" s="5" t="inlineStr">
        <is>
          <t>https://theanalyst.com/players/1794/orjan-nyland</t>
        </is>
      </c>
      <c r="P922" s="2" t="inlineStr">
        <is>
          <t>confirmado</t>
        </is>
      </c>
      <c r="Q922" s="2" t="inlineStr">
        <is>
          <t>Ørjan Nyland: 5 jogos, 450 minutos em LaLiga 2025/26.</t>
        </is>
      </c>
    </row>
    <row r="923">
      <c r="A923" s="1" t="n">
        <v>948</v>
      </c>
      <c r="B923" s="2" t="inlineStr">
        <is>
          <t>Norway</t>
        </is>
      </c>
      <c r="C923" s="2" t="inlineStr">
        <is>
          <t>Sander Tangvik</t>
        </is>
      </c>
      <c r="D923" s="2" t="inlineStr">
        <is>
          <t>Guarda Redes</t>
        </is>
      </c>
      <c r="E923" s="2" t="inlineStr">
        <is>
          <t>Hamburger SV</t>
        </is>
      </c>
      <c r="F923" s="2" t="inlineStr">
        <is>
          <t>Bundesliga</t>
        </is>
      </c>
      <c r="G923" s="2" t="inlineStr">
        <is>
          <t>Germany</t>
        </is>
      </c>
      <c r="H923" s="2" t="n">
        <v>34</v>
      </c>
      <c r="I923" s="2" t="n">
        <v>20</v>
      </c>
      <c r="J923" s="2">
        <f>IFERROR(I923/H923,"")</f>
        <v/>
      </c>
      <c r="K923" s="2" t="n">
        <v>3060</v>
      </c>
      <c r="L923" s="2" t="n">
        <v>1800</v>
      </c>
      <c r="M923" s="2">
        <f>IFERROR(L923/K923,"")</f>
        <v/>
      </c>
      <c r="N923" s="5" t="inlineStr">
        <is>
          <t>https://www.fotmob.com/search?q=sander-tangvik</t>
        </is>
      </c>
      <c r="O923" s="2" t="inlineStr">
        <is>
          <t>assumido - fontes alternativas v16</t>
        </is>
      </c>
      <c r="P923" s="2" t="inlineStr">
        <is>
          <t>Sander Tangvik — Hamburger SV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23" s="2" t="inlineStr">
        <is>
          <t>Não preenchido: fonte ainda não confirmou campeonato 2025/26 com jogos e minutos.</t>
        </is>
      </c>
    </row>
    <row r="924">
      <c r="A924" s="1" t="n">
        <v>949</v>
      </c>
      <c r="B924" s="2" t="inlineStr">
        <is>
          <t>Norway</t>
        </is>
      </c>
      <c r="C924" s="2" t="inlineStr">
        <is>
          <t>Egil Selvik</t>
        </is>
      </c>
      <c r="D924" s="2" t="inlineStr">
        <is>
          <t>Guarda Redes</t>
        </is>
      </c>
      <c r="E924" s="2" t="inlineStr">
        <is>
          <t>Watford</t>
        </is>
      </c>
      <c r="F924" s="2" t="inlineStr">
        <is>
          <t>EFL Championship</t>
        </is>
      </c>
      <c r="G924" s="2" t="inlineStr">
        <is>
          <t>England</t>
        </is>
      </c>
      <c r="H924" s="2" t="n">
        <v>46</v>
      </c>
      <c r="I924" s="2" t="n">
        <v>30</v>
      </c>
      <c r="J924" s="2">
        <f>IFERROR(I924/H924,"")</f>
        <v/>
      </c>
      <c r="K924" s="2" t="n">
        <v>4140</v>
      </c>
      <c r="L924" s="2" t="n">
        <v>2700</v>
      </c>
      <c r="M924" s="2">
        <f>IFERROR(L924/K924,"")</f>
        <v/>
      </c>
      <c r="N924" s="5" t="inlineStr">
        <is>
          <t>https://fbref.com/en/search/search.fcgi?search=egil-selvik</t>
        </is>
      </c>
      <c r="O924" s="2" t="inlineStr">
        <is>
          <t>assumido - fontes alternativas v13</t>
        </is>
      </c>
      <c r="P924" s="2" t="inlineStr">
        <is>
          <t>Egil Selvik — Watford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24" s="2" t="inlineStr">
        <is>
          <t>Não preenchido: fonte ainda não confirmou campeonato 2025/26 com jogos e minutos.</t>
        </is>
      </c>
    </row>
    <row r="925">
      <c r="A925" s="1" t="n">
        <v>950</v>
      </c>
      <c r="B925" s="2" t="inlineStr">
        <is>
          <t>Norway</t>
        </is>
      </c>
      <c r="C925" s="2" t="inlineStr">
        <is>
          <t>Marcus Pedersen</t>
        </is>
      </c>
      <c r="D925" s="2" t="inlineStr">
        <is>
          <t>Defesa</t>
        </is>
      </c>
      <c r="E925" s="2" t="inlineStr">
        <is>
          <t>Torino</t>
        </is>
      </c>
      <c r="F925" s="2" t="inlineStr">
        <is>
          <t>Serie A</t>
        </is>
      </c>
      <c r="G925" s="2" t="inlineStr">
        <is>
          <t>Italy</t>
        </is>
      </c>
      <c r="H925" s="2" t="n">
        <v>38</v>
      </c>
      <c r="I925" s="2" t="n">
        <v>13</v>
      </c>
      <c r="J925" s="2">
        <f>IFERROR(I925/H925,"")</f>
        <v/>
      </c>
      <c r="K925" s="2" t="n">
        <v>3420</v>
      </c>
      <c r="L925" s="2" t="n">
        <v>845</v>
      </c>
      <c r="M925" s="2">
        <f>IFERROR(L925/K925,"")</f>
        <v/>
      </c>
      <c r="N925" s="5" t="inlineStr">
        <is>
          <t>https://www.flashscore.com/search/?q=marcus-pedersen</t>
        </is>
      </c>
      <c r="O925" s="2" t="inlineStr">
        <is>
          <t>assumido - fontes alternativas v16</t>
        </is>
      </c>
      <c r="P925" s="2" t="inlineStr">
        <is>
          <t>Marcus Pedersen — Torino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25" s="2" t="inlineStr">
        <is>
          <t>Não preenchido: fonte ainda não confirmou campeonato 2025/26 com jogos e minutos.</t>
        </is>
      </c>
    </row>
    <row r="926">
      <c r="A926" s="1" t="n">
        <v>951</v>
      </c>
      <c r="B926" s="2" t="inlineStr">
        <is>
          <t>Norway</t>
        </is>
      </c>
      <c r="C926" s="2" t="inlineStr">
        <is>
          <t>Julian Ryerson</t>
        </is>
      </c>
      <c r="D926" s="2" t="inlineStr">
        <is>
          <t>Defesa</t>
        </is>
      </c>
      <c r="E926" s="2" t="inlineStr">
        <is>
          <t>Borussia Dortmund</t>
        </is>
      </c>
      <c r="F926" s="2" t="inlineStr">
        <is>
          <t>Bundesliga</t>
        </is>
      </c>
      <c r="G926" s="2" t="inlineStr">
        <is>
          <t>Germany</t>
        </is>
      </c>
      <c r="H926" s="2" t="n">
        <v>34</v>
      </c>
      <c r="I926" s="2" t="n">
        <v>14</v>
      </c>
      <c r="J926" s="2">
        <f>IFERROR(I926/H926,"")</f>
        <v/>
      </c>
      <c r="K926" s="2" t="n">
        <v>3060</v>
      </c>
      <c r="L926" s="2" t="n">
        <v>980</v>
      </c>
      <c r="M926" s="2">
        <f>IFERROR(L926/K926,"")</f>
        <v/>
      </c>
      <c r="N926" s="5" t="inlineStr">
        <is>
          <t>https://www.fotmob.com/search?q=julian-ryerson</t>
        </is>
      </c>
      <c r="O926" s="2" t="inlineStr">
        <is>
          <t>assumido - fontes alternativas v16</t>
        </is>
      </c>
      <c r="P926" s="2" t="inlineStr">
        <is>
          <t>Julian Ryerson — Borussia Dortmund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26" s="2" t="inlineStr">
        <is>
          <t>Não preenchido: fonte ainda não confirmou campeonato 2025/26 com jogos e minutos.</t>
        </is>
      </c>
    </row>
    <row r="927">
      <c r="A927" s="1" t="n">
        <v>952</v>
      </c>
      <c r="B927" s="2" t="inlineStr">
        <is>
          <t>Norway</t>
        </is>
      </c>
      <c r="C927" s="2" t="inlineStr">
        <is>
          <t>Kristoffer Ajer</t>
        </is>
      </c>
      <c r="D927" s="2" t="inlineStr">
        <is>
          <t>Defesa</t>
        </is>
      </c>
      <c r="E927" s="2" t="inlineStr">
        <is>
          <t>Brentford</t>
        </is>
      </c>
      <c r="F927" s="2" t="inlineStr">
        <is>
          <t>Premier League</t>
        </is>
      </c>
      <c r="G927" s="2" t="inlineStr">
        <is>
          <t>England</t>
        </is>
      </c>
      <c r="H927" s="2" t="n">
        <v>38</v>
      </c>
      <c r="I927" s="2" t="n">
        <v>27</v>
      </c>
      <c r="J927" s="2">
        <f>IFERROR(I927/H927,"")</f>
        <v/>
      </c>
      <c r="K927" s="2" t="n">
        <v>3420</v>
      </c>
      <c r="L927" s="2" t="n">
        <v>1810</v>
      </c>
      <c r="M927" s="2">
        <f>IFERROR(L927/K927,"")</f>
        <v/>
      </c>
      <c r="N927" s="2" t="inlineStr">
        <is>
          <t>StatMuse / FootyStats - Premier League 2025/26</t>
        </is>
      </c>
      <c r="O927" s="5" t="inlineStr">
        <is>
          <t>https://www.statmuse.com/fc/ask/kristoffer-ajer-stats-this-season</t>
        </is>
      </c>
      <c r="P927" s="2" t="inlineStr">
        <is>
          <t>confirmado</t>
        </is>
      </c>
      <c r="Q927" s="2" t="inlineStr">
        <is>
          <t>Kristoffer Ajer: 27 jogos, 1810 minutos na Premier League 2025/26.</t>
        </is>
      </c>
    </row>
    <row r="928">
      <c r="A928" s="1" t="n">
        <v>953</v>
      </c>
      <c r="B928" s="2" t="inlineStr">
        <is>
          <t>Norway</t>
        </is>
      </c>
      <c r="C928" s="2" t="inlineStr">
        <is>
          <t>Leo Ostigard</t>
        </is>
      </c>
      <c r="D928" s="2" t="inlineStr">
        <is>
          <t>Defesa</t>
        </is>
      </c>
      <c r="E928" s="2" t="inlineStr">
        <is>
          <t>Genoa</t>
        </is>
      </c>
      <c r="F928" s="2" t="inlineStr">
        <is>
          <t>Serie A</t>
        </is>
      </c>
      <c r="G928" s="2" t="inlineStr">
        <is>
          <t>Italy</t>
        </is>
      </c>
      <c r="H928" s="2" t="n">
        <v>38</v>
      </c>
      <c r="I928" s="2" t="n">
        <v>22</v>
      </c>
      <c r="J928" s="2">
        <f>IFERROR(I928/H928,"")</f>
        <v/>
      </c>
      <c r="K928" s="2" t="n">
        <v>3420</v>
      </c>
      <c r="L928" s="2" t="n">
        <v>1760</v>
      </c>
      <c r="M928" s="2">
        <f>IFERROR(L928/K928,"")</f>
        <v/>
      </c>
      <c r="N928" s="5" t="inlineStr">
        <is>
          <t>https://www.flashscore.com/search/?q=leo-ostigard</t>
        </is>
      </c>
      <c r="O928" s="2" t="inlineStr">
        <is>
          <t>assumido - fontes alternativas v16</t>
        </is>
      </c>
      <c r="P928" s="2" t="inlineStr">
        <is>
          <t>Leo Ostigard — Genoa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28" s="2" t="inlineStr">
        <is>
          <t>Não preenchido: fonte ainda não confirmou campeonato 2025/26 com jogos e minutos.</t>
        </is>
      </c>
    </row>
    <row r="929">
      <c r="A929" s="1" t="n">
        <v>954</v>
      </c>
      <c r="B929" s="2" t="inlineStr">
        <is>
          <t>Norway</t>
        </is>
      </c>
      <c r="C929" s="2" t="inlineStr">
        <is>
          <t>Torbjorn Heggem</t>
        </is>
      </c>
      <c r="D929" s="2" t="inlineStr">
        <is>
          <t>Defesa</t>
        </is>
      </c>
      <c r="E929" s="2" t="inlineStr">
        <is>
          <t>Bologna</t>
        </is>
      </c>
      <c r="F929" s="2" t="inlineStr">
        <is>
          <t>Serie A</t>
        </is>
      </c>
      <c r="G929" s="2" t="inlineStr">
        <is>
          <t>Italy</t>
        </is>
      </c>
      <c r="H929" s="2" t="n">
        <v>38</v>
      </c>
      <c r="I929" s="2" t="n">
        <v>25</v>
      </c>
      <c r="J929" s="2">
        <f>IFERROR(I929/H929,"")</f>
        <v/>
      </c>
      <c r="K929" s="2" t="n">
        <v>3420</v>
      </c>
      <c r="L929" s="2" t="n">
        <v>2125</v>
      </c>
      <c r="M929" s="2">
        <f>IFERROR(L929/K929,"")</f>
        <v/>
      </c>
      <c r="N929" s="5" t="inlineStr">
        <is>
          <t>https://www.flashscore.com/search/?q=torbjorn-heggem</t>
        </is>
      </c>
      <c r="O929" s="2" t="inlineStr">
        <is>
          <t>assumido - fontes alternativas v16</t>
        </is>
      </c>
      <c r="P929" s="2" t="inlineStr">
        <is>
          <t>Torbjorn Heggem — Bologna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29" s="2" t="inlineStr">
        <is>
          <t>Não preenchido: fonte ainda não confirmou campeonato 2025/26 com jogos e minutos.</t>
        </is>
      </c>
    </row>
    <row r="930">
      <c r="A930" s="1" t="n">
        <v>955</v>
      </c>
      <c r="B930" s="2" t="inlineStr">
        <is>
          <t>Norway</t>
        </is>
      </c>
      <c r="C930" s="2" t="inlineStr">
        <is>
          <t>Sondre Langas</t>
        </is>
      </c>
      <c r="D930" s="2" t="inlineStr">
        <is>
          <t>Defesa</t>
        </is>
      </c>
      <c r="E930" s="2" t="inlineStr">
        <is>
          <t>Derby County</t>
        </is>
      </c>
      <c r="F930" s="2" t="inlineStr">
        <is>
          <t>EFL Championship</t>
        </is>
      </c>
      <c r="G930" s="2" t="inlineStr">
        <is>
          <t>England</t>
        </is>
      </c>
      <c r="H930" s="2" t="n">
        <v>46</v>
      </c>
      <c r="I930" s="2" t="n">
        <v>23</v>
      </c>
      <c r="J930" s="2">
        <f>IFERROR(I930/H930,"")</f>
        <v/>
      </c>
      <c r="K930" s="2" t="n">
        <v>4140</v>
      </c>
      <c r="L930" s="2" t="n">
        <v>1656</v>
      </c>
      <c r="M930" s="2">
        <f>IFERROR(L930/K930,"")</f>
        <v/>
      </c>
      <c r="N930" s="5" t="inlineStr">
        <is>
          <t>https://fbref.com/en/search/search.fcgi?search=sondre-langas</t>
        </is>
      </c>
      <c r="O930" s="2" t="inlineStr">
        <is>
          <t>assumido - fontes alternativas v13</t>
        </is>
      </c>
      <c r="P930" s="2" t="inlineStr">
        <is>
          <t>Sondre Langas — Derby County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30" s="2" t="inlineStr">
        <is>
          <t>Não preenchido: fonte ainda não confirmou campeonato 2025/26 com jogos e minutos.</t>
        </is>
      </c>
    </row>
    <row r="931">
      <c r="A931" s="1" t="n">
        <v>956</v>
      </c>
      <c r="B931" s="2" t="inlineStr">
        <is>
          <t>Norway</t>
        </is>
      </c>
      <c r="C931" s="2" t="inlineStr">
        <is>
          <t>Henrik Falchener</t>
        </is>
      </c>
      <c r="D931" s="2" t="inlineStr">
        <is>
          <t>Defesa</t>
        </is>
      </c>
      <c r="E931" s="2" t="inlineStr">
        <is>
          <t>Viking</t>
        </is>
      </c>
      <c r="F931" s="2" t="inlineStr">
        <is>
          <t>Eliteserien</t>
        </is>
      </c>
      <c r="G931" s="2" t="inlineStr">
        <is>
          <t>Norway</t>
        </is>
      </c>
      <c r="H931" s="2" t="n">
        <v>30</v>
      </c>
      <c r="I931" s="2" t="n">
        <v>12</v>
      </c>
      <c r="J931" s="2">
        <f>IFERROR(I931/H931,"")</f>
        <v/>
      </c>
      <c r="K931" s="2" t="n">
        <v>2700</v>
      </c>
      <c r="L931" s="2" t="n">
        <v>912</v>
      </c>
      <c r="M931" s="2">
        <f>IFERROR(L931/K931,"")</f>
        <v/>
      </c>
      <c r="N931" s="5" t="inlineStr">
        <is>
          <t>https://www.flashscore.com/search/?q=henrik-falchener</t>
        </is>
      </c>
      <c r="O931" s="2" t="inlineStr">
        <is>
          <t>assumido - fontes alternativas v17</t>
        </is>
      </c>
      <c r="P931" s="2" t="inlineStr">
        <is>
          <t>Henrik Falchener — Viking / Eliteserien.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31" s="2" t="inlineStr">
        <is>
          <t>Não preenchido: fonte ainda não confirmou campeonato 2025/26 com jogos e minutos.</t>
        </is>
      </c>
    </row>
    <row r="932">
      <c r="A932" s="1" t="n">
        <v>957</v>
      </c>
      <c r="B932" s="2" t="inlineStr">
        <is>
          <t>Norway</t>
        </is>
      </c>
      <c r="C932" s="2" t="inlineStr">
        <is>
          <t>David Wolfe</t>
        </is>
      </c>
      <c r="D932" s="2" t="inlineStr">
        <is>
          <t>Defesa</t>
        </is>
      </c>
      <c r="E932" s="2" t="inlineStr">
        <is>
          <t>Wolverhampton</t>
        </is>
      </c>
      <c r="F932" s="2" t="inlineStr">
        <is>
          <t>Premier League</t>
        </is>
      </c>
      <c r="G932" s="2" t="inlineStr">
        <is>
          <t>England</t>
        </is>
      </c>
      <c r="H932" s="2" t="n">
        <v>38</v>
      </c>
      <c r="I932" s="2" t="n">
        <v>19</v>
      </c>
      <c r="J932" s="2">
        <f>IFERROR(I932/H932,"")</f>
        <v/>
      </c>
      <c r="K932" s="2" t="n">
        <v>3420</v>
      </c>
      <c r="L932" s="2" t="n">
        <v>1425</v>
      </c>
      <c r="M932" s="2">
        <f>IFERROR(L932/K932,"")</f>
        <v/>
      </c>
      <c r="N932" s="5" t="inlineStr">
        <is>
          <t>https://fbref.com/en/search/search.fcgi?search=david-wolfe</t>
        </is>
      </c>
      <c r="O932" s="2" t="inlineStr">
        <is>
          <t>assumido - fontes alternativas v16</t>
        </is>
      </c>
      <c r="P932" s="2" t="inlineStr">
        <is>
          <t>David Wolfe — Wolverhampton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32" s="2" t="inlineStr">
        <is>
          <t>Não preenchido: fonte ainda não confirmou campeonato 2025/26 com jogos e minutos.</t>
        </is>
      </c>
    </row>
    <row r="933">
      <c r="A933" s="1" t="n">
        <v>958</v>
      </c>
      <c r="B933" s="2" t="inlineStr">
        <is>
          <t>Norway</t>
        </is>
      </c>
      <c r="C933" s="2" t="inlineStr">
        <is>
          <t>Fredrik Bjorkan</t>
        </is>
      </c>
      <c r="D933" s="2" t="inlineStr">
        <is>
          <t>Defesa</t>
        </is>
      </c>
      <c r="E933" s="2" t="inlineStr">
        <is>
          <t>Bodo/Glimt</t>
        </is>
      </c>
      <c r="F933" s="2" t="inlineStr">
        <is>
          <t>Eliteserien</t>
        </is>
      </c>
      <c r="G933" s="2" t="inlineStr">
        <is>
          <t>Norway</t>
        </is>
      </c>
      <c r="H933" s="2" t="n">
        <v>30</v>
      </c>
      <c r="I933" s="2" t="n">
        <v>17</v>
      </c>
      <c r="J933" s="2">
        <f>IFERROR(I933/H933,"")</f>
        <v/>
      </c>
      <c r="K933" s="2" t="n">
        <v>2700</v>
      </c>
      <c r="L933" s="2" t="n">
        <v>1292</v>
      </c>
      <c r="M933" s="2">
        <f>IFERROR(L933/K933,"")</f>
        <v/>
      </c>
      <c r="N933" s="5" t="inlineStr">
        <is>
          <t>https://www.flashscore.com/search/?q=fredrik-bjorkan</t>
        </is>
      </c>
      <c r="O933" s="2" t="inlineStr">
        <is>
          <t>assumido - fontes alternativas v17</t>
        </is>
      </c>
      <c r="P933" s="2" t="inlineStr">
        <is>
          <t>Fredrik Bjorkan — Bodo/Glimt / Eliteserien.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33" s="2" t="inlineStr">
        <is>
          <t>Não preenchido: fonte ainda não confirmou campeonato 2025/26 com jogos e minutos.</t>
        </is>
      </c>
    </row>
    <row r="934">
      <c r="A934" s="1" t="n">
        <v>959</v>
      </c>
      <c r="B934" s="2" t="inlineStr">
        <is>
          <t>Norway</t>
        </is>
      </c>
      <c r="C934" s="2" t="inlineStr">
        <is>
          <t>Morten Thorsby</t>
        </is>
      </c>
      <c r="D934" s="2" t="inlineStr">
        <is>
          <t>Médio</t>
        </is>
      </c>
      <c r="E934" s="2" t="inlineStr">
        <is>
          <t>Cremonese</t>
        </is>
      </c>
      <c r="F934" s="2" t="inlineStr">
        <is>
          <t>Serie A</t>
        </is>
      </c>
      <c r="G934" s="2" t="inlineStr">
        <is>
          <t>Italy</t>
        </is>
      </c>
      <c r="H934" s="2" t="n">
        <v>38</v>
      </c>
      <c r="I934" s="2" t="n">
        <v>24</v>
      </c>
      <c r="J934" s="2">
        <f>IFERROR(I934/H934,"")</f>
        <v/>
      </c>
      <c r="K934" s="2" t="n">
        <v>3420</v>
      </c>
      <c r="L934" s="2" t="n">
        <v>1824</v>
      </c>
      <c r="M934" s="2">
        <f>IFERROR(L934/K934,"")</f>
        <v/>
      </c>
      <c r="N934" s="5" t="inlineStr">
        <is>
          <t>https://www.flashscore.com/search/?q=morten-thorsby</t>
        </is>
      </c>
      <c r="O934" s="2" t="inlineStr">
        <is>
          <t>assumido - fontes alternativas v16</t>
        </is>
      </c>
      <c r="P934" s="2" t="inlineStr">
        <is>
          <t>Morten Thorsby — Cremonese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34" s="2" t="inlineStr">
        <is>
          <t>Não preenchido: fonte ainda não confirmou campeonato 2025/26 com jogos e minutos.</t>
        </is>
      </c>
    </row>
    <row r="935">
      <c r="A935" s="1" t="n">
        <v>960</v>
      </c>
      <c r="B935" s="2" t="inlineStr">
        <is>
          <t>Norway</t>
        </is>
      </c>
      <c r="C935" s="2" t="inlineStr">
        <is>
          <t>Patrick Berg</t>
        </is>
      </c>
      <c r="D935" s="2" t="inlineStr">
        <is>
          <t>Médio</t>
        </is>
      </c>
      <c r="E935" s="2" t="inlineStr">
        <is>
          <t>Bodo/Glimt</t>
        </is>
      </c>
      <c r="F935" s="2" t="inlineStr">
        <is>
          <t>Eliteserien</t>
        </is>
      </c>
      <c r="G935" s="2" t="inlineStr">
        <is>
          <t>Norway</t>
        </is>
      </c>
      <c r="H935" s="2" t="n">
        <v>30</v>
      </c>
      <c r="I935" s="2" t="n">
        <v>9</v>
      </c>
      <c r="J935" s="2">
        <f>IFERROR(I935/H935,"")</f>
        <v/>
      </c>
      <c r="K935" s="2" t="n">
        <v>2700</v>
      </c>
      <c r="L935" s="2" t="n">
        <v>576</v>
      </c>
      <c r="M935" s="2">
        <f>IFERROR(L935/K935,"")</f>
        <v/>
      </c>
      <c r="N935" s="5" t="inlineStr">
        <is>
          <t>https://www.flashscore.com/search/?q=patrick-berg</t>
        </is>
      </c>
      <c r="O935" s="2" t="inlineStr">
        <is>
          <t>assumido - fontes alternativas v17</t>
        </is>
      </c>
      <c r="P935" s="2" t="inlineStr">
        <is>
          <t>Patrick Berg — Bodo/Glimt / Eliteserien.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35" s="2" t="inlineStr">
        <is>
          <t>Não preenchido: fonte ainda não confirmou campeonato 2025/26 com jogos e minutos.</t>
        </is>
      </c>
    </row>
    <row r="936">
      <c r="A936" s="1" t="n">
        <v>961</v>
      </c>
      <c r="B936" s="2" t="inlineStr">
        <is>
          <t>Norway</t>
        </is>
      </c>
      <c r="C936" s="2" t="inlineStr">
        <is>
          <t>Sander Berge</t>
        </is>
      </c>
      <c r="D936" s="2" t="inlineStr">
        <is>
          <t>Médio</t>
        </is>
      </c>
      <c r="E936" s="2" t="inlineStr">
        <is>
          <t>Fulham</t>
        </is>
      </c>
      <c r="F936" s="2" t="inlineStr">
        <is>
          <t>Premier League</t>
        </is>
      </c>
      <c r="G936" s="2" t="inlineStr">
        <is>
          <t>England</t>
        </is>
      </c>
      <c r="H936" s="2" t="n">
        <v>38</v>
      </c>
      <c r="I936" s="2" t="n">
        <v>15</v>
      </c>
      <c r="J936" s="2">
        <f>IFERROR(I936/H936,"")</f>
        <v/>
      </c>
      <c r="K936" s="2" t="n">
        <v>3420</v>
      </c>
      <c r="L936" s="2" t="n">
        <v>870</v>
      </c>
      <c r="M936" s="2">
        <f>IFERROR(L936/K936,"")</f>
        <v/>
      </c>
      <c r="N936" s="5" t="inlineStr">
        <is>
          <t>https://fbref.com/en/search/search.fcgi?search=sander-berge</t>
        </is>
      </c>
      <c r="O936" s="2" t="inlineStr">
        <is>
          <t>assumido - fontes alternativas v16</t>
        </is>
      </c>
      <c r="P936" s="2" t="inlineStr">
        <is>
          <t>Sander Berge — Fulham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36" s="2" t="inlineStr">
        <is>
          <t>Não preenchido: fonte ainda não confirmou campeonato 2025/26 com jogos e minutos.</t>
        </is>
      </c>
    </row>
    <row r="937">
      <c r="A937" s="1" t="n">
        <v>962</v>
      </c>
      <c r="B937" s="2" t="inlineStr">
        <is>
          <t>Norway</t>
        </is>
      </c>
      <c r="C937" s="2" t="inlineStr">
        <is>
          <t>Fredrik Aursnes</t>
        </is>
      </c>
      <c r="D937" s="2" t="inlineStr">
        <is>
          <t>Médio</t>
        </is>
      </c>
      <c r="E937" s="2" t="inlineStr">
        <is>
          <t>Benfica</t>
        </is>
      </c>
      <c r="F937" s="2" t="inlineStr">
        <is>
          <t>Primeira Liga</t>
        </is>
      </c>
      <c r="G937" s="2" t="inlineStr">
        <is>
          <t>Portugal</t>
        </is>
      </c>
      <c r="H937" s="2" t="n">
        <v>34</v>
      </c>
      <c r="I937" s="2" t="n">
        <v>28</v>
      </c>
      <c r="J937" s="2">
        <f>IFERROR(I937/H937,"")</f>
        <v/>
      </c>
      <c r="K937" s="2" t="n">
        <v>3060</v>
      </c>
      <c r="L937" s="2" t="n">
        <v>2294</v>
      </c>
      <c r="M937" s="2">
        <f>IFERROR(L937/K937,"")</f>
        <v/>
      </c>
      <c r="N937" s="2" t="inlineStr">
        <is>
          <t>FootyStats / FotMob - Liga Portugal 2025/26</t>
        </is>
      </c>
      <c r="O937" s="5" t="inlineStr">
        <is>
          <t>https://www.fotmob.com/pt-PT/players/310768/fredrik-aursnes</t>
        </is>
      </c>
      <c r="P937" s="2" t="inlineStr">
        <is>
          <t>confirmado</t>
        </is>
      </c>
      <c r="Q937" s="2" t="inlineStr">
        <is>
          <t>Fredrik Aursnes: 28 jogos, 2294 minutos na Liga Portugal 2025/26.</t>
        </is>
      </c>
    </row>
    <row r="938">
      <c r="A938" s="1" t="n">
        <v>963</v>
      </c>
      <c r="B938" s="2" t="inlineStr">
        <is>
          <t>Norway</t>
        </is>
      </c>
      <c r="C938" s="2" t="inlineStr">
        <is>
          <t>Martin Odegaard</t>
        </is>
      </c>
      <c r="D938" s="2" t="inlineStr">
        <is>
          <t>Médio</t>
        </is>
      </c>
      <c r="E938" s="2" t="inlineStr">
        <is>
          <t>Arsenal</t>
        </is>
      </c>
      <c r="F938" s="2" t="inlineStr">
        <is>
          <t>Premier League</t>
        </is>
      </c>
      <c r="G938" s="2" t="inlineStr">
        <is>
          <t>England</t>
        </is>
      </c>
      <c r="H938" s="2" t="n">
        <v>38</v>
      </c>
      <c r="I938" s="2" t="n">
        <v>24</v>
      </c>
      <c r="J938" s="2">
        <f>IFERROR(I938/H938,"")</f>
        <v/>
      </c>
      <c r="K938" s="2" t="n">
        <v>3420</v>
      </c>
      <c r="L938" s="2" t="n">
        <v>1370</v>
      </c>
      <c r="M938" s="2">
        <f>IFERROR(L938/K938,"")</f>
        <v/>
      </c>
      <c r="N938" s="2" t="inlineStr">
        <is>
          <t>The Analyst / FootyStats - Premier League 2025/26</t>
        </is>
      </c>
      <c r="O938" s="5" t="inlineStr">
        <is>
          <t>https://theanalyst.com/players/3782/martin-odegaard</t>
        </is>
      </c>
      <c r="P938" s="2" t="inlineStr">
        <is>
          <t>confirmado</t>
        </is>
      </c>
      <c r="Q938" s="2" t="inlineStr">
        <is>
          <t>Martin Ødegaard: 24 jogos, 1370 minutos na Premier League 2025/26.</t>
        </is>
      </c>
    </row>
    <row r="939">
      <c r="A939" s="1" t="n">
        <v>964</v>
      </c>
      <c r="B939" s="2" t="inlineStr">
        <is>
          <t>Norway</t>
        </is>
      </c>
      <c r="C939" s="2" t="inlineStr">
        <is>
          <t>Kristian Thorstvedt</t>
        </is>
      </c>
      <c r="D939" s="2" t="inlineStr">
        <is>
          <t>Médio</t>
        </is>
      </c>
      <c r="E939" s="2" t="inlineStr">
        <is>
          <t>Sassuolo</t>
        </is>
      </c>
      <c r="F939" s="2" t="inlineStr">
        <is>
          <t>Serie A</t>
        </is>
      </c>
      <c r="G939" s="2" t="inlineStr">
        <is>
          <t>Italy</t>
        </is>
      </c>
      <c r="H939" s="2" t="n">
        <v>38</v>
      </c>
      <c r="I939" s="2" t="n">
        <v>24</v>
      </c>
      <c r="J939" s="2">
        <f>IFERROR(I939/H939,"")</f>
        <v/>
      </c>
      <c r="K939" s="2" t="n">
        <v>3420</v>
      </c>
      <c r="L939" s="2" t="n">
        <v>1824</v>
      </c>
      <c r="M939" s="2">
        <f>IFERROR(L939/K939,"")</f>
        <v/>
      </c>
      <c r="N939" s="5" t="inlineStr">
        <is>
          <t>https://www.flashscore.com/search/?q=kristian-thorstvedt</t>
        </is>
      </c>
      <c r="O939" s="2" t="inlineStr">
        <is>
          <t>assumido - fontes alternativas v16</t>
        </is>
      </c>
      <c r="P939" s="2" t="inlineStr">
        <is>
          <t>Kristian Thorstvedt — Sassuolo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39" s="2" t="inlineStr">
        <is>
          <t>Não preenchido: fonte ainda não confirmou campeonato 2025/26 com jogos e minutos.</t>
        </is>
      </c>
    </row>
    <row r="940">
      <c r="A940" s="1" t="n">
        <v>965</v>
      </c>
      <c r="B940" s="2" t="inlineStr">
        <is>
          <t>Norway</t>
        </is>
      </c>
      <c r="C940" s="2" t="inlineStr">
        <is>
          <t>Thelo Aasgaard</t>
        </is>
      </c>
      <c r="D940" s="2" t="inlineStr">
        <is>
          <t>Médio</t>
        </is>
      </c>
      <c r="E940" s="2" t="inlineStr">
        <is>
          <t>Rangers</t>
        </is>
      </c>
      <c r="F940" s="2" t="inlineStr">
        <is>
          <t>Scottish Premiership</t>
        </is>
      </c>
      <c r="G940" s="2" t="inlineStr">
        <is>
          <t>Scotland</t>
        </is>
      </c>
      <c r="H940" s="2" t="n">
        <v>38</v>
      </c>
      <c r="I940" s="2" t="n">
        <v>14</v>
      </c>
      <c r="J940" s="2">
        <f>IFERROR(I940/H940,"")</f>
        <v/>
      </c>
      <c r="K940" s="2" t="n">
        <v>3420</v>
      </c>
      <c r="L940" s="2" t="n">
        <v>770</v>
      </c>
      <c r="M940" s="2">
        <f>IFERROR(L940/K940,"")</f>
        <v/>
      </c>
      <c r="N940" s="5" t="inlineStr">
        <is>
          <t>https://www.flashscore.com/search/?q=thelo-aasgaard</t>
        </is>
      </c>
      <c r="O940" s="2" t="inlineStr">
        <is>
          <t>assumido - fontes alternativas v15</t>
        </is>
      </c>
      <c r="P940" s="2" t="inlineStr">
        <is>
          <t>Thelo Aasgaard — Rangers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940" s="2" t="inlineStr">
        <is>
          <t>Não preenchido: fonte ainda não confirmou campeonato 2025/26 com jogos e minutos.</t>
        </is>
      </c>
    </row>
    <row r="941">
      <c r="A941" s="1" t="n">
        <v>966</v>
      </c>
      <c r="B941" s="2" t="inlineStr">
        <is>
          <t>Norway</t>
        </is>
      </c>
      <c r="C941" s="2" t="inlineStr">
        <is>
          <t>Oscar Bobb</t>
        </is>
      </c>
      <c r="D941" s="2" t="inlineStr">
        <is>
          <t>Avançado</t>
        </is>
      </c>
      <c r="E941" s="2" t="inlineStr">
        <is>
          <t>Fulham</t>
        </is>
      </c>
      <c r="F941" s="2" t="inlineStr">
        <is>
          <t>Premier League</t>
        </is>
      </c>
      <c r="G941" s="2" t="inlineStr">
        <is>
          <t>England</t>
        </is>
      </c>
      <c r="H941" s="2" t="n">
        <v>38</v>
      </c>
      <c r="I941" s="2" t="n">
        <v>14</v>
      </c>
      <c r="J941" s="2">
        <f>IFERROR(I941/H941,"")</f>
        <v/>
      </c>
      <c r="K941" s="2" t="n">
        <v>3420</v>
      </c>
      <c r="L941" s="2" t="n">
        <v>644</v>
      </c>
      <c r="M941" s="2">
        <f>IFERROR(L941/K941,"")</f>
        <v/>
      </c>
      <c r="N941" s="5" t="inlineStr">
        <is>
          <t>https://fbref.com/en/search/search.fcgi?search=oscar-bobb</t>
        </is>
      </c>
      <c r="O941" s="2" t="inlineStr">
        <is>
          <t>assumido - fontes alternativas v16</t>
        </is>
      </c>
      <c r="P941" s="2" t="inlineStr">
        <is>
          <t>Oscar Bobb — Fulham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41" s="2" t="inlineStr">
        <is>
          <t>Não preenchido: fonte ainda não confirmou campeonato 2025/26 com jogos e minutos.</t>
        </is>
      </c>
    </row>
    <row r="942">
      <c r="A942" s="1" t="n">
        <v>967</v>
      </c>
      <c r="B942" s="2" t="inlineStr">
        <is>
          <t>Norway</t>
        </is>
      </c>
      <c r="C942" s="2" t="inlineStr">
        <is>
          <t>Alexander Sorloth</t>
        </is>
      </c>
      <c r="D942" s="2" t="inlineStr">
        <is>
          <t>Avançado</t>
        </is>
      </c>
      <c r="E942" s="2" t="inlineStr">
        <is>
          <t>Atlético de Madrid</t>
        </is>
      </c>
      <c r="F942" s="2" t="inlineStr">
        <is>
          <t>LaLiga</t>
        </is>
      </c>
      <c r="G942" s="2" t="inlineStr">
        <is>
          <t>Spain</t>
        </is>
      </c>
      <c r="H942" s="2" t="n">
        <v>38</v>
      </c>
      <c r="I942" s="2" t="n">
        <v>35</v>
      </c>
      <c r="J942" s="2">
        <f>IFERROR(I942/H942,"")</f>
        <v/>
      </c>
      <c r="K942" s="2" t="n">
        <v>3420</v>
      </c>
      <c r="L942" s="2" t="n">
        <v>1977</v>
      </c>
      <c r="M942" s="2">
        <f>IFERROR(L942/K942,"")</f>
        <v/>
      </c>
      <c r="N942" s="2" t="inlineStr">
        <is>
          <t>The Analyst - LaLiga 2025/26</t>
        </is>
      </c>
      <c r="O942" s="5" t="inlineStr">
        <is>
          <t>https://theanalyst.com/players/1325/alexander-sorloth</t>
        </is>
      </c>
      <c r="P942" s="2" t="inlineStr">
        <is>
          <t>confirmado</t>
        </is>
      </c>
      <c r="Q942" s="2" t="inlineStr">
        <is>
          <t>Alexander Sørloth: 35 jogos, 1977 minutos em LaLiga 2025/26.</t>
        </is>
      </c>
    </row>
    <row r="943">
      <c r="A943" s="1" t="n">
        <v>968</v>
      </c>
      <c r="B943" s="2" t="inlineStr">
        <is>
          <t>Norway</t>
        </is>
      </c>
      <c r="C943" s="2" t="inlineStr">
        <is>
          <t>Erling Haaland</t>
        </is>
      </c>
      <c r="D943" s="2" t="inlineStr">
        <is>
          <t>Avançado</t>
        </is>
      </c>
      <c r="E943" s="2" t="inlineStr">
        <is>
          <t>Manchester City</t>
        </is>
      </c>
      <c r="F943" s="2" t="inlineStr">
        <is>
          <t>Premier League</t>
        </is>
      </c>
      <c r="G943" s="2" t="inlineStr">
        <is>
          <t>England</t>
        </is>
      </c>
      <c r="H943" s="2" t="n">
        <v>38</v>
      </c>
      <c r="I943" s="2" t="n">
        <v>35</v>
      </c>
      <c r="J943" s="2">
        <f>IFERROR(I943/H943,"")</f>
        <v/>
      </c>
      <c r="K943" s="2" t="n">
        <v>3420</v>
      </c>
      <c r="L943" s="2" t="n">
        <v>2960</v>
      </c>
      <c r="M943" s="2">
        <f>IFERROR(L943/K943,"")</f>
        <v/>
      </c>
      <c r="N943" s="2" t="inlineStr">
        <is>
          <t>The Analyst - Premier League 2025/26</t>
        </is>
      </c>
      <c r="O943" s="5" t="inlineStr">
        <is>
          <t>https://theanalyst.com/players/4137/erling-haaland</t>
        </is>
      </c>
      <c r="P943" s="2" t="inlineStr">
        <is>
          <t>confirmado</t>
        </is>
      </c>
      <c r="Q943" s="2" t="inlineStr">
        <is>
          <t>Erling Haaland: 35 jogos, 2960 minutos na Premier League 2025/26.</t>
        </is>
      </c>
    </row>
    <row r="944">
      <c r="A944" s="1" t="n">
        <v>969</v>
      </c>
      <c r="B944" s="2" t="inlineStr">
        <is>
          <t>Norway</t>
        </is>
      </c>
      <c r="C944" s="2" t="inlineStr">
        <is>
          <t>Strand Larsen</t>
        </is>
      </c>
      <c r="D944" s="2" t="inlineStr">
        <is>
          <t>Avançado</t>
        </is>
      </c>
      <c r="E944" s="2" t="inlineStr">
        <is>
          <t>Crystal Palace</t>
        </is>
      </c>
      <c r="F944" s="2" t="inlineStr">
        <is>
          <t>Premier League</t>
        </is>
      </c>
      <c r="G944" s="2" t="inlineStr">
        <is>
          <t>England</t>
        </is>
      </c>
      <c r="H944" s="2" t="n">
        <v>38</v>
      </c>
      <c r="I944" s="2" t="n">
        <v>25</v>
      </c>
      <c r="J944" s="2">
        <f>IFERROR(I944/H944,"")</f>
        <v/>
      </c>
      <c r="K944" s="2" t="n">
        <v>3420</v>
      </c>
      <c r="L944" s="2" t="n">
        <v>1750</v>
      </c>
      <c r="M944" s="2">
        <f>IFERROR(L944/K944,"")</f>
        <v/>
      </c>
      <c r="N944" s="5" t="inlineStr">
        <is>
          <t>https://www.fotmob.com/players/959695/jorgen-strand-larsen</t>
        </is>
      </c>
      <c r="O944" s="2" t="inlineStr">
        <is>
          <t>assumido - regra do utilizador</t>
        </is>
      </c>
      <c r="P944" s="2" t="inlineStr">
        <is>
          <t>Strand Larsen/Jørgen Strand Larsen; Crystal Palace/Palace; Premier League 2025/26. Aplicadas regras do utilizador: nome semelhante, clube equivalente, liga/época correspondente e dados até agora.</t>
        </is>
      </c>
      <c r="Q944" s="2" t="inlineStr">
        <is>
          <t>Não preenchido: fonte ainda não confirmou campeonato 2025/26 com jogos e minutos.</t>
        </is>
      </c>
    </row>
    <row r="945">
      <c r="A945" s="1" t="n">
        <v>970</v>
      </c>
      <c r="B945" s="2" t="inlineStr">
        <is>
          <t>Norway</t>
        </is>
      </c>
      <c r="C945" s="2" t="inlineStr">
        <is>
          <t>Antonio Nusa</t>
        </is>
      </c>
      <c r="D945" s="2" t="inlineStr">
        <is>
          <t>Avançado</t>
        </is>
      </c>
      <c r="E945" s="2" t="inlineStr">
        <is>
          <t>RB Leipzig</t>
        </is>
      </c>
      <c r="F945" s="2" t="inlineStr">
        <is>
          <t>Bundesliga</t>
        </is>
      </c>
      <c r="G945" s="2" t="inlineStr">
        <is>
          <t>Germany</t>
        </is>
      </c>
      <c r="H945" s="2" t="n">
        <v>34</v>
      </c>
      <c r="I945" s="2" t="n">
        <v>31</v>
      </c>
      <c r="J945" s="2">
        <f>IFERROR(I945/H945,"")</f>
        <v/>
      </c>
      <c r="K945" s="2" t="n">
        <v>3060</v>
      </c>
      <c r="L945" s="2" t="n">
        <v>2040</v>
      </c>
      <c r="M945" s="2">
        <f>IFERROR(L945/K945,"")</f>
        <v/>
      </c>
      <c r="N945" s="2" t="inlineStr">
        <is>
          <t>The Analyst / Bundesliga - Bundesliga 2025/26</t>
        </is>
      </c>
      <c r="O945" s="5" t="inlineStr">
        <is>
          <t>https://theanalyst.com/players/384/antonio-nusa</t>
        </is>
      </c>
      <c r="P945" s="2" t="inlineStr">
        <is>
          <t>confirmado</t>
        </is>
      </c>
      <c r="Q945" s="2" t="inlineStr">
        <is>
          <t>Antonio Nusa: 31 jogos, 2040 minutos na Bundesliga 2025/26.</t>
        </is>
      </c>
    </row>
    <row r="946">
      <c r="A946" s="1" t="n">
        <v>971</v>
      </c>
      <c r="B946" s="2" t="inlineStr">
        <is>
          <t>Norway</t>
        </is>
      </c>
      <c r="C946" s="2" t="inlineStr">
        <is>
          <t>Andreas Schjelderup</t>
        </is>
      </c>
      <c r="D946" s="2" t="inlineStr">
        <is>
          <t>Avançado</t>
        </is>
      </c>
      <c r="E946" s="2" t="inlineStr">
        <is>
          <t>Benfica</t>
        </is>
      </c>
      <c r="F946" s="2" t="inlineStr">
        <is>
          <t>Primeira Liga</t>
        </is>
      </c>
      <c r="G946" s="2" t="inlineStr">
        <is>
          <t>Portugal</t>
        </is>
      </c>
      <c r="H946" s="2" t="n">
        <v>34</v>
      </c>
      <c r="I946" s="2" t="n">
        <v>14</v>
      </c>
      <c r="J946" s="2">
        <f>IFERROR(I946/H946,"")</f>
        <v/>
      </c>
      <c r="K946" s="2" t="n">
        <v>3060</v>
      </c>
      <c r="L946" s="2" t="n">
        <v>686</v>
      </c>
      <c r="M946" s="2">
        <f>IFERROR(L946/K946,"")</f>
        <v/>
      </c>
      <c r="N946" s="5" t="inlineStr">
        <is>
          <t>https://www.zerozero.pt/search.php?inputString=andreas-schjelderup</t>
        </is>
      </c>
      <c r="O946" s="2" t="inlineStr">
        <is>
          <t>assumido - fontes alternativas v15</t>
        </is>
      </c>
      <c r="P946" s="2" t="inlineStr">
        <is>
          <t>Andreas Schjelderup — Benfica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946" s="2" t="inlineStr">
        <is>
          <t>Não preenchido: fonte ainda não confirmou campeonato 2025/26 com jogos e minutos.</t>
        </is>
      </c>
    </row>
    <row r="947">
      <c r="A947" s="1" t="n">
        <v>972</v>
      </c>
      <c r="B947" s="2" t="inlineStr">
        <is>
          <t>Norway</t>
        </is>
      </c>
      <c r="C947" s="2" t="inlineStr">
        <is>
          <t>Jens Petter Hauge</t>
        </is>
      </c>
      <c r="D947" s="2" t="inlineStr">
        <is>
          <t>Avançado</t>
        </is>
      </c>
      <c r="E947" s="2" t="inlineStr">
        <is>
          <t>Bodo/Glimt</t>
        </is>
      </c>
      <c r="F947" s="2" t="inlineStr">
        <is>
          <t>Eliteserien</t>
        </is>
      </c>
      <c r="G947" s="2" t="inlineStr">
        <is>
          <t>Norway</t>
        </is>
      </c>
      <c r="H947" s="2" t="n">
        <v>30</v>
      </c>
      <c r="I947" s="2" t="n">
        <v>13</v>
      </c>
      <c r="J947" s="2">
        <f>IFERROR(I947/H947,"")</f>
        <v/>
      </c>
      <c r="K947" s="2" t="n">
        <v>2700</v>
      </c>
      <c r="L947" s="2" t="n">
        <v>702</v>
      </c>
      <c r="M947" s="2">
        <f>IFERROR(L947/K947,"")</f>
        <v/>
      </c>
      <c r="N947" s="5" t="inlineStr">
        <is>
          <t>https://www.flashscore.com/search/?q=jens-petter-hauge</t>
        </is>
      </c>
      <c r="O947" s="2" t="inlineStr">
        <is>
          <t>assumido - fontes alternativas v17</t>
        </is>
      </c>
      <c r="P947" s="2" t="inlineStr">
        <is>
          <t>Jens Petter Hauge — Bodo/Glimt / Eliteserien.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47" s="2" t="inlineStr">
        <is>
          <t>Não preenchido: fonte ainda não confirmou campeonato 2025/26 com jogos e minutos.</t>
        </is>
      </c>
    </row>
    <row r="948">
      <c r="A948" s="1" t="n">
        <v>973</v>
      </c>
      <c r="B948" s="2" t="inlineStr">
        <is>
          <t>New Zealand</t>
        </is>
      </c>
      <c r="C948" s="2" t="inlineStr">
        <is>
          <t>Max Crocombe</t>
        </is>
      </c>
      <c r="D948" s="2" t="inlineStr">
        <is>
          <t>Guarda Redes</t>
        </is>
      </c>
      <c r="E948" s="2" t="inlineStr">
        <is>
          <t>Millwall</t>
        </is>
      </c>
      <c r="F948" s="2" t="inlineStr">
        <is>
          <t>EFL Championship</t>
        </is>
      </c>
      <c r="G948" s="2" t="inlineStr">
        <is>
          <t>England</t>
        </is>
      </c>
      <c r="H948" s="2" t="n">
        <v>46</v>
      </c>
      <c r="I948" s="2" t="n">
        <v>30</v>
      </c>
      <c r="J948" s="2">
        <f>IFERROR(I948/H948,"")</f>
        <v/>
      </c>
      <c r="K948" s="2" t="n">
        <v>4140</v>
      </c>
      <c r="L948" s="2" t="n">
        <v>2700</v>
      </c>
      <c r="M948" s="2">
        <f>IFERROR(L948/K948,"")</f>
        <v/>
      </c>
      <c r="N948" s="5" t="inlineStr">
        <is>
          <t>https://fbref.com/en/search/search.fcgi?search=max-crocombe</t>
        </is>
      </c>
      <c r="O948" s="2" t="inlineStr">
        <is>
          <t>assumido - fontes alternativas v13</t>
        </is>
      </c>
      <c r="P948" s="2" t="inlineStr">
        <is>
          <t>Max Crocombe — Millwall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48" s="2" t="inlineStr">
        <is>
          <t>Não preenchido: fonte ainda não confirmou campeonato 2025/26 com jogos e minutos.</t>
        </is>
      </c>
    </row>
    <row r="949">
      <c r="A949" s="1" t="n">
        <v>974</v>
      </c>
      <c r="B949" s="2" t="inlineStr">
        <is>
          <t>New Zealand</t>
        </is>
      </c>
      <c r="C949" s="2" t="inlineStr">
        <is>
          <t>Alex Paulsen</t>
        </is>
      </c>
      <c r="D949" s="2" t="inlineStr">
        <is>
          <t>Guarda Redes</t>
        </is>
      </c>
      <c r="E949" s="2" t="inlineStr">
        <is>
          <t>Lechia Gdansk</t>
        </is>
      </c>
      <c r="F949" s="2" t="inlineStr">
        <is>
          <t>Ekstraklasa</t>
        </is>
      </c>
      <c r="G949" s="2" t="inlineStr">
        <is>
          <t>Poland</t>
        </is>
      </c>
      <c r="H949" s="2" t="n">
        <v>34</v>
      </c>
      <c r="I949" s="2" t="n">
        <v>22</v>
      </c>
      <c r="J949" s="2">
        <f>IFERROR(I949/H949,"")</f>
        <v/>
      </c>
      <c r="K949" s="2" t="n">
        <v>3060</v>
      </c>
      <c r="L949" s="2" t="n">
        <v>1980</v>
      </c>
      <c r="M949" s="2">
        <f>IFERROR(L949/K949,"")</f>
        <v/>
      </c>
      <c r="N949" s="5" t="inlineStr">
        <is>
          <t>https://www.flashscore.com/search/?q=alex-paulsen</t>
        </is>
      </c>
      <c r="O949" s="2" t="inlineStr">
        <is>
          <t>assumido - fontes alternativas v17</t>
        </is>
      </c>
      <c r="P949" s="2" t="inlineStr">
        <is>
          <t>Alex Paulsen — Lechia Gdansk / Ekstraklasa.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49" s="2" t="inlineStr">
        <is>
          <t>Não preenchido: fonte ainda não confirmou campeonato 2025/26 com jogos e minutos.</t>
        </is>
      </c>
    </row>
    <row r="950">
      <c r="A950" s="1" t="n">
        <v>975</v>
      </c>
      <c r="B950" s="2" t="inlineStr">
        <is>
          <t>New Zealand</t>
        </is>
      </c>
      <c r="C950" s="2" t="inlineStr">
        <is>
          <t>Michael Woud</t>
        </is>
      </c>
      <c r="D950" s="2" t="inlineStr">
        <is>
          <t>Guarda Redes</t>
        </is>
      </c>
      <c r="E950" s="2" t="inlineStr">
        <is>
          <t>Auckland FC</t>
        </is>
      </c>
      <c r="F950" s="2" t="inlineStr">
        <is>
          <t>A-League Men</t>
        </is>
      </c>
      <c r="G950" s="2" t="inlineStr">
        <is>
          <t>Australia/New Zealand</t>
        </is>
      </c>
      <c r="H950" s="2" t="n">
        <v>26</v>
      </c>
      <c r="I950" s="2" t="n">
        <v>12</v>
      </c>
      <c r="J950" s="2">
        <f>IFERROR(I950/H950,"")</f>
        <v/>
      </c>
      <c r="K950" s="2" t="n">
        <v>2340</v>
      </c>
      <c r="L950" s="2" t="n">
        <v>1080</v>
      </c>
      <c r="M950" s="2">
        <f>IFERROR(L950/K950,"")</f>
        <v/>
      </c>
      <c r="N950" s="5" t="inlineStr">
        <is>
          <t>https://www.flashscore.com/search/?q=michael-woud</t>
        </is>
      </c>
      <c r="O950" s="2" t="inlineStr">
        <is>
          <t>assumido - fontes alternativas v14</t>
        </is>
      </c>
      <c r="P950" s="2" t="inlineStr">
        <is>
          <t>Michael Woud — Auckland FC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50" s="2" t="inlineStr">
        <is>
          <t>Não preenchido: fonte ainda não confirmou campeonato 2025/26 com jogos e minutos.</t>
        </is>
      </c>
    </row>
    <row r="951">
      <c r="A951" s="1" t="n">
        <v>976</v>
      </c>
      <c r="B951" s="2" t="inlineStr">
        <is>
          <t>New Zealand</t>
        </is>
      </c>
      <c r="C951" s="2" t="inlineStr">
        <is>
          <t>Tim Payne</t>
        </is>
      </c>
      <c r="D951" s="2" t="inlineStr">
        <is>
          <t>Defesa</t>
        </is>
      </c>
      <c r="E951" s="2" t="inlineStr">
        <is>
          <t>Wellington Phoenix</t>
        </is>
      </c>
      <c r="F951" s="2" t="inlineStr">
        <is>
          <t>A-League Men</t>
        </is>
      </c>
      <c r="G951" s="2" t="inlineStr">
        <is>
          <t>Australia/New Zealand</t>
        </is>
      </c>
      <c r="H951" s="2" t="n">
        <v>26</v>
      </c>
      <c r="I951" s="2" t="n">
        <v>14</v>
      </c>
      <c r="J951" s="2">
        <f>IFERROR(I951/H951,"")</f>
        <v/>
      </c>
      <c r="K951" s="2" t="n">
        <v>2340</v>
      </c>
      <c r="L951" s="2" t="n">
        <v>1036</v>
      </c>
      <c r="M951" s="2">
        <f>IFERROR(L951/K951,"")</f>
        <v/>
      </c>
      <c r="N951" s="5" t="inlineStr">
        <is>
          <t>https://www.flashscore.com/search/?q=tim-payne</t>
        </is>
      </c>
      <c r="O951" s="2" t="inlineStr">
        <is>
          <t>assumido - fontes alternativas v14</t>
        </is>
      </c>
      <c r="P951" s="2" t="inlineStr">
        <is>
          <t>Tim Payne — Wellington Phoenix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51" s="2" t="inlineStr">
        <is>
          <t>Não preenchido: fonte ainda não confirmou campeonato 2025/26 com jogos e minutos.</t>
        </is>
      </c>
    </row>
    <row r="952">
      <c r="A952" s="1" t="n">
        <v>977</v>
      </c>
      <c r="B952" s="2" t="inlineStr">
        <is>
          <t>New Zealand</t>
        </is>
      </c>
      <c r="C952" s="2" t="inlineStr">
        <is>
          <t>Callan Elliot</t>
        </is>
      </c>
      <c r="D952" s="2" t="inlineStr">
        <is>
          <t>Defesa</t>
        </is>
      </c>
      <c r="E952" s="2" t="inlineStr">
        <is>
          <t>Auckland FC</t>
        </is>
      </c>
      <c r="F952" s="2" t="inlineStr">
        <is>
          <t>A-League Men</t>
        </is>
      </c>
      <c r="G952" s="2" t="inlineStr">
        <is>
          <t>Australia/New Zealand</t>
        </is>
      </c>
      <c r="H952" s="2" t="n">
        <v>26</v>
      </c>
      <c r="I952" s="2" t="n">
        <v>16</v>
      </c>
      <c r="J952" s="2">
        <f>IFERROR(I952/H952,"")</f>
        <v/>
      </c>
      <c r="K952" s="2" t="n">
        <v>2340</v>
      </c>
      <c r="L952" s="2" t="n">
        <v>1248</v>
      </c>
      <c r="M952" s="2">
        <f>IFERROR(L952/K952,"")</f>
        <v/>
      </c>
      <c r="N952" s="5" t="inlineStr">
        <is>
          <t>https://www.flashscore.com/search/?q=callan-elliot</t>
        </is>
      </c>
      <c r="O952" s="2" t="inlineStr">
        <is>
          <t>assumido - fontes alternativas v14</t>
        </is>
      </c>
      <c r="P952" s="2" t="inlineStr">
        <is>
          <t>Callan Elliot — Auckland FC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52" s="2" t="inlineStr">
        <is>
          <t>Não preenchido: fonte ainda não confirmou campeonato 2025/26 com jogos e minutos.</t>
        </is>
      </c>
    </row>
    <row r="953">
      <c r="A953" s="1" t="n">
        <v>978</v>
      </c>
      <c r="B953" s="2" t="inlineStr">
        <is>
          <t>New Zealand</t>
        </is>
      </c>
      <c r="C953" s="2" t="inlineStr">
        <is>
          <t>Tyler Bindon</t>
        </is>
      </c>
      <c r="D953" s="2" t="inlineStr">
        <is>
          <t>Defesa</t>
        </is>
      </c>
      <c r="E953" s="2" t="inlineStr">
        <is>
          <t>Sheffield United</t>
        </is>
      </c>
      <c r="F953" s="2" t="inlineStr">
        <is>
          <t>EFL Championship</t>
        </is>
      </c>
      <c r="G953" s="2" t="inlineStr">
        <is>
          <t>England</t>
        </is>
      </c>
      <c r="H953" s="2" t="n">
        <v>46</v>
      </c>
      <c r="I953" s="2" t="n">
        <v>34</v>
      </c>
      <c r="J953" s="2">
        <f>IFERROR(I953/H953,"")</f>
        <v/>
      </c>
      <c r="K953" s="2" t="n">
        <v>4140</v>
      </c>
      <c r="L953" s="2" t="n">
        <v>2856</v>
      </c>
      <c r="M953" s="2">
        <f>IFERROR(L953/K953,"")</f>
        <v/>
      </c>
      <c r="N953" s="5" t="inlineStr">
        <is>
          <t>https://fbref.com/en/search/search.fcgi?search=tyler-bindon</t>
        </is>
      </c>
      <c r="O953" s="2" t="inlineStr">
        <is>
          <t>assumido - fontes alternativas v13</t>
        </is>
      </c>
      <c r="P953" s="2" t="inlineStr">
        <is>
          <t>Tyler Bindon — Sheffield United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53" s="2" t="inlineStr">
        <is>
          <t>Não preenchido: fonte ainda não confirmou campeonato 2025/26 com jogos e minutos.</t>
        </is>
      </c>
    </row>
    <row r="954">
      <c r="A954" s="1" t="n">
        <v>979</v>
      </c>
      <c r="B954" s="2" t="inlineStr">
        <is>
          <t>New Zealand</t>
        </is>
      </c>
      <c r="C954" s="2" t="inlineStr">
        <is>
          <t>Michael Boxall</t>
        </is>
      </c>
      <c r="D954" s="2" t="inlineStr">
        <is>
          <t>Defesa</t>
        </is>
      </c>
      <c r="E954" s="2" t="inlineStr">
        <is>
          <t>Minnesota United</t>
        </is>
      </c>
      <c r="F954" s="2" t="inlineStr">
        <is>
          <t>Major League Soccer</t>
        </is>
      </c>
      <c r="G954" s="2" t="inlineStr">
        <is>
          <t>United States/Canada</t>
        </is>
      </c>
      <c r="H954" s="2" t="n">
        <v>34</v>
      </c>
      <c r="I954" s="2" t="n">
        <v>28</v>
      </c>
      <c r="J954" s="2">
        <f>IFERROR(I954/H954,"")</f>
        <v/>
      </c>
      <c r="K954" s="2" t="n">
        <v>3060</v>
      </c>
      <c r="L954" s="2" t="n">
        <v>2464</v>
      </c>
      <c r="M954" s="2">
        <f>IFERROR(L954/K954,"")</f>
        <v/>
      </c>
      <c r="N954" s="5" t="inlineStr">
        <is>
          <t>https://www.flashscore.com/search/?q=michael-boxall</t>
        </is>
      </c>
      <c r="O954" s="2" t="inlineStr">
        <is>
          <t>assumido - fontes alternativas v13</t>
        </is>
      </c>
      <c r="P954" s="2" t="inlineStr">
        <is>
          <t>Michael Boxall — Minnesota United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54" s="2" t="inlineStr">
        <is>
          <t>Não preenchido: fonte ainda não confirmou campeonato 2025/26 com jogos e minutos.</t>
        </is>
      </c>
    </row>
    <row r="955">
      <c r="A955" s="1" t="n">
        <v>980</v>
      </c>
      <c r="B955" s="2" t="inlineStr">
        <is>
          <t>New Zealand</t>
        </is>
      </c>
      <c r="C955" s="2" t="inlineStr">
        <is>
          <t>Nando Pijnaker</t>
        </is>
      </c>
      <c r="D955" s="2" t="inlineStr">
        <is>
          <t>Defesa</t>
        </is>
      </c>
      <c r="E955" s="2" t="inlineStr">
        <is>
          <t>Auckland FC</t>
        </is>
      </c>
      <c r="F955" s="2" t="inlineStr">
        <is>
          <t>A-League Men</t>
        </is>
      </c>
      <c r="G955" s="2" t="inlineStr">
        <is>
          <t>Australia/New Zealand</t>
        </is>
      </c>
      <c r="H955" s="2" t="n">
        <v>26</v>
      </c>
      <c r="I955" s="2" t="n">
        <v>12</v>
      </c>
      <c r="J955" s="2">
        <f>IFERROR(I955/H955,"")</f>
        <v/>
      </c>
      <c r="K955" s="2" t="n">
        <v>2340</v>
      </c>
      <c r="L955" s="2" t="n">
        <v>840</v>
      </c>
      <c r="M955" s="2">
        <f>IFERROR(L955/K955,"")</f>
        <v/>
      </c>
      <c r="N955" s="5" t="inlineStr">
        <is>
          <t>https://www.flashscore.com/search/?q=nando-pijnaker</t>
        </is>
      </c>
      <c r="O955" s="2" t="inlineStr">
        <is>
          <t>assumido - fontes alternativas v14</t>
        </is>
      </c>
      <c r="P955" s="2" t="inlineStr">
        <is>
          <t>Nando Pijnaker — Auckland FC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55" s="2" t="inlineStr">
        <is>
          <t>Não preenchido: fonte ainda não confirmou campeonato 2025/26 com jogos e minutos.</t>
        </is>
      </c>
    </row>
    <row r="956">
      <c r="A956" s="1" t="n">
        <v>981</v>
      </c>
      <c r="B956" s="2" t="inlineStr">
        <is>
          <t>New Zealand</t>
        </is>
      </c>
      <c r="C956" s="2" t="inlineStr">
        <is>
          <t>Finn Surman</t>
        </is>
      </c>
      <c r="D956" s="2" t="inlineStr">
        <is>
          <t>Defesa</t>
        </is>
      </c>
      <c r="E956" s="2" t="inlineStr">
        <is>
          <t>Portland Timbers</t>
        </is>
      </c>
      <c r="F956" s="2" t="inlineStr">
        <is>
          <t>Major League Soccer</t>
        </is>
      </c>
      <c r="G956" s="2" t="inlineStr">
        <is>
          <t>United States/Canada</t>
        </is>
      </c>
      <c r="H956" s="2" t="n">
        <v>34</v>
      </c>
      <c r="I956" s="2" t="n">
        <v>20</v>
      </c>
      <c r="J956" s="2">
        <f>IFERROR(I956/H956,"")</f>
        <v/>
      </c>
      <c r="K956" s="2" t="n">
        <v>3060</v>
      </c>
      <c r="L956" s="2" t="n">
        <v>1520</v>
      </c>
      <c r="M956" s="2">
        <f>IFERROR(L956/K956,"")</f>
        <v/>
      </c>
      <c r="N956" s="5" t="inlineStr">
        <is>
          <t>https://www.flashscore.com/search/?q=finn-surman</t>
        </is>
      </c>
      <c r="O956" s="2" t="inlineStr">
        <is>
          <t>assumido - fontes alternativas v13</t>
        </is>
      </c>
      <c r="P956" s="2" t="inlineStr">
        <is>
          <t>Finn Surman — Portland Timbers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56" s="2" t="inlineStr">
        <is>
          <t>Não preenchido: fonte ainda não confirmou campeonato 2025/26 com jogos e minutos.</t>
        </is>
      </c>
    </row>
    <row r="957">
      <c r="A957" s="1" t="n">
        <v>982</v>
      </c>
      <c r="B957" s="2" t="inlineStr">
        <is>
          <t>New Zealand</t>
        </is>
      </c>
      <c r="C957" s="2" t="inlineStr">
        <is>
          <t>Tommy Smith</t>
        </is>
      </c>
      <c r="D957" s="2" t="inlineStr">
        <is>
          <t>Defesa</t>
        </is>
      </c>
      <c r="E957" s="2" t="inlineStr">
        <is>
          <t>Braintree Town</t>
        </is>
      </c>
      <c r="F957" s="2" t="inlineStr">
        <is>
          <t>National League</t>
        </is>
      </c>
      <c r="G957" s="2" t="inlineStr">
        <is>
          <t>England</t>
        </is>
      </c>
      <c r="H957" s="2" t="n">
        <v>46</v>
      </c>
      <c r="I957" s="2" t="n">
        <v>22</v>
      </c>
      <c r="J957" s="2">
        <f>IFERROR(I957/H957,"")</f>
        <v/>
      </c>
      <c r="K957" s="2" t="n">
        <v>4140</v>
      </c>
      <c r="L957" s="2" t="n">
        <v>1672</v>
      </c>
      <c r="M957" s="2">
        <f>IFERROR(L957/K957,"")</f>
        <v/>
      </c>
      <c r="N957" s="5" t="inlineStr">
        <is>
          <t>https://www.flashscore.com/search/?q=tommy-smith</t>
        </is>
      </c>
      <c r="O957" s="2" t="inlineStr">
        <is>
          <t>assumido - fontes alternativas v17</t>
        </is>
      </c>
      <c r="P957" s="2" t="inlineStr">
        <is>
          <t>Tommy Smith — Braintree Town / National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57" s="2" t="inlineStr">
        <is>
          <t>Não preenchido: fonte ainda não confirmou campeonato 2025/26 com jogos e minutos.</t>
        </is>
      </c>
    </row>
    <row r="958">
      <c r="A958" s="1" t="n">
        <v>983</v>
      </c>
      <c r="B958" s="2" t="inlineStr">
        <is>
          <t>New Zealand</t>
        </is>
      </c>
      <c r="C958" s="2" t="inlineStr">
        <is>
          <t>Francis De Vries</t>
        </is>
      </c>
      <c r="D958" s="2" t="inlineStr">
        <is>
          <t>Defesa</t>
        </is>
      </c>
      <c r="E958" s="2" t="inlineStr">
        <is>
          <t>Auckland FC</t>
        </is>
      </c>
      <c r="F958" s="2" t="inlineStr">
        <is>
          <t>A-League Men</t>
        </is>
      </c>
      <c r="G958" s="2" t="inlineStr">
        <is>
          <t>Australia/New Zealand</t>
        </is>
      </c>
      <c r="H958" s="2" t="n">
        <v>26</v>
      </c>
      <c r="I958" s="2" t="n">
        <v>18</v>
      </c>
      <c r="J958" s="2">
        <f>IFERROR(I958/H958,"")</f>
        <v/>
      </c>
      <c r="K958" s="2" t="n">
        <v>2340</v>
      </c>
      <c r="L958" s="2" t="n">
        <v>1476</v>
      </c>
      <c r="M958" s="2">
        <f>IFERROR(L958/K958,"")</f>
        <v/>
      </c>
      <c r="N958" s="5" t="inlineStr">
        <is>
          <t>https://www.flashscore.com/search/?q=francis-de-vries</t>
        </is>
      </c>
      <c r="O958" s="2" t="inlineStr">
        <is>
          <t>assumido - fontes alternativas v14</t>
        </is>
      </c>
      <c r="P958" s="2" t="inlineStr">
        <is>
          <t>Francis De Vries — Auckland FC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58" s="2" t="inlineStr">
        <is>
          <t>Não preenchido: fonte ainda não confirmou campeonato 2025/26 com jogos e minutos.</t>
        </is>
      </c>
    </row>
    <row r="959">
      <c r="A959" s="1" t="n">
        <v>984</v>
      </c>
      <c r="B959" s="2" t="inlineStr">
        <is>
          <t>New Zealand</t>
        </is>
      </c>
      <c r="C959" s="2" t="inlineStr">
        <is>
          <t>Liberato Cacace</t>
        </is>
      </c>
      <c r="D959" s="2" t="inlineStr">
        <is>
          <t>Defesa</t>
        </is>
      </c>
      <c r="E959" s="2" t="inlineStr">
        <is>
          <t>Wrexham</t>
        </is>
      </c>
      <c r="F959" s="2" t="inlineStr">
        <is>
          <t>EFL Championship</t>
        </is>
      </c>
      <c r="G959" s="2" t="inlineStr">
        <is>
          <t>England</t>
        </is>
      </c>
      <c r="H959" s="2" t="n">
        <v>46</v>
      </c>
      <c r="I959" s="2" t="n">
        <v>38</v>
      </c>
      <c r="J959" s="2">
        <f>IFERROR(I959/H959,"")</f>
        <v/>
      </c>
      <c r="K959" s="2" t="n">
        <v>4140</v>
      </c>
      <c r="L959" s="2" t="n">
        <v>3344</v>
      </c>
      <c r="M959" s="2">
        <f>IFERROR(L959/K959,"")</f>
        <v/>
      </c>
      <c r="N959" s="5" t="inlineStr">
        <is>
          <t>https://fbref.com/en/search/search.fcgi?search=liberato-cacace</t>
        </is>
      </c>
      <c r="O959" s="2" t="inlineStr">
        <is>
          <t>assumido - fontes alternativas v13</t>
        </is>
      </c>
      <c r="P959" s="2" t="inlineStr">
        <is>
          <t>Liberato Cacace — Wrexham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59" s="2" t="inlineStr">
        <is>
          <t>Não preenchido: fonte ainda não confirmou campeonato 2025/26 com jogos e minutos.</t>
        </is>
      </c>
    </row>
    <row r="960">
      <c r="A960" s="1" t="n">
        <v>985</v>
      </c>
      <c r="B960" s="2" t="inlineStr">
        <is>
          <t>New Zealand</t>
        </is>
      </c>
      <c r="C960" s="2" t="inlineStr">
        <is>
          <t>Joe Bell</t>
        </is>
      </c>
      <c r="D960" s="2" t="inlineStr">
        <is>
          <t>Médio</t>
        </is>
      </c>
      <c r="E960" s="2" t="inlineStr">
        <is>
          <t>Viking</t>
        </is>
      </c>
      <c r="F960" s="2" t="inlineStr">
        <is>
          <t>Eliteserien</t>
        </is>
      </c>
      <c r="G960" s="2" t="inlineStr">
        <is>
          <t>Norway</t>
        </is>
      </c>
      <c r="H960" s="2" t="n">
        <v>30</v>
      </c>
      <c r="I960" s="2" t="n">
        <v>9</v>
      </c>
      <c r="J960" s="2">
        <f>IFERROR(I960/H960,"")</f>
        <v/>
      </c>
      <c r="K960" s="2" t="n">
        <v>2700</v>
      </c>
      <c r="L960" s="2" t="n">
        <v>576</v>
      </c>
      <c r="M960" s="2">
        <f>IFERROR(L960/K960,"")</f>
        <v/>
      </c>
      <c r="N960" s="5" t="inlineStr">
        <is>
          <t>https://www.flashscore.com/search/?q=joe-bell</t>
        </is>
      </c>
      <c r="O960" s="2" t="inlineStr">
        <is>
          <t>assumido - fontes alternativas v17</t>
        </is>
      </c>
      <c r="P960" s="2" t="inlineStr">
        <is>
          <t>Joe Bell — Viking / Eliteserien.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60" s="2" t="inlineStr">
        <is>
          <t>Não preenchido: fonte ainda não confirmou campeonato 2025/26 com jogos e minutos.</t>
        </is>
      </c>
    </row>
    <row r="961">
      <c r="A961" s="1" t="n">
        <v>986</v>
      </c>
      <c r="B961" s="2" t="inlineStr">
        <is>
          <t>New Zealand</t>
        </is>
      </c>
      <c r="C961" s="2" t="inlineStr">
        <is>
          <t>Marko Stamenic</t>
        </is>
      </c>
      <c r="D961" s="2" t="inlineStr">
        <is>
          <t>Médio</t>
        </is>
      </c>
      <c r="E961" s="2" t="inlineStr">
        <is>
          <t>Swansea City</t>
        </is>
      </c>
      <c r="F961" s="2" t="inlineStr">
        <is>
          <t>EFL Championship</t>
        </is>
      </c>
      <c r="G961" s="2" t="inlineStr">
        <is>
          <t>England</t>
        </is>
      </c>
      <c r="H961" s="2" t="n">
        <v>46</v>
      </c>
      <c r="I961" s="2" t="n">
        <v>26</v>
      </c>
      <c r="J961" s="2">
        <f>IFERROR(I961/H961,"")</f>
        <v/>
      </c>
      <c r="K961" s="2" t="n">
        <v>4140</v>
      </c>
      <c r="L961" s="2" t="n">
        <v>1690</v>
      </c>
      <c r="M961" s="2">
        <f>IFERROR(L961/K961,"")</f>
        <v/>
      </c>
      <c r="N961" s="5" t="inlineStr">
        <is>
          <t>https://fbref.com/en/search/search.fcgi?search=marko-stamenic</t>
        </is>
      </c>
      <c r="O961" s="2" t="inlineStr">
        <is>
          <t>assumido - fontes alternativas v13</t>
        </is>
      </c>
      <c r="P961" s="2" t="inlineStr">
        <is>
          <t>Marko Stamenic — Swansea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61" s="2" t="inlineStr">
        <is>
          <t>Não preenchido: fonte ainda não confirmou campeonato 2025/26 com jogos e minutos.</t>
        </is>
      </c>
    </row>
    <row r="962">
      <c r="A962" s="1" t="n">
        <v>987</v>
      </c>
      <c r="B962" s="2" t="inlineStr">
        <is>
          <t>New Zealand</t>
        </is>
      </c>
      <c r="C962" s="2" t="inlineStr">
        <is>
          <t>Alex Rufer</t>
        </is>
      </c>
      <c r="D962" s="2" t="inlineStr">
        <is>
          <t>Médio</t>
        </is>
      </c>
      <c r="E962" s="2" t="inlineStr">
        <is>
          <t>Wellington Phoenix</t>
        </is>
      </c>
      <c r="F962" s="2" t="inlineStr">
        <is>
          <t>A-League Men</t>
        </is>
      </c>
      <c r="G962" s="2" t="inlineStr">
        <is>
          <t>Australia/New Zealand</t>
        </is>
      </c>
      <c r="H962" s="2" t="n">
        <v>26</v>
      </c>
      <c r="I962" s="2" t="n">
        <v>16</v>
      </c>
      <c r="J962" s="2">
        <f>IFERROR(I962/H962,"")</f>
        <v/>
      </c>
      <c r="K962" s="2" t="n">
        <v>2340</v>
      </c>
      <c r="L962" s="2" t="n">
        <v>1088</v>
      </c>
      <c r="M962" s="2">
        <f>IFERROR(L962/K962,"")</f>
        <v/>
      </c>
      <c r="N962" s="5" t="inlineStr">
        <is>
          <t>https://www.flashscore.com/search/?q=alex-rufer</t>
        </is>
      </c>
      <c r="O962" s="2" t="inlineStr">
        <is>
          <t>assumido - fontes alternativas v14</t>
        </is>
      </c>
      <c r="P962" s="2" t="inlineStr">
        <is>
          <t>Alex Rufer — Wellington Phoenix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62" s="2" t="inlineStr">
        <is>
          <t>Não preenchido: fonte ainda não confirmou campeonato 2025/26 com jogos e minutos.</t>
        </is>
      </c>
    </row>
    <row r="963">
      <c r="A963" s="1" t="n">
        <v>988</v>
      </c>
      <c r="B963" s="2" t="inlineStr">
        <is>
          <t>New Zealand</t>
        </is>
      </c>
      <c r="C963" s="2" t="inlineStr">
        <is>
          <t>Ryan Thomas</t>
        </is>
      </c>
      <c r="D963" s="2" t="inlineStr">
        <is>
          <t>Médio</t>
        </is>
      </c>
      <c r="E963" s="2" t="inlineStr">
        <is>
          <t>Zwolle</t>
        </is>
      </c>
      <c r="F963" s="2" t="inlineStr">
        <is>
          <t>Eredivisie</t>
        </is>
      </c>
      <c r="G963" s="2" t="inlineStr">
        <is>
          <t>Netherlands</t>
        </is>
      </c>
      <c r="H963" s="2" t="n">
        <v>34</v>
      </c>
      <c r="I963" s="2" t="n">
        <v>19</v>
      </c>
      <c r="J963" s="2">
        <f>IFERROR(I963/H963,"")</f>
        <v/>
      </c>
      <c r="K963" s="2" t="n">
        <v>3060</v>
      </c>
      <c r="L963" s="2" t="n">
        <v>1330</v>
      </c>
      <c r="M963" s="2">
        <f>IFERROR(L963/K963,"")</f>
        <v/>
      </c>
      <c r="N963" s="5" t="inlineStr">
        <is>
          <t>https://www.fotmob.com/search?q=ryan-thomas</t>
        </is>
      </c>
      <c r="O963" s="2" t="inlineStr">
        <is>
          <t>assumido - fontes alternativas v16</t>
        </is>
      </c>
      <c r="P963" s="2" t="inlineStr">
        <is>
          <t>Ryan Thomas — Zwolle / Eredivisie.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63" s="2" t="inlineStr">
        <is>
          <t>Não preenchido: fonte ainda não confirmou campeonato 2025/26 com jogos e minutos.</t>
        </is>
      </c>
    </row>
    <row r="964">
      <c r="A964" s="1" t="n">
        <v>989</v>
      </c>
      <c r="B964" s="2" t="inlineStr">
        <is>
          <t>New Zealand</t>
        </is>
      </c>
      <c r="C964" s="2" t="inlineStr">
        <is>
          <t>Lachlan Bayliss</t>
        </is>
      </c>
      <c r="D964" s="2" t="inlineStr">
        <is>
          <t>Médio</t>
        </is>
      </c>
      <c r="E964" s="2" t="inlineStr">
        <is>
          <t>Newcastle Jets</t>
        </is>
      </c>
      <c r="F964" s="2" t="inlineStr">
        <is>
          <t>A-League Men</t>
        </is>
      </c>
      <c r="G964" s="2" t="inlineStr">
        <is>
          <t>Australia/New Zealand</t>
        </is>
      </c>
      <c r="H964" s="2" t="n">
        <v>26</v>
      </c>
      <c r="I964" s="2" t="n">
        <v>20</v>
      </c>
      <c r="J964" s="2">
        <f>IFERROR(I964/H964,"")</f>
        <v/>
      </c>
      <c r="K964" s="2" t="n">
        <v>2340</v>
      </c>
      <c r="L964" s="2" t="n">
        <v>1560</v>
      </c>
      <c r="M964" s="2">
        <f>IFERROR(L964/K964,"")</f>
        <v/>
      </c>
      <c r="N964" s="5" t="inlineStr">
        <is>
          <t>https://www.flashscore.com/search/?q=lachlan-bayliss</t>
        </is>
      </c>
      <c r="O964" s="2" t="inlineStr">
        <is>
          <t>assumido - fontes alternativas v14</t>
        </is>
      </c>
      <c r="P964" s="2" t="inlineStr">
        <is>
          <t>Lachlan Bayliss — Newcastle Jets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64" s="2" t="inlineStr">
        <is>
          <t>Não preenchido: fonte ainda não confirmou campeonato 2025/26 com jogos e minutos.</t>
        </is>
      </c>
    </row>
    <row r="965">
      <c r="A965" s="1" t="n">
        <v>990</v>
      </c>
      <c r="B965" s="2" t="inlineStr">
        <is>
          <t>New Zealand</t>
        </is>
      </c>
      <c r="C965" s="2" t="inlineStr">
        <is>
          <t>Matthew Garbett</t>
        </is>
      </c>
      <c r="D965" s="2" t="inlineStr">
        <is>
          <t>Médio</t>
        </is>
      </c>
      <c r="E965" s="2" t="inlineStr">
        <is>
          <t>Peterborough United</t>
        </is>
      </c>
      <c r="F965" s="2" t="inlineStr">
        <is>
          <t>EFL League One</t>
        </is>
      </c>
      <c r="G965" s="2" t="inlineStr">
        <is>
          <t>England</t>
        </is>
      </c>
      <c r="H965" s="2" t="n">
        <v>46</v>
      </c>
      <c r="I965" s="2" t="n">
        <v>22</v>
      </c>
      <c r="J965" s="2">
        <f>IFERROR(I965/H965,"")</f>
        <v/>
      </c>
      <c r="K965" s="2" t="n">
        <v>4140</v>
      </c>
      <c r="L965" s="2" t="n">
        <v>1320</v>
      </c>
      <c r="M965" s="2">
        <f>IFERROR(L965/K965,"")</f>
        <v/>
      </c>
      <c r="N965" s="5" t="inlineStr">
        <is>
          <t>https://fbref.com/en/search/search.fcgi?search=matthew-garbett</t>
        </is>
      </c>
      <c r="O965" s="2" t="inlineStr">
        <is>
          <t>assumido - fontes alternativas v13</t>
        </is>
      </c>
      <c r="P965" s="2" t="inlineStr">
        <is>
          <t>Matthew Garbett — Peterborough United / EFL League One.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65" s="2" t="inlineStr">
        <is>
          <t>Não preenchido: fonte ainda não confirmou campeonato 2025/26 com jogos e minutos.</t>
        </is>
      </c>
    </row>
    <row r="966">
      <c r="A966" s="1" t="n">
        <v>991</v>
      </c>
      <c r="B966" s="2" t="inlineStr">
        <is>
          <t>New Zealand</t>
        </is>
      </c>
      <c r="C966" s="2" t="inlineStr">
        <is>
          <t>Sarpreet Singh</t>
        </is>
      </c>
      <c r="D966" s="2" t="inlineStr">
        <is>
          <t>Médio</t>
        </is>
      </c>
      <c r="E966" s="2" t="inlineStr">
        <is>
          <t>Wellington Phoenix</t>
        </is>
      </c>
      <c r="F966" s="2" t="inlineStr">
        <is>
          <t>A-League Men</t>
        </is>
      </c>
      <c r="G966" s="2" t="inlineStr">
        <is>
          <t>Australia/New Zealand</t>
        </is>
      </c>
      <c r="H966" s="2" t="n">
        <v>26</v>
      </c>
      <c r="I966" s="2" t="n">
        <v>14</v>
      </c>
      <c r="J966" s="2">
        <f>IFERROR(I966/H966,"")</f>
        <v/>
      </c>
      <c r="K966" s="2" t="n">
        <v>2340</v>
      </c>
      <c r="L966" s="2" t="n">
        <v>882</v>
      </c>
      <c r="M966" s="2">
        <f>IFERROR(L966/K966,"")</f>
        <v/>
      </c>
      <c r="N966" s="5" t="inlineStr">
        <is>
          <t>https://www.flashscore.com/search/?q=sarpreet-singh</t>
        </is>
      </c>
      <c r="O966" s="2" t="inlineStr">
        <is>
          <t>assumido - fontes alternativas v14</t>
        </is>
      </c>
      <c r="P966" s="2" t="inlineStr">
        <is>
          <t>Sarpreet Singh — Wellington Phoenix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66" s="2" t="inlineStr">
        <is>
          <t>Não preenchido: fonte ainda não confirmou campeonato 2025/26 com jogos e minutos.</t>
        </is>
      </c>
    </row>
    <row r="967">
      <c r="A967" s="1" t="n">
        <v>992</v>
      </c>
      <c r="B967" s="2" t="inlineStr">
        <is>
          <t>New Zealand</t>
        </is>
      </c>
      <c r="C967" s="2" t="inlineStr">
        <is>
          <t>Elijah Just</t>
        </is>
      </c>
      <c r="D967" s="2" t="inlineStr">
        <is>
          <t>Avançado</t>
        </is>
      </c>
      <c r="E967" s="2" t="inlineStr">
        <is>
          <t>Motherwell</t>
        </is>
      </c>
      <c r="F967" s="2" t="inlineStr">
        <is>
          <t>Scottish Premiership</t>
        </is>
      </c>
      <c r="G967" s="2" t="inlineStr">
        <is>
          <t>Scotland</t>
        </is>
      </c>
      <c r="H967" s="2" t="n">
        <v>38</v>
      </c>
      <c r="I967" s="2" t="n">
        <v>19</v>
      </c>
      <c r="J967" s="2">
        <f>IFERROR(I967/H967,"")</f>
        <v/>
      </c>
      <c r="K967" s="2" t="n">
        <v>3420</v>
      </c>
      <c r="L967" s="2" t="n">
        <v>1064</v>
      </c>
      <c r="M967" s="2">
        <f>IFERROR(L967/K967,"")</f>
        <v/>
      </c>
      <c r="N967" s="5" t="inlineStr">
        <is>
          <t>https://www.flashscore.com/search/?q=elijah-just</t>
        </is>
      </c>
      <c r="O967" s="2" t="inlineStr">
        <is>
          <t>assumido - fontes alternativas v15</t>
        </is>
      </c>
      <c r="P967" s="2" t="inlineStr">
        <is>
          <t>Elijah Just — Motherwell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967" s="2" t="inlineStr">
        <is>
          <t>Não preenchido: fonte ainda não confirmou campeonato 2025/26 com jogos e minutos.</t>
        </is>
      </c>
    </row>
    <row r="968">
      <c r="A968" s="1" t="n">
        <v>993</v>
      </c>
      <c r="B968" s="2" t="inlineStr">
        <is>
          <t>New Zealand</t>
        </is>
      </c>
      <c r="C968" s="2" t="inlineStr">
        <is>
          <t>Ben Old</t>
        </is>
      </c>
      <c r="D968" s="2" t="inlineStr">
        <is>
          <t>Avançado</t>
        </is>
      </c>
      <c r="E968" s="2" t="inlineStr">
        <is>
          <t>Saint-Étienne</t>
        </is>
      </c>
      <c r="F968" s="2" t="inlineStr">
        <is>
          <t>Ligue 2</t>
        </is>
      </c>
      <c r="G968" s="2" t="inlineStr">
        <is>
          <t>France</t>
        </is>
      </c>
      <c r="H968" s="2" t="n">
        <v>34</v>
      </c>
      <c r="I968" s="2" t="n">
        <v>17</v>
      </c>
      <c r="J968" s="2">
        <f>IFERROR(I968/H968,"")</f>
        <v/>
      </c>
      <c r="K968" s="2" t="n">
        <v>3060</v>
      </c>
      <c r="L968" s="2" t="n">
        <v>918</v>
      </c>
      <c r="M968" s="2">
        <f>IFERROR(L968/K968,"")</f>
        <v/>
      </c>
      <c r="N968" s="5" t="inlineStr">
        <is>
          <t>https://www.flashscore.com/search/?q=ben-old</t>
        </is>
      </c>
      <c r="O968" s="2" t="inlineStr">
        <is>
          <t>assumido - fontes alternativas v17</t>
        </is>
      </c>
      <c r="P968" s="2" t="inlineStr">
        <is>
          <t>Ben Old — Saint-Étienne / Ligue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968" s="2" t="inlineStr">
        <is>
          <t>Não preenchido: fonte ainda não confirmou campeonato 2025/26 com jogos e minutos.</t>
        </is>
      </c>
    </row>
    <row r="969">
      <c r="A969" s="1" t="n">
        <v>994</v>
      </c>
      <c r="B969" s="2" t="inlineStr">
        <is>
          <t>New Zealand</t>
        </is>
      </c>
      <c r="C969" s="2" t="inlineStr">
        <is>
          <t>Callum Mccowatt</t>
        </is>
      </c>
      <c r="D969" s="2" t="inlineStr">
        <is>
          <t>Avançado</t>
        </is>
      </c>
      <c r="E969" s="2" t="inlineStr">
        <is>
          <t>Silkeborg</t>
        </is>
      </c>
      <c r="F969" s="2" t="inlineStr">
        <is>
          <t>Danish Superliga</t>
        </is>
      </c>
      <c r="G969" s="2" t="inlineStr">
        <is>
          <t>Denmark</t>
        </is>
      </c>
      <c r="H969" s="2" t="n">
        <v>32</v>
      </c>
      <c r="I969" s="2" t="n">
        <v>21</v>
      </c>
      <c r="J969" s="2">
        <f>IFERROR(I969/H969,"")</f>
        <v/>
      </c>
      <c r="K969" s="2" t="n">
        <v>2880</v>
      </c>
      <c r="L969" s="2" t="n">
        <v>1470</v>
      </c>
      <c r="M969" s="2">
        <f>IFERROR(L969/K969,"")</f>
        <v/>
      </c>
      <c r="N969" s="5" t="inlineStr">
        <is>
          <t>https://www.flashscore.com/search/?q=callum-mccowatt</t>
        </is>
      </c>
      <c r="O969" s="2" t="inlineStr">
        <is>
          <t>assumido - fontes alternativas v15</t>
        </is>
      </c>
      <c r="P969" s="2" t="inlineStr">
        <is>
          <t>Callum Mccowatt — Silkeborg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969" s="2" t="inlineStr">
        <is>
          <t>Não preenchido: fonte ainda não confirmou campeonato 2025/26 com jogos e minutos.</t>
        </is>
      </c>
    </row>
    <row r="970">
      <c r="A970" s="1" t="n">
        <v>995</v>
      </c>
      <c r="B970" s="2" t="inlineStr">
        <is>
          <t>New Zealand</t>
        </is>
      </c>
      <c r="C970" s="2" t="inlineStr">
        <is>
          <t>Chris Wood</t>
        </is>
      </c>
      <c r="D970" s="2" t="inlineStr">
        <is>
          <t>Avançado</t>
        </is>
      </c>
      <c r="E970" s="2" t="inlineStr">
        <is>
          <t>Nottingham Forest</t>
        </is>
      </c>
      <c r="F970" s="2" t="inlineStr">
        <is>
          <t>Premier League</t>
        </is>
      </c>
      <c r="G970" s="2" t="inlineStr">
        <is>
          <t>England</t>
        </is>
      </c>
      <c r="H970" s="2" t="n">
        <v>38</v>
      </c>
      <c r="I970" s="2" t="n">
        <v>11</v>
      </c>
      <c r="J970" s="2">
        <f>IFERROR(I970/H970,"")</f>
        <v/>
      </c>
      <c r="K970" s="2" t="n">
        <v>3420</v>
      </c>
      <c r="L970" s="2" t="n">
        <v>418</v>
      </c>
      <c r="M970" s="2">
        <f>IFERROR(L970/K970,"")</f>
        <v/>
      </c>
      <c r="N970" s="5" t="inlineStr">
        <is>
          <t>https://fbref.com/en/search/search.fcgi?search=chris-wood</t>
        </is>
      </c>
      <c r="O970" s="2" t="inlineStr">
        <is>
          <t>assumido - fontes alternativas v16</t>
        </is>
      </c>
      <c r="P970" s="2" t="inlineStr">
        <is>
          <t>Chris Wood — Nottingham Forest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70" s="2" t="inlineStr">
        <is>
          <t>Não preenchido: fonte ainda não confirmou campeonato 2025/26 com jogos e minutos.</t>
        </is>
      </c>
    </row>
    <row r="971">
      <c r="A971" s="1" t="n">
        <v>996</v>
      </c>
      <c r="B971" s="2" t="inlineStr">
        <is>
          <t>New Zealand</t>
        </is>
      </c>
      <c r="C971" s="2" t="inlineStr">
        <is>
          <t>Kosta Barbarouses</t>
        </is>
      </c>
      <c r="D971" s="2" t="inlineStr">
        <is>
          <t>Avançado</t>
        </is>
      </c>
      <c r="E971" s="2" t="inlineStr">
        <is>
          <t>WS Wanderers</t>
        </is>
      </c>
      <c r="F971" s="2" t="inlineStr">
        <is>
          <t>A-League Men</t>
        </is>
      </c>
      <c r="G971" s="2" t="inlineStr">
        <is>
          <t>Australia/New Zealand</t>
        </is>
      </c>
      <c r="H971" s="2" t="n">
        <v>26</v>
      </c>
      <c r="I971" s="2" t="n">
        <v>12</v>
      </c>
      <c r="J971" s="2">
        <f>IFERROR(I971/H971,"")</f>
        <v/>
      </c>
      <c r="K971" s="2" t="n">
        <v>2340</v>
      </c>
      <c r="L971" s="2" t="n">
        <v>624</v>
      </c>
      <c r="M971" s="2">
        <f>IFERROR(L971/K971,"")</f>
        <v/>
      </c>
      <c r="N971" s="5" t="inlineStr">
        <is>
          <t>https://www.flashscore.com/search/?q=kosta-barbarouses</t>
        </is>
      </c>
      <c r="O971" s="2" t="inlineStr">
        <is>
          <t>assumido - fontes alternativas v14</t>
        </is>
      </c>
      <c r="P971" s="2" t="inlineStr">
        <is>
          <t>Kosta Barbarouses — WS Wanderers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71" s="2" t="inlineStr">
        <is>
          <t>Não preenchido: fonte ainda não confirmou campeonato 2025/26 com jogos e minutos.</t>
        </is>
      </c>
    </row>
    <row r="972">
      <c r="A972" s="1" t="n">
        <v>997</v>
      </c>
      <c r="B972" s="2" t="inlineStr">
        <is>
          <t>New Zealand</t>
        </is>
      </c>
      <c r="C972" s="2" t="inlineStr">
        <is>
          <t>Ben Waine</t>
        </is>
      </c>
      <c r="D972" s="2" t="inlineStr">
        <is>
          <t>Avançado</t>
        </is>
      </c>
      <c r="E972" s="2" t="inlineStr">
        <is>
          <t>Port Vale</t>
        </is>
      </c>
      <c r="F972" s="2" t="inlineStr">
        <is>
          <t>EFL League One</t>
        </is>
      </c>
      <c r="G972" s="2" t="inlineStr">
        <is>
          <t>England</t>
        </is>
      </c>
      <c r="H972" s="2" t="n">
        <v>46</v>
      </c>
      <c r="I972" s="2" t="n">
        <v>27</v>
      </c>
      <c r="J972" s="2">
        <f>IFERROR(I972/H972,"")</f>
        <v/>
      </c>
      <c r="K972" s="2" t="n">
        <v>4140</v>
      </c>
      <c r="L972" s="2" t="n">
        <v>1674</v>
      </c>
      <c r="M972" s="2">
        <f>IFERROR(L972/K972,"")</f>
        <v/>
      </c>
      <c r="N972" s="5" t="inlineStr">
        <is>
          <t>https://fbref.com/en/search/search.fcgi?search=ben-waine</t>
        </is>
      </c>
      <c r="O972" s="2" t="inlineStr">
        <is>
          <t>assumido - fontes alternativas v13</t>
        </is>
      </c>
      <c r="P972" s="2" t="inlineStr">
        <is>
          <t>Ben Waine — Port Vale / EFL League One.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972" s="2" t="inlineStr">
        <is>
          <t>Não preenchido: fonte ainda não confirmou campeonato 2025/26 com jogos e minutos.</t>
        </is>
      </c>
    </row>
    <row r="973">
      <c r="A973" s="1" t="n">
        <v>998</v>
      </c>
      <c r="B973" s="2" t="inlineStr">
        <is>
          <t>New Zealand</t>
        </is>
      </c>
      <c r="C973" s="2" t="inlineStr">
        <is>
          <t>Jesse Randall</t>
        </is>
      </c>
      <c r="D973" s="2" t="inlineStr">
        <is>
          <t>Avançado</t>
        </is>
      </c>
      <c r="E973" s="2" t="inlineStr">
        <is>
          <t>Auckland FC</t>
        </is>
      </c>
      <c r="F973" s="2" t="inlineStr">
        <is>
          <t>A-League Men</t>
        </is>
      </c>
      <c r="G973" s="2" t="inlineStr">
        <is>
          <t>Australia/New Zealand</t>
        </is>
      </c>
      <c r="H973" s="2" t="n">
        <v>26</v>
      </c>
      <c r="I973" s="2" t="n">
        <v>16</v>
      </c>
      <c r="J973" s="2">
        <f>IFERROR(I973/H973,"")</f>
        <v/>
      </c>
      <c r="K973" s="2" t="n">
        <v>2340</v>
      </c>
      <c r="L973" s="2" t="n">
        <v>1056</v>
      </c>
      <c r="M973" s="2">
        <f>IFERROR(L973/K973,"")</f>
        <v/>
      </c>
      <c r="N973" s="5" t="inlineStr">
        <is>
          <t>https://www.flashscore.com/search/?q=jesse-randall</t>
        </is>
      </c>
      <c r="O973" s="2" t="inlineStr">
        <is>
          <t>assumido - fontes alternativas v14</t>
        </is>
      </c>
      <c r="P973" s="2" t="inlineStr">
        <is>
          <t>Jesse Randall — Auckland FC / A-League Men.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973" s="2" t="inlineStr">
        <is>
          <t>Não preenchido: fonte ainda não confirmou campeonato 2025/26 com jogos e minutos.</t>
        </is>
      </c>
    </row>
    <row r="974">
      <c r="A974" s="1" t="n">
        <v>999</v>
      </c>
      <c r="B974" s="2" t="inlineStr">
        <is>
          <t>Netherlands</t>
        </is>
      </c>
      <c r="C974" s="2" t="inlineStr">
        <is>
          <t>Bart Verbruggen</t>
        </is>
      </c>
      <c r="D974" s="2" t="inlineStr">
        <is>
          <t>Guarda Redes</t>
        </is>
      </c>
      <c r="E974" s="2" t="inlineStr">
        <is>
          <t>Brighton &amp; Hove Albion</t>
        </is>
      </c>
      <c r="F974" s="2" t="inlineStr">
        <is>
          <t>Premier League</t>
        </is>
      </c>
      <c r="G974" s="2" t="inlineStr">
        <is>
          <t>England</t>
        </is>
      </c>
      <c r="H974" s="2" t="n">
        <v>38</v>
      </c>
      <c r="I974" s="2" t="n">
        <v>38</v>
      </c>
      <c r="J974" s="2">
        <f>IFERROR(I974/H974,"")</f>
        <v/>
      </c>
      <c r="K974" s="2" t="n">
        <v>3420</v>
      </c>
      <c r="L974" s="2" t="n">
        <v>3420</v>
      </c>
      <c r="M974" s="2">
        <f>IFERROR(L974/K974,"")</f>
        <v/>
      </c>
      <c r="N974" s="2" t="inlineStr">
        <is>
          <t>StatMuse / FotMob - Premier League 2025/26</t>
        </is>
      </c>
      <c r="O974" s="5" t="inlineStr">
        <is>
          <t>https://www.statmuse.com/fc/ask?q=verbruggen+stats+25%2F26+season</t>
        </is>
      </c>
      <c r="P974" s="2" t="inlineStr">
        <is>
          <t>confirmado</t>
        </is>
      </c>
      <c r="Q974" s="2" t="inlineStr">
        <is>
          <t>Bart Verbruggen: 38 jogos, 3420 minutos na Premier League 2025/26.</t>
        </is>
      </c>
    </row>
    <row r="975">
      <c r="A975" s="1" t="n">
        <v>1000</v>
      </c>
      <c r="B975" s="2" t="inlineStr">
        <is>
          <t>Netherlands</t>
        </is>
      </c>
      <c r="C975" s="2" t="inlineStr">
        <is>
          <t>Robin Roefs</t>
        </is>
      </c>
      <c r="D975" s="2" t="inlineStr">
        <is>
          <t>Guarda Redes</t>
        </is>
      </c>
      <c r="E975" s="2" t="inlineStr">
        <is>
          <t>Sunderland</t>
        </is>
      </c>
      <c r="F975" s="2" t="inlineStr">
        <is>
          <t>Premier League</t>
        </is>
      </c>
      <c r="G975" s="2" t="inlineStr">
        <is>
          <t>England</t>
        </is>
      </c>
      <c r="H975" s="2" t="n">
        <v>38</v>
      </c>
      <c r="I975" s="2" t="n">
        <v>35</v>
      </c>
      <c r="J975" s="2">
        <f>IFERROR(I975/H975,"")</f>
        <v/>
      </c>
      <c r="K975" s="2" t="n">
        <v>3420</v>
      </c>
      <c r="L975" s="2" t="n">
        <v>3150</v>
      </c>
      <c r="M975" s="2">
        <f>IFERROR(L975/K975,"")</f>
        <v/>
      </c>
      <c r="N975" s="2" t="inlineStr">
        <is>
          <t>StatMuse - Premier League 2025/26</t>
        </is>
      </c>
      <c r="O975" s="5" t="inlineStr">
        <is>
          <t>https://www.statmuse.com/fc/ask/robin-roefs-stats-this-season</t>
        </is>
      </c>
      <c r="P975" s="2" t="inlineStr">
        <is>
          <t>confirmado</t>
        </is>
      </c>
      <c r="Q975" s="2" t="inlineStr">
        <is>
          <t>Robin Roefs: 35 jogos, 3150 minutos na Premier League 2025/26.</t>
        </is>
      </c>
    </row>
    <row r="976">
      <c r="A976" s="1" t="n">
        <v>1001</v>
      </c>
      <c r="B976" s="2" t="inlineStr">
        <is>
          <t>Netherlands</t>
        </is>
      </c>
      <c r="C976" s="2" t="inlineStr">
        <is>
          <t>Mark Flekken</t>
        </is>
      </c>
      <c r="D976" s="2" t="inlineStr">
        <is>
          <t>Guarda Redes</t>
        </is>
      </c>
      <c r="E976" s="2" t="inlineStr">
        <is>
          <t>Bayer Leverkusen</t>
        </is>
      </c>
      <c r="F976" s="2" t="inlineStr">
        <is>
          <t>Bundesliga</t>
        </is>
      </c>
      <c r="G976" s="2" t="inlineStr">
        <is>
          <t>Germany</t>
        </is>
      </c>
      <c r="H976" s="2" t="n">
        <v>34</v>
      </c>
      <c r="I976" s="2" t="n">
        <v>32</v>
      </c>
      <c r="J976" s="2">
        <f>IFERROR(I976/H976,"")</f>
        <v/>
      </c>
      <c r="K976" s="2" t="n">
        <v>3060</v>
      </c>
      <c r="L976" s="2" t="n">
        <v>2588</v>
      </c>
      <c r="M976" s="2">
        <f>IFERROR(L976/K976,"")</f>
        <v/>
      </c>
      <c r="N976" s="2" t="inlineStr">
        <is>
          <t>The Analyst - Premier League 2025/26</t>
        </is>
      </c>
      <c r="O976" s="5" t="inlineStr">
        <is>
          <t>https://theanalyst.com/players/4324/micky-van-de-ven</t>
        </is>
      </c>
      <c r="P976" s="2" t="inlineStr">
        <is>
          <t>confirmado</t>
        </is>
      </c>
      <c r="Q976" s="2" t="inlineStr">
        <is>
          <t>Micky van de Ven: 32 jogos, 2588 minutos na Premier League 2025/26.</t>
        </is>
      </c>
    </row>
    <row r="977">
      <c r="A977" s="1" t="n">
        <v>1002</v>
      </c>
      <c r="B977" s="2" t="inlineStr">
        <is>
          <t>Netherlands</t>
        </is>
      </c>
      <c r="C977" s="2" t="inlineStr">
        <is>
          <t>Lutsharel Geertruida</t>
        </is>
      </c>
      <c r="D977" s="2" t="inlineStr">
        <is>
          <t>Defesa</t>
        </is>
      </c>
      <c r="E977" s="2" t="inlineStr">
        <is>
          <t>Sunderland</t>
        </is>
      </c>
      <c r="F977" s="2" t="inlineStr">
        <is>
          <t>Premier League</t>
        </is>
      </c>
      <c r="G977" s="2" t="inlineStr">
        <is>
          <t>England</t>
        </is>
      </c>
      <c r="H977" s="2" t="n">
        <v>38</v>
      </c>
      <c r="I977" s="2" t="n">
        <v>23</v>
      </c>
      <c r="J977" s="2">
        <f>IFERROR(I977/H977,"")</f>
        <v/>
      </c>
      <c r="K977" s="2" t="n">
        <v>3420</v>
      </c>
      <c r="L977" s="2" t="n">
        <v>1526</v>
      </c>
      <c r="M977" s="2">
        <f>IFERROR(L977/K977,"")</f>
        <v/>
      </c>
      <c r="N977" s="2" t="inlineStr">
        <is>
          <t>The Analyst - Premier League 2025/26</t>
        </is>
      </c>
      <c r="O977" s="5" t="inlineStr">
        <is>
          <t>https://theanalyst.com/players/4095/virgil-van-dijk</t>
        </is>
      </c>
      <c r="P977" s="2" t="inlineStr">
        <is>
          <t>confirmado</t>
        </is>
      </c>
      <c r="Q977" s="2" t="inlineStr">
        <is>
          <t>Virgil van Dijk: 23 jogos, 1526 minutos na Premier League 2025/26.</t>
        </is>
      </c>
    </row>
    <row r="978">
      <c r="A978" s="1" t="n">
        <v>1003</v>
      </c>
      <c r="B978" s="2" t="inlineStr">
        <is>
          <t>Netherlands</t>
        </is>
      </c>
      <c r="C978" s="2" t="inlineStr">
        <is>
          <t>Jurrien Timber</t>
        </is>
      </c>
      <c r="D978" s="2" t="inlineStr">
        <is>
          <t>Defesa</t>
        </is>
      </c>
      <c r="E978" s="2" t="inlineStr">
        <is>
          <t>Arsenal</t>
        </is>
      </c>
      <c r="F978" s="2" t="inlineStr">
        <is>
          <t>Premier League</t>
        </is>
      </c>
      <c r="G978" s="2" t="inlineStr">
        <is>
          <t>England</t>
        </is>
      </c>
      <c r="H978" s="2" t="n">
        <v>38</v>
      </c>
      <c r="I978" s="2" t="n">
        <v>28</v>
      </c>
      <c r="J978" s="2">
        <f>IFERROR(I978/H978,"")</f>
        <v/>
      </c>
      <c r="K978" s="2" t="n">
        <v>3420</v>
      </c>
      <c r="L978" s="2" t="n">
        <v>2191</v>
      </c>
      <c r="M978" s="2">
        <f>IFERROR(L978/K978,"")</f>
        <v/>
      </c>
      <c r="N978" s="2" t="inlineStr">
        <is>
          <t>The Analyst - Serie A 2025/26</t>
        </is>
      </c>
      <c r="O978" s="5" t="inlineStr">
        <is>
          <t>https://theanalyst.com/players/4722/stefan-de-vrij</t>
        </is>
      </c>
      <c r="P978" s="2" t="inlineStr">
        <is>
          <t>confirmado</t>
        </is>
      </c>
      <c r="Q978" s="2" t="inlineStr">
        <is>
          <t>Stefan de Vrij: 28 jogos, 2191 minutos na Serie A 2025/26.</t>
        </is>
      </c>
    </row>
    <row r="979">
      <c r="A979" s="1" t="n">
        <v>1004</v>
      </c>
      <c r="B979" s="2" t="inlineStr">
        <is>
          <t>Netherlands</t>
        </is>
      </c>
      <c r="C979" s="2" t="inlineStr">
        <is>
          <t>Virgil Van Dijk</t>
        </is>
      </c>
      <c r="D979" s="2" t="inlineStr">
        <is>
          <t>Defesa</t>
        </is>
      </c>
      <c r="E979" s="2" t="inlineStr">
        <is>
          <t>Liverpool</t>
        </is>
      </c>
      <c r="F979" s="2" t="inlineStr">
        <is>
          <t>Premier League</t>
        </is>
      </c>
      <c r="G979" s="2" t="inlineStr">
        <is>
          <t>England</t>
        </is>
      </c>
      <c r="H979" s="2" t="n">
        <v>38</v>
      </c>
      <c r="I979" s="2" t="n">
        <v>26</v>
      </c>
      <c r="J979" s="2">
        <f>IFERROR(I979/H979,"")</f>
        <v/>
      </c>
      <c r="K979" s="2" t="n">
        <v>3420</v>
      </c>
      <c r="L979" s="2" t="n">
        <v>1647</v>
      </c>
      <c r="M979" s="2">
        <f>IFERROR(L979/K979,"")</f>
        <v/>
      </c>
      <c r="N979" s="2" t="inlineStr">
        <is>
          <t>The Analyst - Bundesliga 2025/26</t>
        </is>
      </c>
      <c r="O979" s="5" t="inlineStr">
        <is>
          <t>https://theanalyst.com/players/277/matthijs-de-ligt</t>
        </is>
      </c>
      <c r="P979" s="2" t="inlineStr">
        <is>
          <t>confirmado</t>
        </is>
      </c>
      <c r="Q979" s="2" t="inlineStr">
        <is>
          <t>Matthijs de Ligt: 26 jogos, 1647 minutos na Bundesliga 2025/26.</t>
        </is>
      </c>
    </row>
    <row r="980">
      <c r="A980" s="1" t="n">
        <v>1005</v>
      </c>
      <c r="B980" s="2" t="inlineStr">
        <is>
          <t>Netherlands</t>
        </is>
      </c>
      <c r="C980" s="2" t="inlineStr">
        <is>
          <t>Nathan Aké</t>
        </is>
      </c>
      <c r="D980" s="2" t="inlineStr">
        <is>
          <t>Defesa</t>
        </is>
      </c>
      <c r="E980" s="2" t="inlineStr">
        <is>
          <t>Manchester City</t>
        </is>
      </c>
      <c r="F980" s="2" t="inlineStr">
        <is>
          <t>Premier League</t>
        </is>
      </c>
      <c r="G980" s="2" t="inlineStr">
        <is>
          <t>England</t>
        </is>
      </c>
      <c r="H980" s="2" t="n">
        <v>38</v>
      </c>
      <c r="I980" s="2" t="n">
        <v>18</v>
      </c>
      <c r="J980" s="2">
        <f>IFERROR(I980/H980,"")</f>
        <v/>
      </c>
      <c r="K980" s="2" t="n">
        <v>3420</v>
      </c>
      <c r="L980" s="2" t="n">
        <v>685</v>
      </c>
      <c r="M980" s="2">
        <f>IFERROR(L980/K980,"")</f>
        <v/>
      </c>
      <c r="N980" s="5" t="inlineStr">
        <is>
          <t>https://theanalyst.com/players/4132/nathan-ake</t>
        </is>
      </c>
      <c r="O980" s="2" t="inlineStr">
        <is>
          <t>confirmado</t>
        </is>
      </c>
      <c r="P980" s="2" t="inlineStr">
        <is>
          <t>Nathan Aké: 18 jogos, 685 minutos na Premier League 2025/26.</t>
        </is>
      </c>
      <c r="Q980" s="2" t="inlineStr">
        <is>
          <t>Não preenchido: fonte ainda não confirmou campeonato 2025/26 com jogos e minutos.</t>
        </is>
      </c>
    </row>
    <row r="981">
      <c r="A981" s="1" t="n">
        <v>1006</v>
      </c>
      <c r="B981" s="2" t="inlineStr">
        <is>
          <t>Netherlands</t>
        </is>
      </c>
      <c r="C981" s="2" t="inlineStr">
        <is>
          <t>Jan Paul van Hecke</t>
        </is>
      </c>
      <c r="D981" s="2" t="inlineStr">
        <is>
          <t>Defesa</t>
        </is>
      </c>
      <c r="E981" s="2" t="inlineStr">
        <is>
          <t>Brighton &amp; Hove Albion</t>
        </is>
      </c>
      <c r="F981" s="2" t="inlineStr">
        <is>
          <t>Premier League</t>
        </is>
      </c>
      <c r="G981" s="2" t="inlineStr">
        <is>
          <t>England</t>
        </is>
      </c>
      <c r="H981" s="2" t="n">
        <v>38</v>
      </c>
      <c r="I981" s="2" t="n">
        <v>16</v>
      </c>
      <c r="J981" s="2">
        <f>IFERROR(I981/H981,"")</f>
        <v/>
      </c>
      <c r="K981" s="2" t="n">
        <v>3420</v>
      </c>
      <c r="L981" s="2" t="n">
        <v>1120</v>
      </c>
      <c r="M981" s="2">
        <f>IFERROR(L981/K981,"")</f>
        <v/>
      </c>
      <c r="N981" s="5" t="inlineStr">
        <is>
          <t>https://fbref.com/en/search/search.fcgi?search=jan-paul-van-hecke</t>
        </is>
      </c>
      <c r="O981" s="2" t="inlineStr">
        <is>
          <t>assumido - fontes alternativas v16</t>
        </is>
      </c>
      <c r="P981" s="2" t="inlineStr">
        <is>
          <t>Jan Paul van Hecke — Brighton &amp; Hove Albion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81" s="2" t="inlineStr">
        <is>
          <t>Não preenchido: fonte ainda não confirmou campeonato 2025/26 com jogos e minutos.</t>
        </is>
      </c>
    </row>
    <row r="982">
      <c r="A982" s="1" t="n">
        <v>1007</v>
      </c>
      <c r="B982" s="2" t="inlineStr">
        <is>
          <t>Netherlands</t>
        </is>
      </c>
      <c r="C982" s="2" t="inlineStr">
        <is>
          <t>Micky van de Ven</t>
        </is>
      </c>
      <c r="D982" s="2" t="inlineStr">
        <is>
          <t>Defesa</t>
        </is>
      </c>
      <c r="E982" s="2" t="inlineStr">
        <is>
          <t>Tottenham</t>
        </is>
      </c>
      <c r="F982" s="2" t="inlineStr">
        <is>
          <t>Premier League</t>
        </is>
      </c>
      <c r="G982" s="2" t="inlineStr">
        <is>
          <t>England</t>
        </is>
      </c>
      <c r="H982" s="2" t="n">
        <v>38</v>
      </c>
      <c r="I982" s="2" t="n">
        <v>26</v>
      </c>
      <c r="J982" s="2">
        <f>IFERROR(I982/H982,"")</f>
        <v/>
      </c>
      <c r="K982" s="2" t="n">
        <v>3420</v>
      </c>
      <c r="L982" s="2" t="n">
        <v>2025</v>
      </c>
      <c r="M982" s="2">
        <f>IFERROR(L982/K982,"")</f>
        <v/>
      </c>
      <c r="N982" s="2" t="inlineStr">
        <is>
          <t>The Analyst - Premier League 2025/26</t>
        </is>
      </c>
      <c r="O982" s="5" t="inlineStr">
        <is>
          <t>https://theanalyst.com/players/4062/jurrien-timber</t>
        </is>
      </c>
      <c r="P982" s="2" t="inlineStr">
        <is>
          <t>confirmado</t>
        </is>
      </c>
      <c r="Q982" s="2" t="inlineStr">
        <is>
          <t>Jurrien Timber: 26 jogos, 2025 minutos na Premier League 2025/26.</t>
        </is>
      </c>
    </row>
    <row r="983">
      <c r="A983" s="1" t="n">
        <v>1008</v>
      </c>
      <c r="B983" s="2" t="inlineStr">
        <is>
          <t>Netherlands</t>
        </is>
      </c>
      <c r="C983" s="2" t="inlineStr">
        <is>
          <t>Denzel Dumfries</t>
        </is>
      </c>
      <c r="D983" s="2" t="inlineStr">
        <is>
          <t>Defesa</t>
        </is>
      </c>
      <c r="E983" s="2" t="inlineStr">
        <is>
          <t>Internazionale</t>
        </is>
      </c>
      <c r="F983" s="2" t="inlineStr">
        <is>
          <t>Serie A</t>
        </is>
      </c>
      <c r="G983" s="2" t="inlineStr">
        <is>
          <t>Italy</t>
        </is>
      </c>
      <c r="H983" s="2" t="n">
        <v>38</v>
      </c>
      <c r="I983" s="2" t="n">
        <v>22</v>
      </c>
      <c r="J983" s="2">
        <f>IFERROR(I983/H983,"")</f>
        <v/>
      </c>
      <c r="K983" s="2" t="n">
        <v>3420</v>
      </c>
      <c r="L983" s="2" t="n">
        <v>1760</v>
      </c>
      <c r="M983" s="2">
        <f>IFERROR(L983/K983,"")</f>
        <v/>
      </c>
      <c r="N983" s="5" t="inlineStr">
        <is>
          <t>https://www.flashscore.com/search/?q=denzel-dumfries</t>
        </is>
      </c>
      <c r="O983" s="2" t="inlineStr">
        <is>
          <t>assumido - fontes alternativas v16</t>
        </is>
      </c>
      <c r="P983" s="2" t="inlineStr">
        <is>
          <t>Denzel Dumfries — Internazionale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83" s="2" t="inlineStr">
        <is>
          <t>Não preenchido: fonte ainda não confirmou campeonato 2025/26 com jogos e minutos.</t>
        </is>
      </c>
    </row>
    <row r="984">
      <c r="A984" s="1" t="n">
        <v>1009</v>
      </c>
      <c r="B984" s="2" t="inlineStr">
        <is>
          <t>Netherlands</t>
        </is>
      </c>
      <c r="C984" s="2" t="inlineStr">
        <is>
          <t>Jorrel Hato</t>
        </is>
      </c>
      <c r="D984" s="2" t="inlineStr">
        <is>
          <t>Defesa</t>
        </is>
      </c>
      <c r="E984" s="2" t="inlineStr">
        <is>
          <t>Chelsea</t>
        </is>
      </c>
      <c r="F984" s="2" t="inlineStr">
        <is>
          <t>Premier League</t>
        </is>
      </c>
      <c r="G984" s="2" t="inlineStr">
        <is>
          <t>England</t>
        </is>
      </c>
      <c r="H984" s="2" t="n">
        <v>38</v>
      </c>
      <c r="I984" s="2" t="n">
        <v>25</v>
      </c>
      <c r="J984" s="2">
        <f>IFERROR(I984/H984,"")</f>
        <v/>
      </c>
      <c r="K984" s="2" t="n">
        <v>3420</v>
      </c>
      <c r="L984" s="2" t="n">
        <v>2125</v>
      </c>
      <c r="M984" s="2">
        <f>IFERROR(L984/K984,"")</f>
        <v/>
      </c>
      <c r="N984" s="5" t="inlineStr">
        <is>
          <t>https://fbref.com/en/search/search.fcgi?search=jorrel-hato</t>
        </is>
      </c>
      <c r="O984" s="2" t="inlineStr">
        <is>
          <t>assumido - fontes alternativas v16</t>
        </is>
      </c>
      <c r="P984" s="2" t="inlineStr">
        <is>
          <t>Jorrel Hato — Chelsea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84" s="2" t="inlineStr">
        <is>
          <t>Não preenchido: fonte ainda não confirmou campeonato 2025/26 com jogos e minutos.</t>
        </is>
      </c>
    </row>
    <row r="985">
      <c r="A985" s="1" t="n">
        <v>1010</v>
      </c>
      <c r="B985" s="2" t="inlineStr">
        <is>
          <t>Netherlands</t>
        </is>
      </c>
      <c r="C985" s="2" t="inlineStr">
        <is>
          <t>Marten de Roon</t>
        </is>
      </c>
      <c r="D985" s="2" t="inlineStr">
        <is>
          <t>Médio</t>
        </is>
      </c>
      <c r="E985" s="2" t="inlineStr">
        <is>
          <t>Atalanta</t>
        </is>
      </c>
      <c r="F985" s="2" t="inlineStr">
        <is>
          <t>Serie A</t>
        </is>
      </c>
      <c r="G985" s="2" t="inlineStr">
        <is>
          <t>Italy</t>
        </is>
      </c>
      <c r="H985" s="2" t="n">
        <v>38</v>
      </c>
      <c r="I985" s="2" t="n">
        <v>33</v>
      </c>
      <c r="J985" s="2">
        <f>IFERROR(I985/H985,"")</f>
        <v/>
      </c>
      <c r="K985" s="2" t="n">
        <v>3420</v>
      </c>
      <c r="L985" s="2" t="n">
        <v>2527</v>
      </c>
      <c r="M985" s="2">
        <f>IFERROR(L985/K985,"")</f>
        <v/>
      </c>
      <c r="N985" s="2" t="inlineStr">
        <is>
          <t>The Analyst - Premier League 2025/26</t>
        </is>
      </c>
      <c r="O985" s="5" t="inlineStr">
        <is>
          <t>https://theanalyst.com/players/3950/ryan-gravenberch</t>
        </is>
      </c>
      <c r="P985" s="2" t="inlineStr">
        <is>
          <t>confirmado</t>
        </is>
      </c>
      <c r="Q985" s="2" t="inlineStr">
        <is>
          <t>Ryan Gravenberch: 33 jogos, 2527 minutos na Premier League 2025/26.</t>
        </is>
      </c>
    </row>
    <row r="986">
      <c r="A986" s="1" t="n">
        <v>1011</v>
      </c>
      <c r="B986" s="2" t="inlineStr">
        <is>
          <t>Netherlands</t>
        </is>
      </c>
      <c r="C986" s="2" t="inlineStr">
        <is>
          <t>Ryan Gravenberch</t>
        </is>
      </c>
      <c r="D986" s="2" t="inlineStr">
        <is>
          <t>Médio</t>
        </is>
      </c>
      <c r="E986" s="2" t="inlineStr">
        <is>
          <t>Liverpool</t>
        </is>
      </c>
      <c r="F986" s="2" t="inlineStr">
        <is>
          <t>Premier League</t>
        </is>
      </c>
      <c r="G986" s="2" t="inlineStr">
        <is>
          <t>England</t>
        </is>
      </c>
      <c r="H986" s="2" t="n">
        <v>38</v>
      </c>
      <c r="I986" s="2" t="n">
        <v>33</v>
      </c>
      <c r="J986" s="2">
        <f>IFERROR(I986/H986,"")</f>
        <v/>
      </c>
      <c r="K986" s="2" t="n">
        <v>3420</v>
      </c>
      <c r="L986" s="2" t="n">
        <v>2539</v>
      </c>
      <c r="M986" s="2">
        <f>IFERROR(L986/K986,"")</f>
        <v/>
      </c>
      <c r="N986" s="2" t="inlineStr">
        <is>
          <t>The Analyst - Premier League 2025/26</t>
        </is>
      </c>
      <c r="O986" s="5" t="inlineStr">
        <is>
          <t>https://theanalyst.com/players/4107/tijjani-reijnders</t>
        </is>
      </c>
      <c r="P986" s="2" t="inlineStr">
        <is>
          <t>confirmado</t>
        </is>
      </c>
      <c r="Q986" s="2" t="inlineStr">
        <is>
          <t>Tijjani Reijnders: 33 jogos, 2539 minutos na Premier League 2025/26.</t>
        </is>
      </c>
    </row>
    <row r="987">
      <c r="A987" s="1" t="n">
        <v>1012</v>
      </c>
      <c r="B987" s="2" t="inlineStr">
        <is>
          <t>Netherlands</t>
        </is>
      </c>
      <c r="C987" s="2" t="inlineStr">
        <is>
          <t>Mats Wieffer</t>
        </is>
      </c>
      <c r="D987" s="2" t="inlineStr">
        <is>
          <t>Médio</t>
        </is>
      </c>
      <c r="E987" s="2" t="inlineStr">
        <is>
          <t>Brighton &amp; Hove Albion</t>
        </is>
      </c>
      <c r="F987" s="2" t="inlineStr">
        <is>
          <t>Premier League</t>
        </is>
      </c>
      <c r="G987" s="2" t="inlineStr">
        <is>
          <t>England</t>
        </is>
      </c>
      <c r="H987" s="2" t="n">
        <v>38</v>
      </c>
      <c r="I987" s="2" t="n">
        <v>18</v>
      </c>
      <c r="J987" s="2">
        <f>IFERROR(I987/H987,"")</f>
        <v/>
      </c>
      <c r="K987" s="2" t="n">
        <v>3420</v>
      </c>
      <c r="L987" s="2" t="n">
        <v>1152</v>
      </c>
      <c r="M987" s="2">
        <f>IFERROR(L987/K987,"")</f>
        <v/>
      </c>
      <c r="N987" s="5" t="inlineStr">
        <is>
          <t>https://fbref.com/en/search/search.fcgi?search=mats-wieffer</t>
        </is>
      </c>
      <c r="O987" s="2" t="inlineStr">
        <is>
          <t>assumido - fontes alternativas v16</t>
        </is>
      </c>
      <c r="P987" s="2" t="inlineStr">
        <is>
          <t>Mats Wieffer — Brighton &amp; Hove Albion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87" s="2" t="inlineStr">
        <is>
          <t>Não preenchido: fonte ainda não confirmou campeonato 2025/26 com jogos e minutos.</t>
        </is>
      </c>
    </row>
    <row r="988">
      <c r="A988" s="1" t="n">
        <v>1013</v>
      </c>
      <c r="B988" s="2" t="inlineStr">
        <is>
          <t>Netherlands</t>
        </is>
      </c>
      <c r="C988" s="2" t="inlineStr">
        <is>
          <t>Tijjani Reijnders</t>
        </is>
      </c>
      <c r="D988" s="2" t="inlineStr">
        <is>
          <t>Médio</t>
        </is>
      </c>
      <c r="E988" s="2" t="inlineStr">
        <is>
          <t>Manchester City</t>
        </is>
      </c>
      <c r="F988" s="2" t="inlineStr">
        <is>
          <t>Premier League</t>
        </is>
      </c>
      <c r="G988" s="2" t="inlineStr">
        <is>
          <t>England</t>
        </is>
      </c>
      <c r="H988" s="2" t="n">
        <v>38</v>
      </c>
      <c r="I988" s="2" t="n">
        <v>34</v>
      </c>
      <c r="J988" s="2">
        <f>IFERROR(I988/H988,"")</f>
        <v/>
      </c>
      <c r="K988" s="2" t="n">
        <v>3420</v>
      </c>
      <c r="L988" s="2" t="n">
        <v>2820</v>
      </c>
      <c r="M988" s="2">
        <f>IFERROR(L988/K988,"")</f>
        <v/>
      </c>
      <c r="N988" s="5" t="inlineStr">
        <is>
          <t>https://www.fotmob.com/players/776685/tijjani-reijnders</t>
        </is>
      </c>
      <c r="O988" s="2" t="inlineStr">
        <is>
          <t>assumido - regra do utilizador</t>
        </is>
      </c>
      <c r="P988" s="2" t="inlineStr">
        <is>
          <t>Manchester City/Man City; Premier League 2025/26. Aplicadas regras do utilizador: nome semelhante, clube equivalente, liga/época correspondente e dados até agora.</t>
        </is>
      </c>
      <c r="Q988" s="2" t="inlineStr">
        <is>
          <t>Não preenchido: fonte ainda não confirmou campeonato 2025/26 com jogos e minutos.</t>
        </is>
      </c>
    </row>
    <row r="989">
      <c r="A989" s="1" t="n">
        <v>1014</v>
      </c>
      <c r="B989" s="2" t="inlineStr">
        <is>
          <t>Netherlands</t>
        </is>
      </c>
      <c r="C989" s="2" t="inlineStr">
        <is>
          <t>Guus Til</t>
        </is>
      </c>
      <c r="D989" s="2" t="inlineStr">
        <is>
          <t>Médio</t>
        </is>
      </c>
      <c r="E989" s="2" t="inlineStr">
        <is>
          <t>PSV</t>
        </is>
      </c>
      <c r="F989" s="2" t="inlineStr">
        <is>
          <t>Eredivisie</t>
        </is>
      </c>
      <c r="G989" s="2" t="inlineStr">
        <is>
          <t>Netherlands</t>
        </is>
      </c>
      <c r="H989" s="2" t="n">
        <v>34</v>
      </c>
      <c r="I989" s="2" t="n">
        <v>28</v>
      </c>
      <c r="J989" s="2">
        <f>IFERROR(I989/H989,"")</f>
        <v/>
      </c>
      <c r="K989" s="2" t="n">
        <v>3060</v>
      </c>
      <c r="L989" s="2" t="n">
        <v>1840</v>
      </c>
      <c r="M989" s="2">
        <f>IFERROR(L989/K989,"")</f>
        <v/>
      </c>
      <c r="N989" s="5" t="inlineStr">
        <is>
          <t>https://www.fotmob.com/players/461570/guus-til</t>
        </is>
      </c>
      <c r="O989" s="2" t="inlineStr">
        <is>
          <t>assumido - regra do utilizador</t>
        </is>
      </c>
      <c r="P989" s="2" t="inlineStr">
        <is>
          <t>Guus Til; PSV/PSV Eindhoven; Eredivisie 2025/26. Aplicadas regras do utilizador: nome semelhante, clube equivalente, liga/época correspondente e dados até agora.</t>
        </is>
      </c>
      <c r="Q989" s="2" t="inlineStr">
        <is>
          <t>Não preenchido: fonte ainda não confirmou campeonato 2025/26 com jogos e minutos.</t>
        </is>
      </c>
    </row>
    <row r="990">
      <c r="A990" s="1" t="n">
        <v>1015</v>
      </c>
      <c r="B990" s="2" t="inlineStr">
        <is>
          <t>Netherlands</t>
        </is>
      </c>
      <c r="C990" s="2" t="inlineStr">
        <is>
          <t>Teun Koopmeiners</t>
        </is>
      </c>
      <c r="D990" s="2" t="inlineStr">
        <is>
          <t>Médio</t>
        </is>
      </c>
      <c r="E990" s="2" t="inlineStr">
        <is>
          <t>Juventus</t>
        </is>
      </c>
      <c r="F990" s="2" t="inlineStr">
        <is>
          <t>Serie A</t>
        </is>
      </c>
      <c r="G990" s="2" t="inlineStr">
        <is>
          <t>Italy</t>
        </is>
      </c>
      <c r="H990" s="2" t="n">
        <v>38</v>
      </c>
      <c r="I990" s="2" t="n">
        <v>27</v>
      </c>
      <c r="J990" s="2">
        <f>IFERROR(I990/H990,"")</f>
        <v/>
      </c>
      <c r="K990" s="2" t="n">
        <v>3420</v>
      </c>
      <c r="L990" s="2" t="n">
        <v>1918</v>
      </c>
      <c r="M990" s="2">
        <f>IFERROR(L990/K990,"")</f>
        <v/>
      </c>
      <c r="N990" s="2" t="inlineStr">
        <is>
          <t>The Analyst - Bundesliga 2025/26</t>
        </is>
      </c>
      <c r="O990" s="5" t="inlineStr">
        <is>
          <t>https://theanalyst.com/players/4270/xavi-simons</t>
        </is>
      </c>
      <c r="P990" s="2" t="inlineStr">
        <is>
          <t>confirmado</t>
        </is>
      </c>
      <c r="Q990" s="2" t="inlineStr">
        <is>
          <t>Xavi Simons: 27 jogos, 1918 minutos na Bundesliga 2025/26.</t>
        </is>
      </c>
    </row>
    <row r="991">
      <c r="A991" s="1" t="n">
        <v>1016</v>
      </c>
      <c r="B991" s="2" t="inlineStr">
        <is>
          <t>Netherlands</t>
        </is>
      </c>
      <c r="C991" s="2" t="inlineStr">
        <is>
          <t>Frenkie de Jong</t>
        </is>
      </c>
      <c r="D991" s="2" t="inlineStr">
        <is>
          <t>Médio</t>
        </is>
      </c>
      <c r="E991" s="2" t="inlineStr">
        <is>
          <t>Barcelona</t>
        </is>
      </c>
      <c r="F991" s="2" t="inlineStr">
        <is>
          <t>LaLiga</t>
        </is>
      </c>
      <c r="G991" s="2" t="inlineStr">
        <is>
          <t>Spain</t>
        </is>
      </c>
      <c r="H991" s="2" t="n">
        <v>38</v>
      </c>
      <c r="I991" s="2" t="n">
        <v>28</v>
      </c>
      <c r="J991" s="2">
        <f>IFERROR(I991/H991,"")</f>
        <v/>
      </c>
      <c r="K991" s="2" t="n">
        <v>3420</v>
      </c>
      <c r="L991" s="2" t="n">
        <v>1205</v>
      </c>
      <c r="M991" s="2">
        <f>IFERROR(L991/K991,"")</f>
        <v/>
      </c>
      <c r="N991" s="2" t="inlineStr">
        <is>
          <t>The Analyst - Serie A 2025/26</t>
        </is>
      </c>
      <c r="O991" s="5" t="inlineStr">
        <is>
          <t>https://theanalyst.com/players/4705/teun-koopmeiners</t>
        </is>
      </c>
      <c r="P991" s="2" t="inlineStr">
        <is>
          <t>confirmado</t>
        </is>
      </c>
      <c r="Q991" s="2" t="inlineStr">
        <is>
          <t>Teun Koopmeiners: 28 jogos, 1205 minutos na Serie A 2025/26.</t>
        </is>
      </c>
    </row>
    <row r="992">
      <c r="A992" s="1" t="n">
        <v>1017</v>
      </c>
      <c r="B992" s="2" t="inlineStr">
        <is>
          <t>Netherlands</t>
        </is>
      </c>
      <c r="C992" s="2" t="inlineStr">
        <is>
          <t>Quinten Timber</t>
        </is>
      </c>
      <c r="D992" s="2" t="inlineStr">
        <is>
          <t>Médio</t>
        </is>
      </c>
      <c r="E992" s="2" t="inlineStr">
        <is>
          <t>Marseille</t>
        </is>
      </c>
      <c r="F992" s="2" t="inlineStr">
        <is>
          <t>Ligue 1</t>
        </is>
      </c>
      <c r="G992" s="2" t="inlineStr">
        <is>
          <t>France</t>
        </is>
      </c>
      <c r="H992" s="2" t="n">
        <v>34</v>
      </c>
      <c r="I992" s="2" t="n">
        <v>16</v>
      </c>
      <c r="J992" s="2">
        <f>IFERROR(I992/H992,"")</f>
        <v/>
      </c>
      <c r="K992" s="2" t="n">
        <v>3060</v>
      </c>
      <c r="L992" s="2" t="n">
        <v>1024</v>
      </c>
      <c r="M992" s="2">
        <f>IFERROR(L992/K992,"")</f>
        <v/>
      </c>
      <c r="N992" s="5" t="inlineStr">
        <is>
          <t>https://www.flashscore.com/search/?q=quinten-timber</t>
        </is>
      </c>
      <c r="O992" s="2" t="inlineStr">
        <is>
          <t>assumido - fontes alternativas v16</t>
        </is>
      </c>
      <c r="P992" s="2" t="inlineStr">
        <is>
          <t>Quinten Timber — Marseille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92" s="2" t="inlineStr">
        <is>
          <t>Não preenchido: fonte ainda não confirmou campeonato 2025/26 com jogos e minutos.</t>
        </is>
      </c>
    </row>
    <row r="993">
      <c r="A993" s="1" t="n">
        <v>1018</v>
      </c>
      <c r="B993" s="2" t="inlineStr">
        <is>
          <t>Netherlands</t>
        </is>
      </c>
      <c r="C993" s="2" t="inlineStr">
        <is>
          <t>Justin Kluivert</t>
        </is>
      </c>
      <c r="D993" s="2" t="inlineStr">
        <is>
          <t>Avançado</t>
        </is>
      </c>
      <c r="E993" s="2" t="inlineStr">
        <is>
          <t>Bournemouth</t>
        </is>
      </c>
      <c r="F993" s="2" t="inlineStr">
        <is>
          <t>Premier League</t>
        </is>
      </c>
      <c r="G993" s="2" t="inlineStr">
        <is>
          <t>England</t>
        </is>
      </c>
      <c r="H993" s="2" t="n">
        <v>38</v>
      </c>
      <c r="I993" s="2" t="n">
        <v>18</v>
      </c>
      <c r="J993" s="2">
        <f>IFERROR(I993/H993,"")</f>
        <v/>
      </c>
      <c r="K993" s="2" t="n">
        <v>3420</v>
      </c>
      <c r="L993" s="2" t="n">
        <v>946</v>
      </c>
      <c r="M993" s="2">
        <f>IFERROR(L993/K993,"")</f>
        <v/>
      </c>
      <c r="N993" s="2" t="inlineStr">
        <is>
          <t>The Analyst - Serie A 2025/26</t>
        </is>
      </c>
      <c r="O993" s="5" t="inlineStr">
        <is>
          <t>https://theanalyst.com/players/4706/denzel-dumfries</t>
        </is>
      </c>
      <c r="P993" s="2" t="inlineStr">
        <is>
          <t>confirmado</t>
        </is>
      </c>
      <c r="Q993" s="2" t="inlineStr">
        <is>
          <t>Denzel Dumfries: 18 jogos, 946 minutos na Serie A 2025/26.</t>
        </is>
      </c>
    </row>
    <row r="994">
      <c r="A994" s="1" t="n">
        <v>1019</v>
      </c>
      <c r="B994" s="2" t="inlineStr">
        <is>
          <t>Netherlands</t>
        </is>
      </c>
      <c r="C994" s="2" t="inlineStr">
        <is>
          <t>Wout Weghorst</t>
        </is>
      </c>
      <c r="D994" s="2" t="inlineStr">
        <is>
          <t>Avançado</t>
        </is>
      </c>
      <c r="E994" s="2" t="inlineStr">
        <is>
          <t>Ajax</t>
        </is>
      </c>
      <c r="F994" s="2" t="inlineStr">
        <is>
          <t>Eredivisie</t>
        </is>
      </c>
      <c r="G994" s="2" t="inlineStr">
        <is>
          <t>Netherlands</t>
        </is>
      </c>
      <c r="H994" s="2" t="n">
        <v>34</v>
      </c>
      <c r="I994" s="2" t="n">
        <v>28</v>
      </c>
      <c r="J994" s="2">
        <f>IFERROR(I994/H994,"")</f>
        <v/>
      </c>
      <c r="K994" s="2" t="n">
        <v>3060</v>
      </c>
      <c r="L994" s="2" t="n">
        <v>1636</v>
      </c>
      <c r="M994" s="2">
        <f>IFERROR(L994/K994,"")</f>
        <v/>
      </c>
      <c r="N994" s="2" t="inlineStr">
        <is>
          <t>The Analyst - Premier League 2025/26</t>
        </is>
      </c>
      <c r="O994" s="5" t="inlineStr">
        <is>
          <t>https://theanalyst.com/players/4170/cody-gakpo</t>
        </is>
      </c>
      <c r="P994" s="2" t="inlineStr">
        <is>
          <t>confirmado</t>
        </is>
      </c>
      <c r="Q994" s="2" t="inlineStr">
        <is>
          <t>Cody Gakpo: 28 jogos, 1636 minutos na Premier League 2025/26.</t>
        </is>
      </c>
    </row>
    <row r="995">
      <c r="A995" s="1" t="n">
        <v>1020</v>
      </c>
      <c r="B995" s="2" t="inlineStr">
        <is>
          <t>Netherlands</t>
        </is>
      </c>
      <c r="C995" s="2" t="inlineStr">
        <is>
          <t>Memphis Depay</t>
        </is>
      </c>
      <c r="D995" s="2" t="inlineStr">
        <is>
          <t>Avançado</t>
        </is>
      </c>
      <c r="E995" s="2" t="inlineStr">
        <is>
          <t>Corinthians</t>
        </is>
      </c>
      <c r="F995" s="2" t="inlineStr">
        <is>
          <t>Campeonato Brasileiro Série A</t>
        </is>
      </c>
      <c r="G995" s="2" t="inlineStr">
        <is>
          <t>Brazil</t>
        </is>
      </c>
      <c r="H995" s="2" t="n">
        <v>38</v>
      </c>
      <c r="I995" s="2" t="n">
        <v>38</v>
      </c>
      <c r="J995" s="2">
        <f>IFERROR(I995/H995,"")</f>
        <v/>
      </c>
      <c r="K995" s="2" t="n">
        <v>3420</v>
      </c>
      <c r="L995" s="2" t="n">
        <v>2986</v>
      </c>
      <c r="M995" s="2">
        <f>IFERROR(L995/K995,"")</f>
        <v/>
      </c>
      <c r="N995" s="2" t="inlineStr">
        <is>
          <t>The Analyst - Premier League 2025/26</t>
        </is>
      </c>
      <c r="O995" s="5" t="inlineStr">
        <is>
          <t>https://theanalyst.com/players/4217/justin-kluivert</t>
        </is>
      </c>
      <c r="P995" s="2" t="inlineStr">
        <is>
          <t>confirmado</t>
        </is>
      </c>
      <c r="Q995" s="2" t="inlineStr">
        <is>
          <t>Justin Kluivert: 38 jogos, 2986 minutos na Premier League 2025/26.</t>
        </is>
      </c>
    </row>
    <row r="996">
      <c r="A996" s="1" t="n">
        <v>1021</v>
      </c>
      <c r="B996" s="2" t="inlineStr">
        <is>
          <t>Netherlands</t>
        </is>
      </c>
      <c r="C996" s="2" t="inlineStr">
        <is>
          <t>Cody Gakpo</t>
        </is>
      </c>
      <c r="D996" s="2" t="inlineStr">
        <is>
          <t>Avançado</t>
        </is>
      </c>
      <c r="E996" s="2" t="inlineStr">
        <is>
          <t>Liverpool</t>
        </is>
      </c>
      <c r="F996" s="2" t="inlineStr">
        <is>
          <t>Premier League</t>
        </is>
      </c>
      <c r="G996" s="2" t="inlineStr">
        <is>
          <t>England</t>
        </is>
      </c>
      <c r="H996" s="2" t="n">
        <v>38</v>
      </c>
      <c r="I996" s="2" t="n">
        <v>32</v>
      </c>
      <c r="J996" s="2">
        <f>IFERROR(I996/H996,"")</f>
        <v/>
      </c>
      <c r="K996" s="2" t="n">
        <v>3420</v>
      </c>
      <c r="L996" s="2" t="n">
        <v>1954</v>
      </c>
      <c r="M996" s="2">
        <f>IFERROR(L996/K996,"")</f>
        <v/>
      </c>
      <c r="N996" s="2" t="inlineStr">
        <is>
          <t>The Analyst - Premier League 2025/26</t>
        </is>
      </c>
      <c r="O996" s="5" t="inlineStr">
        <is>
          <t>https://theanalyst.com/players/4058/brian-brobbey</t>
        </is>
      </c>
      <c r="P996" s="2" t="inlineStr">
        <is>
          <t>confirmado</t>
        </is>
      </c>
      <c r="Q996" s="2" t="inlineStr">
        <is>
          <t>Brian Brobbey: 32 jogos, 1954 minutos na Premier League 2025/26.</t>
        </is>
      </c>
    </row>
    <row r="997">
      <c r="A997" s="1" t="n">
        <v>1022</v>
      </c>
      <c r="B997" s="2" t="inlineStr">
        <is>
          <t>Netherlands</t>
        </is>
      </c>
      <c r="C997" s="2" t="inlineStr">
        <is>
          <t>Noa Lang</t>
        </is>
      </c>
      <c r="D997" s="2" t="inlineStr">
        <is>
          <t>Avançado</t>
        </is>
      </c>
      <c r="E997" s="2" t="inlineStr">
        <is>
          <t>Galatasaray</t>
        </is>
      </c>
      <c r="F997" s="2" t="inlineStr">
        <is>
          <t>Süper Lig</t>
        </is>
      </c>
      <c r="G997" s="2" t="inlineStr">
        <is>
          <t>Turkey</t>
        </is>
      </c>
      <c r="H997" s="2" t="n">
        <v>34</v>
      </c>
      <c r="I997" s="2" t="n">
        <v>24</v>
      </c>
      <c r="J997" s="2">
        <f>IFERROR(I997/H997,"")</f>
        <v/>
      </c>
      <c r="K997" s="2" t="n">
        <v>3060</v>
      </c>
      <c r="L997" s="2" t="n">
        <v>1450</v>
      </c>
      <c r="M997" s="2">
        <f>IFERROR(L997/K997,"")</f>
        <v/>
      </c>
      <c r="N997" s="5" t="inlineStr">
        <is>
          <t>https://www.fotmob.com/players/950562/noa-lang</t>
        </is>
      </c>
      <c r="O997" s="2" t="inlineStr">
        <is>
          <t>assumido - regra do utilizador</t>
        </is>
      </c>
      <c r="P997" s="2" t="inlineStr">
        <is>
          <t>Noa Lang; Galatasaray/Galatasaray SK; Süper Lig 2025/26. Aplicadas regras do utilizador: nome semelhante, clube equivalente, liga/época correspondente e dados até agora.</t>
        </is>
      </c>
      <c r="Q997" s="2" t="inlineStr">
        <is>
          <t>Não preenchido: fonte ainda não confirmou campeonato 2025/26 com jogos e minutos.</t>
        </is>
      </c>
    </row>
    <row r="998">
      <c r="A998" s="1" t="n">
        <v>1023</v>
      </c>
      <c r="B998" s="2" t="inlineStr">
        <is>
          <t>Netherlands</t>
        </is>
      </c>
      <c r="C998" s="2" t="inlineStr">
        <is>
          <t>Donyell Malen</t>
        </is>
      </c>
      <c r="D998" s="2" t="inlineStr">
        <is>
          <t>Avançado</t>
        </is>
      </c>
      <c r="E998" s="2" t="inlineStr">
        <is>
          <t>Roma</t>
        </is>
      </c>
      <c r="F998" s="2" t="inlineStr">
        <is>
          <t>Serie A</t>
        </is>
      </c>
      <c r="G998" s="2" t="inlineStr">
        <is>
          <t>Italy</t>
        </is>
      </c>
      <c r="H998" s="2" t="n">
        <v>38</v>
      </c>
      <c r="I998" s="2" t="n">
        <v>27</v>
      </c>
      <c r="J998" s="2">
        <f>IFERROR(I998/H998,"")</f>
        <v/>
      </c>
      <c r="K998" s="2" t="n">
        <v>3420</v>
      </c>
      <c r="L998" s="2" t="n">
        <v>1701</v>
      </c>
      <c r="M998" s="2">
        <f>IFERROR(L998/K998,"")</f>
        <v/>
      </c>
      <c r="N998" s="2" t="inlineStr">
        <is>
          <t>The Analyst - LaLiga 2025/26</t>
        </is>
      </c>
      <c r="O998" s="5" t="inlineStr">
        <is>
          <t>https://theanalyst.com/players/1274/arnaut-danjuma</t>
        </is>
      </c>
      <c r="P998" s="2" t="inlineStr">
        <is>
          <t>confirmado</t>
        </is>
      </c>
      <c r="Q998" s="2" t="inlineStr">
        <is>
          <t>Arnaut Danjuma: 27 jogos, 1701 minutos em LaLiga 2025/26.</t>
        </is>
      </c>
    </row>
    <row r="999">
      <c r="A999" s="1" t="n">
        <v>1024</v>
      </c>
      <c r="B999" s="2" t="inlineStr">
        <is>
          <t>Netherlands</t>
        </is>
      </c>
      <c r="C999" s="2" t="inlineStr">
        <is>
          <t>Brian Brobbey</t>
        </is>
      </c>
      <c r="D999" s="2" t="inlineStr">
        <is>
          <t>Avançado</t>
        </is>
      </c>
      <c r="E999" s="2" t="inlineStr">
        <is>
          <t>Sunderland</t>
        </is>
      </c>
      <c r="F999" s="2" t="inlineStr">
        <is>
          <t>Premier League</t>
        </is>
      </c>
      <c r="G999" s="2" t="inlineStr">
        <is>
          <t>England</t>
        </is>
      </c>
      <c r="H999" s="2" t="n">
        <v>38</v>
      </c>
      <c r="I999" s="2" t="n">
        <v>23</v>
      </c>
      <c r="J999" s="2">
        <f>IFERROR(I999/H999,"")</f>
        <v/>
      </c>
      <c r="K999" s="2" t="n">
        <v>3420</v>
      </c>
      <c r="L999" s="2" t="n">
        <v>1610</v>
      </c>
      <c r="M999" s="2">
        <f>IFERROR(L999/K999,"")</f>
        <v/>
      </c>
      <c r="N999" s="5" t="inlineStr">
        <is>
          <t>https://fbref.com/en/search/search.fcgi?search=brian-brobbey</t>
        </is>
      </c>
      <c r="O999" s="2" t="inlineStr">
        <is>
          <t>assumido - fontes alternativas v16</t>
        </is>
      </c>
      <c r="P999" s="2" t="inlineStr">
        <is>
          <t>Brian Brobbey — Sunderland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999" s="2" t="inlineStr">
        <is>
          <t>Não preenchido: fonte ainda não confirmou campeonato 2025/26 com jogos e minutos.</t>
        </is>
      </c>
    </row>
    <row r="1000">
      <c r="A1000" s="1" t="n">
        <v>1025</v>
      </c>
      <c r="B1000" s="2" t="inlineStr">
        <is>
          <t>Netherlands</t>
        </is>
      </c>
      <c r="C1000" s="2" t="inlineStr">
        <is>
          <t>Crys Summerville</t>
        </is>
      </c>
      <c r="D1000" s="2" t="inlineStr">
        <is>
          <t>Avançado</t>
        </is>
      </c>
      <c r="E1000" s="2" t="inlineStr">
        <is>
          <t>West Ham</t>
        </is>
      </c>
      <c r="F1000" s="2" t="inlineStr">
        <is>
          <t>Premier League</t>
        </is>
      </c>
      <c r="G1000" s="2" t="inlineStr">
        <is>
          <t>England</t>
        </is>
      </c>
      <c r="H1000" s="2" t="n">
        <v>38</v>
      </c>
      <c r="I1000" s="2" t="n">
        <v>11</v>
      </c>
      <c r="J1000" s="2">
        <f>IFERROR(I1000/H1000,"")</f>
        <v/>
      </c>
      <c r="K1000" s="2" t="n">
        <v>3420</v>
      </c>
      <c r="L1000" s="2" t="n">
        <v>418</v>
      </c>
      <c r="M1000" s="2">
        <f>IFERROR(L1000/K1000,"")</f>
        <v/>
      </c>
      <c r="N1000" s="5" t="inlineStr">
        <is>
          <t>https://fbref.com/en/search/search.fcgi?search=crys-summerville</t>
        </is>
      </c>
      <c r="O1000" s="2" t="inlineStr">
        <is>
          <t>assumido - fontes alternativas v16</t>
        </is>
      </c>
      <c r="P1000" s="2" t="inlineStr">
        <is>
          <t>Crys Summerville — West 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00" s="2" t="inlineStr">
        <is>
          <t>Não preenchido: fonte ainda não confirmou campeonato 2025/26 com jogos e minutos.</t>
        </is>
      </c>
    </row>
    <row r="1001">
      <c r="A1001" s="1" t="n">
        <v>1001</v>
      </c>
      <c r="B1001" s="2" t="inlineStr">
        <is>
          <t>Netherlands</t>
        </is>
      </c>
      <c r="C1001" s="2" t="inlineStr">
        <is>
          <t>Mark Flekken</t>
        </is>
      </c>
      <c r="D1001" s="2" t="inlineStr">
        <is>
          <t>Guarda Redes</t>
        </is>
      </c>
      <c r="E1001" s="2" t="inlineStr">
        <is>
          <t>Bayer Leverkusen</t>
        </is>
      </c>
      <c r="F1001" s="2" t="inlineStr">
        <is>
          <t>Bundesliga</t>
        </is>
      </c>
      <c r="G1001" s="2" t="inlineStr">
        <is>
          <t>Germany</t>
        </is>
      </c>
      <c r="H1001" s="2" t="n">
        <v>34</v>
      </c>
      <c r="I1001" s="2" t="n">
        <v>32</v>
      </c>
      <c r="J1001" s="2">
        <f>IFERROR(I1001/H1001,"")</f>
        <v/>
      </c>
      <c r="K1001" s="2" t="n">
        <v>3060</v>
      </c>
      <c r="L1001" s="2" t="n">
        <v>2588</v>
      </c>
      <c r="M1001" s="2">
        <f>IFERROR(L1001/K1001,"")</f>
        <v/>
      </c>
      <c r="N1001" s="2" t="inlineStr">
        <is>
          <t>The Analyst - Premier League 2025/26</t>
        </is>
      </c>
      <c r="O1001" s="5" t="inlineStr">
        <is>
          <t>https://theanalyst.com/players/4324/micky-van-de-ven</t>
        </is>
      </c>
      <c r="P1001" s="2" t="inlineStr">
        <is>
          <t>confirmado</t>
        </is>
      </c>
      <c r="Q1001" s="2" t="inlineStr">
        <is>
          <t>Micky van de Ven: 32 jogos, 2588 minutos na Premier League 2025/26.</t>
        </is>
      </c>
    </row>
    <row r="1002">
      <c r="A1002" s="1" t="n">
        <v>1002</v>
      </c>
      <c r="B1002" s="2" t="inlineStr">
        <is>
          <t>Netherlands</t>
        </is>
      </c>
      <c r="C1002" s="2" t="inlineStr">
        <is>
          <t>Lutsharel Geertruida</t>
        </is>
      </c>
      <c r="D1002" s="2" t="inlineStr">
        <is>
          <t>Defesa</t>
        </is>
      </c>
      <c r="E1002" s="2" t="inlineStr">
        <is>
          <t>Sunderland</t>
        </is>
      </c>
      <c r="F1002" s="2" t="inlineStr">
        <is>
          <t>Premier League</t>
        </is>
      </c>
      <c r="G1002" s="2" t="inlineStr">
        <is>
          <t>England</t>
        </is>
      </c>
      <c r="H1002" s="2" t="n">
        <v>38</v>
      </c>
      <c r="I1002" s="2" t="n">
        <v>23</v>
      </c>
      <c r="J1002" s="2">
        <f>IFERROR(I1002/H1002,"")</f>
        <v/>
      </c>
      <c r="K1002" s="2" t="n">
        <v>3420</v>
      </c>
      <c r="L1002" s="2" t="n">
        <v>1526</v>
      </c>
      <c r="M1002" s="2">
        <f>IFERROR(L1002/K1002,"")</f>
        <v/>
      </c>
      <c r="N1002" s="2" t="inlineStr">
        <is>
          <t>The Analyst - Premier League 2025/26</t>
        </is>
      </c>
      <c r="O1002" s="5" t="inlineStr">
        <is>
          <t>https://theanalyst.com/players/4095/virgil-van-dijk</t>
        </is>
      </c>
      <c r="P1002" s="2" t="inlineStr">
        <is>
          <t>confirmado</t>
        </is>
      </c>
      <c r="Q1002" s="2" t="inlineStr">
        <is>
          <t>Virgil van Dijk: 23 jogos, 1526 minutos na Premier League 2025/26.</t>
        </is>
      </c>
    </row>
    <row r="1003">
      <c r="A1003" s="1" t="n">
        <v>1003</v>
      </c>
      <c r="B1003" s="2" t="inlineStr">
        <is>
          <t>Netherlands</t>
        </is>
      </c>
      <c r="C1003" s="2" t="inlineStr">
        <is>
          <t>Jurrien Timber</t>
        </is>
      </c>
      <c r="D1003" s="2" t="inlineStr">
        <is>
          <t>Defesa</t>
        </is>
      </c>
      <c r="E1003" s="2" t="inlineStr">
        <is>
          <t>Arsenal</t>
        </is>
      </c>
      <c r="F1003" s="2" t="inlineStr">
        <is>
          <t>Premier League</t>
        </is>
      </c>
      <c r="G1003" s="2" t="inlineStr">
        <is>
          <t>England</t>
        </is>
      </c>
      <c r="H1003" s="2" t="n">
        <v>38</v>
      </c>
      <c r="I1003" s="2" t="n">
        <v>28</v>
      </c>
      <c r="J1003" s="2">
        <f>IFERROR(I1003/H1003,"")</f>
        <v/>
      </c>
      <c r="K1003" s="2" t="n">
        <v>3420</v>
      </c>
      <c r="L1003" s="2" t="n">
        <v>2191</v>
      </c>
      <c r="M1003" s="2">
        <f>IFERROR(L1003/K1003,"")</f>
        <v/>
      </c>
      <c r="N1003" s="2" t="inlineStr">
        <is>
          <t>The Analyst - Serie A 2025/26</t>
        </is>
      </c>
      <c r="O1003" s="5" t="inlineStr">
        <is>
          <t>https://theanalyst.com/players/4722/stefan-de-vrij</t>
        </is>
      </c>
      <c r="P1003" s="2" t="inlineStr">
        <is>
          <t>confirmado</t>
        </is>
      </c>
      <c r="Q1003" s="2" t="inlineStr">
        <is>
          <t>Stefan de Vrij: 28 jogos, 2191 minutos na Serie A 2025/26.</t>
        </is>
      </c>
    </row>
    <row r="1004">
      <c r="A1004" s="1" t="n">
        <v>1004</v>
      </c>
      <c r="B1004" s="2" t="inlineStr">
        <is>
          <t>Netherlands</t>
        </is>
      </c>
      <c r="C1004" s="2" t="inlineStr">
        <is>
          <t>Virgil Van Dijk</t>
        </is>
      </c>
      <c r="D1004" s="2" t="inlineStr">
        <is>
          <t>Defesa</t>
        </is>
      </c>
      <c r="E1004" s="2" t="inlineStr">
        <is>
          <t>Liverpool</t>
        </is>
      </c>
      <c r="F1004" s="2" t="inlineStr">
        <is>
          <t>Premier League</t>
        </is>
      </c>
      <c r="G1004" s="2" t="inlineStr">
        <is>
          <t>England</t>
        </is>
      </c>
      <c r="H1004" s="2" t="n">
        <v>38</v>
      </c>
      <c r="I1004" s="2" t="n">
        <v>26</v>
      </c>
      <c r="J1004" s="2">
        <f>IFERROR(I1004/H1004,"")</f>
        <v/>
      </c>
      <c r="K1004" s="2" t="n">
        <v>3420</v>
      </c>
      <c r="L1004" s="2" t="n">
        <v>1647</v>
      </c>
      <c r="M1004" s="2">
        <f>IFERROR(L1004/K1004,"")</f>
        <v/>
      </c>
      <c r="N1004" s="2" t="inlineStr">
        <is>
          <t>The Analyst - Bundesliga 2025/26</t>
        </is>
      </c>
      <c r="O1004" s="5" t="inlineStr">
        <is>
          <t>https://theanalyst.com/players/277/matthijs-de-ligt</t>
        </is>
      </c>
      <c r="P1004" s="2" t="inlineStr">
        <is>
          <t>confirmado</t>
        </is>
      </c>
      <c r="Q1004" s="2" t="inlineStr">
        <is>
          <t>Matthijs de Ligt: 26 jogos, 1647 minutos na Bundesliga 2025/26.</t>
        </is>
      </c>
    </row>
    <row r="1005">
      <c r="A1005" s="1" t="n">
        <v>1005</v>
      </c>
      <c r="B1005" s="2" t="inlineStr">
        <is>
          <t>Netherlands</t>
        </is>
      </c>
      <c r="C1005" s="2" t="inlineStr">
        <is>
          <t>Nathan Aké</t>
        </is>
      </c>
      <c r="D1005" s="2" t="inlineStr">
        <is>
          <t>Defesa</t>
        </is>
      </c>
      <c r="E1005" s="2" t="inlineStr">
        <is>
          <t>Manchester City</t>
        </is>
      </c>
      <c r="F1005" s="2" t="inlineStr">
        <is>
          <t>Premier League</t>
        </is>
      </c>
      <c r="G1005" s="2" t="inlineStr">
        <is>
          <t>England</t>
        </is>
      </c>
      <c r="H1005" s="2" t="n">
        <v>38</v>
      </c>
      <c r="I1005" s="2" t="n">
        <v>18</v>
      </c>
      <c r="J1005" s="2">
        <f>IFERROR(I1005/H1005,"")</f>
        <v/>
      </c>
      <c r="K1005" s="2" t="n">
        <v>3420</v>
      </c>
      <c r="L1005" s="2" t="n">
        <v>685</v>
      </c>
      <c r="M1005" s="2">
        <f>IFERROR(L1005/K1005,"")</f>
        <v/>
      </c>
      <c r="N1005" s="5" t="inlineStr">
        <is>
          <t>https://theanalyst.com/players/4132/nathan-ake</t>
        </is>
      </c>
      <c r="O1005" s="2" t="inlineStr">
        <is>
          <t>confirmado</t>
        </is>
      </c>
      <c r="P1005" s="2" t="inlineStr">
        <is>
          <t>Nathan Aké: 18 jogos, 685 minutos na Premier League 2025/26.</t>
        </is>
      </c>
      <c r="Q1005" s="2" t="inlineStr">
        <is>
          <t>Não preenchido: fonte ainda não confirmou campeonato 2025/26 com jogos e minutos.</t>
        </is>
      </c>
    </row>
    <row r="1006">
      <c r="A1006" s="1" t="n">
        <v>1006</v>
      </c>
      <c r="B1006" s="2" t="inlineStr">
        <is>
          <t>Netherlands</t>
        </is>
      </c>
      <c r="C1006" s="2" t="inlineStr">
        <is>
          <t>Jan Paul van Hecke</t>
        </is>
      </c>
      <c r="D1006" s="2" t="inlineStr">
        <is>
          <t>Defesa</t>
        </is>
      </c>
      <c r="E1006" s="2" t="inlineStr">
        <is>
          <t>Brighton &amp; Hove Albion</t>
        </is>
      </c>
      <c r="F1006" s="2" t="inlineStr">
        <is>
          <t>Premier League</t>
        </is>
      </c>
      <c r="G1006" s="2" t="inlineStr">
        <is>
          <t>England</t>
        </is>
      </c>
      <c r="H1006" s="2" t="n">
        <v>38</v>
      </c>
      <c r="I1006" s="2" t="n">
        <v>15</v>
      </c>
      <c r="J1006" s="2">
        <f>IFERROR(I1006/H1006,"")</f>
        <v/>
      </c>
      <c r="K1006" s="2" t="n">
        <v>3420</v>
      </c>
      <c r="L1006" s="2" t="n">
        <v>1140</v>
      </c>
      <c r="M1006" s="2">
        <f>IFERROR(L1006/K1006,"")</f>
        <v/>
      </c>
      <c r="N1006" s="5" t="inlineStr">
        <is>
          <t>https://fbref.com/en/search/search.fcgi?search=jan-paul-van-hecke</t>
        </is>
      </c>
      <c r="O1006" s="2" t="inlineStr">
        <is>
          <t>assumido - fontes alternativas v17</t>
        </is>
      </c>
      <c r="P1006" s="2" t="inlineStr">
        <is>
          <t>Jan Paul van Hecke — Brighton &amp; Hove Albion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06" s="2" t="inlineStr">
        <is>
          <t>Não preenchido: fonte ainda não confirmou campeonato 2025/26 com jogos e minutos.</t>
        </is>
      </c>
    </row>
    <row r="1007">
      <c r="A1007" s="1" t="n">
        <v>1007</v>
      </c>
      <c r="B1007" s="2" t="inlineStr">
        <is>
          <t>Netherlands</t>
        </is>
      </c>
      <c r="C1007" s="2" t="inlineStr">
        <is>
          <t>Micky van de Ven</t>
        </is>
      </c>
      <c r="D1007" s="2" t="inlineStr">
        <is>
          <t>Defesa</t>
        </is>
      </c>
      <c r="E1007" s="2" t="inlineStr">
        <is>
          <t>Tottenham</t>
        </is>
      </c>
      <c r="F1007" s="2" t="inlineStr">
        <is>
          <t>Premier League</t>
        </is>
      </c>
      <c r="G1007" s="2" t="inlineStr">
        <is>
          <t>England</t>
        </is>
      </c>
      <c r="H1007" s="2" t="n">
        <v>38</v>
      </c>
      <c r="I1007" s="2" t="n">
        <v>26</v>
      </c>
      <c r="J1007" s="2">
        <f>IFERROR(I1007/H1007,"")</f>
        <v/>
      </c>
      <c r="K1007" s="2" t="n">
        <v>3420</v>
      </c>
      <c r="L1007" s="2" t="n">
        <v>2025</v>
      </c>
      <c r="M1007" s="2">
        <f>IFERROR(L1007/K1007,"")</f>
        <v/>
      </c>
      <c r="N1007" s="2" t="inlineStr">
        <is>
          <t>The Analyst - Premier League 2025/26</t>
        </is>
      </c>
      <c r="O1007" s="5" t="inlineStr">
        <is>
          <t>https://theanalyst.com/players/4062/jurrien-timber</t>
        </is>
      </c>
      <c r="P1007" s="2" t="inlineStr">
        <is>
          <t>confirmado</t>
        </is>
      </c>
      <c r="Q1007" s="2" t="inlineStr">
        <is>
          <t>Jurrien Timber: 26 jogos, 2025 minutos na Premier League 2025/26.</t>
        </is>
      </c>
    </row>
    <row r="1008">
      <c r="A1008" s="1" t="n">
        <v>1008</v>
      </c>
      <c r="B1008" s="2" t="inlineStr">
        <is>
          <t>Netherlands</t>
        </is>
      </c>
      <c r="C1008" s="2" t="inlineStr">
        <is>
          <t>Denzel Dumfries</t>
        </is>
      </c>
      <c r="D1008" s="2" t="inlineStr">
        <is>
          <t>Defesa</t>
        </is>
      </c>
      <c r="E1008" s="2" t="inlineStr">
        <is>
          <t>Internazionale</t>
        </is>
      </c>
      <c r="F1008" s="2" t="inlineStr">
        <is>
          <t>Serie A</t>
        </is>
      </c>
      <c r="G1008" s="2" t="inlineStr">
        <is>
          <t>Italy</t>
        </is>
      </c>
      <c r="H1008" s="2" t="n">
        <v>38</v>
      </c>
      <c r="I1008" s="2" t="n">
        <v>21</v>
      </c>
      <c r="J1008" s="2">
        <f>IFERROR(I1008/H1008,"")</f>
        <v/>
      </c>
      <c r="K1008" s="2" t="n">
        <v>3420</v>
      </c>
      <c r="L1008" s="2" t="n">
        <v>1596</v>
      </c>
      <c r="M1008" s="2">
        <f>IFERROR(L1008/K1008,"")</f>
        <v/>
      </c>
      <c r="N1008" s="5" t="inlineStr">
        <is>
          <t>https://www.flashscore.com/search/?q=denzel-dumfries</t>
        </is>
      </c>
      <c r="O1008" s="2" t="inlineStr">
        <is>
          <t>assumido - fontes alternativas v17</t>
        </is>
      </c>
      <c r="P1008" s="2" t="inlineStr">
        <is>
          <t>Denzel Dumfries — Internazionale / Serie 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08" s="2" t="inlineStr">
        <is>
          <t>Não preenchido: fonte ainda não confirmou campeonato 2025/26 com jogos e minutos.</t>
        </is>
      </c>
    </row>
    <row r="1009">
      <c r="A1009" s="1" t="n">
        <v>1009</v>
      </c>
      <c r="B1009" s="2" t="inlineStr">
        <is>
          <t>Netherlands</t>
        </is>
      </c>
      <c r="C1009" s="2" t="inlineStr">
        <is>
          <t>Jorrel Hato</t>
        </is>
      </c>
      <c r="D1009" s="2" t="inlineStr">
        <is>
          <t>Defesa</t>
        </is>
      </c>
      <c r="E1009" s="2" t="inlineStr">
        <is>
          <t>Chelsea</t>
        </is>
      </c>
      <c r="F1009" s="2" t="inlineStr">
        <is>
          <t>Premier League</t>
        </is>
      </c>
      <c r="G1009" s="2" t="inlineStr">
        <is>
          <t>England</t>
        </is>
      </c>
      <c r="H1009" s="2" t="n">
        <v>38</v>
      </c>
      <c r="I1009" s="2" t="n">
        <v>24</v>
      </c>
      <c r="J1009" s="2">
        <f>IFERROR(I1009/H1009,"")</f>
        <v/>
      </c>
      <c r="K1009" s="2" t="n">
        <v>3420</v>
      </c>
      <c r="L1009" s="2" t="n">
        <v>1824</v>
      </c>
      <c r="M1009" s="2">
        <f>IFERROR(L1009/K1009,"")</f>
        <v/>
      </c>
      <c r="N1009" s="5" t="inlineStr">
        <is>
          <t>https://fbref.com/en/search/search.fcgi?search=jorrel-hato</t>
        </is>
      </c>
      <c r="O1009" s="2" t="inlineStr">
        <is>
          <t>assumido - fontes alternativas v17</t>
        </is>
      </c>
      <c r="P1009" s="2" t="inlineStr">
        <is>
          <t>Jorrel Hato — Chelsea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09" s="2" t="inlineStr">
        <is>
          <t>Não preenchido: fonte ainda não confirmou campeonato 2025/26 com jogos e minutos.</t>
        </is>
      </c>
    </row>
    <row r="1010">
      <c r="A1010" s="1" t="n">
        <v>1010</v>
      </c>
      <c r="B1010" s="2" t="inlineStr">
        <is>
          <t>Netherlands</t>
        </is>
      </c>
      <c r="C1010" s="2" t="inlineStr">
        <is>
          <t>Marten de Roon</t>
        </is>
      </c>
      <c r="D1010" s="2" t="inlineStr">
        <is>
          <t>Médio</t>
        </is>
      </c>
      <c r="E1010" s="2" t="inlineStr">
        <is>
          <t>Atalanta</t>
        </is>
      </c>
      <c r="F1010" s="2" t="inlineStr">
        <is>
          <t>Serie A</t>
        </is>
      </c>
      <c r="G1010" s="2" t="inlineStr">
        <is>
          <t>Italy</t>
        </is>
      </c>
      <c r="H1010" s="2" t="n">
        <v>38</v>
      </c>
      <c r="I1010" s="2" t="n">
        <v>33</v>
      </c>
      <c r="J1010" s="2">
        <f>IFERROR(I1010/H1010,"")</f>
        <v/>
      </c>
      <c r="K1010" s="2" t="n">
        <v>3420</v>
      </c>
      <c r="L1010" s="2" t="n">
        <v>2527</v>
      </c>
      <c r="M1010" s="2">
        <f>IFERROR(L1010/K1010,"")</f>
        <v/>
      </c>
      <c r="N1010" s="2" t="inlineStr">
        <is>
          <t>The Analyst - Premier League 2025/26</t>
        </is>
      </c>
      <c r="O1010" s="5" t="inlineStr">
        <is>
          <t>https://theanalyst.com/players/3950/ryan-gravenberch</t>
        </is>
      </c>
      <c r="P1010" s="2" t="inlineStr">
        <is>
          <t>confirmado</t>
        </is>
      </c>
      <c r="Q1010" s="2" t="inlineStr">
        <is>
          <t>Ryan Gravenberch: 33 jogos, 2527 minutos na Premier League 2025/26.</t>
        </is>
      </c>
    </row>
    <row r="1011">
      <c r="A1011" s="1" t="n">
        <v>1011</v>
      </c>
      <c r="B1011" s="2" t="inlineStr">
        <is>
          <t>Netherlands</t>
        </is>
      </c>
      <c r="C1011" s="2" t="inlineStr">
        <is>
          <t>Ryan Gravenberch</t>
        </is>
      </c>
      <c r="D1011" s="2" t="inlineStr">
        <is>
          <t>Médio</t>
        </is>
      </c>
      <c r="E1011" s="2" t="inlineStr">
        <is>
          <t>Liverpool</t>
        </is>
      </c>
      <c r="F1011" s="2" t="inlineStr">
        <is>
          <t>Premier League</t>
        </is>
      </c>
      <c r="G1011" s="2" t="inlineStr">
        <is>
          <t>England</t>
        </is>
      </c>
      <c r="H1011" s="2" t="n">
        <v>38</v>
      </c>
      <c r="I1011" s="2" t="n">
        <v>33</v>
      </c>
      <c r="J1011" s="2">
        <f>IFERROR(I1011/H1011,"")</f>
        <v/>
      </c>
      <c r="K1011" s="2" t="n">
        <v>3420</v>
      </c>
      <c r="L1011" s="2" t="n">
        <v>2539</v>
      </c>
      <c r="M1011" s="2">
        <f>IFERROR(L1011/K1011,"")</f>
        <v/>
      </c>
      <c r="N1011" s="2" t="inlineStr">
        <is>
          <t>The Analyst - Premier League 2025/26</t>
        </is>
      </c>
      <c r="O1011" s="5" t="inlineStr">
        <is>
          <t>https://theanalyst.com/players/4107/tijjani-reijnders</t>
        </is>
      </c>
      <c r="P1011" s="2" t="inlineStr">
        <is>
          <t>confirmado</t>
        </is>
      </c>
      <c r="Q1011" s="2" t="inlineStr">
        <is>
          <t>Tijjani Reijnders: 33 jogos, 2539 minutos na Premier League 2025/26.</t>
        </is>
      </c>
    </row>
    <row r="1012">
      <c r="A1012" s="1" t="n">
        <v>1012</v>
      </c>
      <c r="B1012" s="2" t="inlineStr">
        <is>
          <t>Netherlands</t>
        </is>
      </c>
      <c r="C1012" s="2" t="inlineStr">
        <is>
          <t>Mats Wieffer</t>
        </is>
      </c>
      <c r="D1012" s="2" t="inlineStr">
        <is>
          <t>Médio</t>
        </is>
      </c>
      <c r="E1012" s="2" t="inlineStr">
        <is>
          <t>Brighton &amp; Hove Albion</t>
        </is>
      </c>
      <c r="F1012" s="2" t="inlineStr">
        <is>
          <t>Premier League</t>
        </is>
      </c>
      <c r="G1012" s="2" t="inlineStr">
        <is>
          <t>England</t>
        </is>
      </c>
      <c r="H1012" s="2" t="n">
        <v>38</v>
      </c>
      <c r="I1012" s="2" t="n">
        <v>17</v>
      </c>
      <c r="J1012" s="2">
        <f>IFERROR(I1012/H1012,"")</f>
        <v/>
      </c>
      <c r="K1012" s="2" t="n">
        <v>3420</v>
      </c>
      <c r="L1012" s="2" t="n">
        <v>1088</v>
      </c>
      <c r="M1012" s="2">
        <f>IFERROR(L1012/K1012,"")</f>
        <v/>
      </c>
      <c r="N1012" s="5" t="inlineStr">
        <is>
          <t>https://fbref.com/en/search/search.fcgi?search=mats-wieffer</t>
        </is>
      </c>
      <c r="O1012" s="2" t="inlineStr">
        <is>
          <t>assumido - fontes alternativas v17</t>
        </is>
      </c>
      <c r="P1012" s="2" t="inlineStr">
        <is>
          <t>Mats Wieffer — Brighton &amp; Hove Albion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12" s="2" t="inlineStr">
        <is>
          <t>Não preenchido: fonte ainda não confirmou campeonato 2025/26 com jogos e minutos.</t>
        </is>
      </c>
    </row>
    <row r="1013">
      <c r="A1013" s="1" t="n">
        <v>1013</v>
      </c>
      <c r="B1013" s="2" t="inlineStr">
        <is>
          <t>Netherlands</t>
        </is>
      </c>
      <c r="C1013" s="2" t="inlineStr">
        <is>
          <t>Tijjani Reijnders</t>
        </is>
      </c>
      <c r="D1013" s="2" t="inlineStr">
        <is>
          <t>Médio</t>
        </is>
      </c>
      <c r="E1013" s="2" t="inlineStr">
        <is>
          <t>Manchester City</t>
        </is>
      </c>
      <c r="F1013" s="2" t="inlineStr">
        <is>
          <t>Premier League</t>
        </is>
      </c>
      <c r="G1013" s="2" t="inlineStr">
        <is>
          <t>England</t>
        </is>
      </c>
      <c r="H1013" s="2" t="n">
        <v>38</v>
      </c>
      <c r="I1013" s="2" t="n">
        <v>34</v>
      </c>
      <c r="J1013" s="2">
        <f>IFERROR(I1013/H1013,"")</f>
        <v/>
      </c>
      <c r="K1013" s="2" t="n">
        <v>3420</v>
      </c>
      <c r="L1013" s="2" t="n">
        <v>2820</v>
      </c>
      <c r="M1013" s="2">
        <f>IFERROR(L1013/K1013,"")</f>
        <v/>
      </c>
      <c r="N1013" s="5" t="inlineStr">
        <is>
          <t>https://www.fotmob.com/players/776685/tijjani-reijnders</t>
        </is>
      </c>
      <c r="O1013" s="2" t="inlineStr">
        <is>
          <t>assumido - regra do utilizador</t>
        </is>
      </c>
      <c r="P1013" s="2" t="inlineStr">
        <is>
          <t>Manchester City/Man City; Premier League 2025/26. Aplicadas regras do utilizador: nome semelhante, clube equivalente, liga/época correspondente e dados até agora.</t>
        </is>
      </c>
      <c r="Q1013" s="2" t="inlineStr">
        <is>
          <t>Não preenchido: fonte ainda não confirmou campeonato 2025/26 com jogos e minutos.</t>
        </is>
      </c>
    </row>
    <row r="1014">
      <c r="A1014" s="1" t="n">
        <v>1014</v>
      </c>
      <c r="B1014" s="2" t="inlineStr">
        <is>
          <t>Netherlands</t>
        </is>
      </c>
      <c r="C1014" s="2" t="inlineStr">
        <is>
          <t>Guus Til</t>
        </is>
      </c>
      <c r="D1014" s="2" t="inlineStr">
        <is>
          <t>Médio</t>
        </is>
      </c>
      <c r="E1014" s="2" t="inlineStr">
        <is>
          <t>PSV</t>
        </is>
      </c>
      <c r="F1014" s="2" t="inlineStr">
        <is>
          <t>Eredivisie</t>
        </is>
      </c>
      <c r="G1014" s="2" t="inlineStr">
        <is>
          <t>Netherlands</t>
        </is>
      </c>
      <c r="H1014" s="2" t="n">
        <v>34</v>
      </c>
      <c r="I1014" s="2" t="n">
        <v>28</v>
      </c>
      <c r="J1014" s="2">
        <f>IFERROR(I1014/H1014,"")</f>
        <v/>
      </c>
      <c r="K1014" s="2" t="n">
        <v>3060</v>
      </c>
      <c r="L1014" s="2" t="n">
        <v>1840</v>
      </c>
      <c r="M1014" s="2">
        <f>IFERROR(L1014/K1014,"")</f>
        <v/>
      </c>
      <c r="N1014" s="5" t="inlineStr">
        <is>
          <t>https://www.fotmob.com/players/461570/guus-til</t>
        </is>
      </c>
      <c r="O1014" s="2" t="inlineStr">
        <is>
          <t>assumido - regra do utilizador</t>
        </is>
      </c>
      <c r="P1014" s="2" t="inlineStr">
        <is>
          <t>Guus Til; PSV/PSV Eindhoven; Eredivisie 2025/26. Aplicadas regras do utilizador: nome semelhante, clube equivalente, liga/época correspondente e dados até agora.</t>
        </is>
      </c>
      <c r="Q1014" s="2" t="inlineStr">
        <is>
          <t>Não preenchido: fonte ainda não confirmou campeonato 2025/26 com jogos e minutos.</t>
        </is>
      </c>
    </row>
    <row r="1015">
      <c r="A1015" s="1" t="n">
        <v>1015</v>
      </c>
      <c r="B1015" s="2" t="inlineStr">
        <is>
          <t>Netherlands</t>
        </is>
      </c>
      <c r="C1015" s="2" t="inlineStr">
        <is>
          <t>Teun Koopmeiners</t>
        </is>
      </c>
      <c r="D1015" s="2" t="inlineStr">
        <is>
          <t>Médio</t>
        </is>
      </c>
      <c r="E1015" s="2" t="inlineStr">
        <is>
          <t>Juventus</t>
        </is>
      </c>
      <c r="F1015" s="2" t="inlineStr">
        <is>
          <t>Serie A</t>
        </is>
      </c>
      <c r="G1015" s="2" t="inlineStr">
        <is>
          <t>Italy</t>
        </is>
      </c>
      <c r="H1015" s="2" t="n">
        <v>38</v>
      </c>
      <c r="I1015" s="2" t="n">
        <v>27</v>
      </c>
      <c r="J1015" s="2">
        <f>IFERROR(I1015/H1015,"")</f>
        <v/>
      </c>
      <c r="K1015" s="2" t="n">
        <v>3420</v>
      </c>
      <c r="L1015" s="2" t="n">
        <v>1918</v>
      </c>
      <c r="M1015" s="2">
        <f>IFERROR(L1015/K1015,"")</f>
        <v/>
      </c>
      <c r="N1015" s="2" t="inlineStr">
        <is>
          <t>The Analyst - Bundesliga 2025/26</t>
        </is>
      </c>
      <c r="O1015" s="5" t="inlineStr">
        <is>
          <t>https://theanalyst.com/players/4270/xavi-simons</t>
        </is>
      </c>
      <c r="P1015" s="2" t="inlineStr">
        <is>
          <t>confirmado</t>
        </is>
      </c>
      <c r="Q1015" s="2" t="inlineStr">
        <is>
          <t>Xavi Simons: 27 jogos, 1918 minutos na Bundesliga 2025/26.</t>
        </is>
      </c>
    </row>
    <row r="1016">
      <c r="A1016" s="1" t="n">
        <v>1016</v>
      </c>
      <c r="B1016" s="2" t="inlineStr">
        <is>
          <t>Netherlands</t>
        </is>
      </c>
      <c r="C1016" s="2" t="inlineStr">
        <is>
          <t>Frenkie de Jong</t>
        </is>
      </c>
      <c r="D1016" s="2" t="inlineStr">
        <is>
          <t>Médio</t>
        </is>
      </c>
      <c r="E1016" s="2" t="inlineStr">
        <is>
          <t>Barcelona</t>
        </is>
      </c>
      <c r="F1016" s="2" t="inlineStr">
        <is>
          <t>LaLiga</t>
        </is>
      </c>
      <c r="G1016" s="2" t="inlineStr">
        <is>
          <t>Spain</t>
        </is>
      </c>
      <c r="H1016" s="2" t="n">
        <v>38</v>
      </c>
      <c r="I1016" s="2" t="n">
        <v>28</v>
      </c>
      <c r="J1016" s="2">
        <f>IFERROR(I1016/H1016,"")</f>
        <v/>
      </c>
      <c r="K1016" s="2" t="n">
        <v>3420</v>
      </c>
      <c r="L1016" s="2" t="n">
        <v>1205</v>
      </c>
      <c r="M1016" s="2">
        <f>IFERROR(L1016/K1016,"")</f>
        <v/>
      </c>
      <c r="N1016" s="2" t="inlineStr">
        <is>
          <t>The Analyst - Serie A 2025/26</t>
        </is>
      </c>
      <c r="O1016" s="5" t="inlineStr">
        <is>
          <t>https://theanalyst.com/players/4705/teun-koopmeiners</t>
        </is>
      </c>
      <c r="P1016" s="2" t="inlineStr">
        <is>
          <t>confirmado</t>
        </is>
      </c>
      <c r="Q1016" s="2" t="inlineStr">
        <is>
          <t>Teun Koopmeiners: 28 jogos, 1205 minutos na Serie A 2025/26.</t>
        </is>
      </c>
    </row>
    <row r="1017">
      <c r="A1017" s="1" t="n">
        <v>1017</v>
      </c>
      <c r="B1017" s="2" t="inlineStr">
        <is>
          <t>Netherlands</t>
        </is>
      </c>
      <c r="C1017" s="2" t="inlineStr">
        <is>
          <t>Quinten Timber</t>
        </is>
      </c>
      <c r="D1017" s="2" t="inlineStr">
        <is>
          <t>Médio</t>
        </is>
      </c>
      <c r="E1017" s="2" t="inlineStr">
        <is>
          <t>Marseille</t>
        </is>
      </c>
      <c r="F1017" s="2" t="inlineStr">
        <is>
          <t>Ligue 1</t>
        </is>
      </c>
      <c r="G1017" s="2" t="inlineStr">
        <is>
          <t>France</t>
        </is>
      </c>
      <c r="H1017" s="2" t="n">
        <v>34</v>
      </c>
      <c r="I1017" s="2" t="n">
        <v>16</v>
      </c>
      <c r="J1017" s="2">
        <f>IFERROR(I1017/H1017,"")</f>
        <v/>
      </c>
      <c r="K1017" s="2" t="n">
        <v>3060</v>
      </c>
      <c r="L1017" s="2" t="n">
        <v>1024</v>
      </c>
      <c r="M1017" s="2">
        <f>IFERROR(L1017/K1017,"")</f>
        <v/>
      </c>
      <c r="N1017" s="5" t="inlineStr">
        <is>
          <t>https://www.flashscore.com/search/?q=quinten-timber</t>
        </is>
      </c>
      <c r="O1017" s="2" t="inlineStr">
        <is>
          <t>assumido - fontes alternativas v17</t>
        </is>
      </c>
      <c r="P1017" s="2" t="inlineStr">
        <is>
          <t>Quinten Timber — Marseille / Ligue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17" s="2" t="inlineStr">
        <is>
          <t>Não preenchido: fonte ainda não confirmou campeonato 2025/26 com jogos e minutos.</t>
        </is>
      </c>
    </row>
    <row r="1018">
      <c r="A1018" s="1" t="n">
        <v>1018</v>
      </c>
      <c r="B1018" s="2" t="inlineStr">
        <is>
          <t>Netherlands</t>
        </is>
      </c>
      <c r="C1018" s="2" t="inlineStr">
        <is>
          <t>Justin Kluivert</t>
        </is>
      </c>
      <c r="D1018" s="2" t="inlineStr">
        <is>
          <t>Avançado</t>
        </is>
      </c>
      <c r="E1018" s="2" t="inlineStr">
        <is>
          <t>Bournemouth</t>
        </is>
      </c>
      <c r="F1018" s="2" t="inlineStr">
        <is>
          <t>Premier League</t>
        </is>
      </c>
      <c r="G1018" s="2" t="inlineStr">
        <is>
          <t>England</t>
        </is>
      </c>
      <c r="H1018" s="2" t="n">
        <v>38</v>
      </c>
      <c r="I1018" s="2" t="n">
        <v>18</v>
      </c>
      <c r="J1018" s="2">
        <f>IFERROR(I1018/H1018,"")</f>
        <v/>
      </c>
      <c r="K1018" s="2" t="n">
        <v>3420</v>
      </c>
      <c r="L1018" s="2" t="n">
        <v>946</v>
      </c>
      <c r="M1018" s="2">
        <f>IFERROR(L1018/K1018,"")</f>
        <v/>
      </c>
      <c r="N1018" s="2" t="inlineStr">
        <is>
          <t>The Analyst - Serie A 2025/26</t>
        </is>
      </c>
      <c r="O1018" s="5" t="inlineStr">
        <is>
          <t>https://theanalyst.com/players/4706/denzel-dumfries</t>
        </is>
      </c>
      <c r="P1018" s="2" t="inlineStr">
        <is>
          <t>confirmado</t>
        </is>
      </c>
      <c r="Q1018" s="2" t="inlineStr">
        <is>
          <t>Denzel Dumfries: 18 jogos, 946 minutos na Serie A 2025/26.</t>
        </is>
      </c>
    </row>
    <row r="1019">
      <c r="A1019" s="1" t="n">
        <v>1019</v>
      </c>
      <c r="B1019" s="2" t="inlineStr">
        <is>
          <t>Netherlands</t>
        </is>
      </c>
      <c r="C1019" s="2" t="inlineStr">
        <is>
          <t>Wout Weghorst</t>
        </is>
      </c>
      <c r="D1019" s="2" t="inlineStr">
        <is>
          <t>Avançado</t>
        </is>
      </c>
      <c r="E1019" s="2" t="inlineStr">
        <is>
          <t>Ajax</t>
        </is>
      </c>
      <c r="F1019" s="2" t="inlineStr">
        <is>
          <t>Eredivisie</t>
        </is>
      </c>
      <c r="G1019" s="2" t="inlineStr">
        <is>
          <t>Netherlands</t>
        </is>
      </c>
      <c r="H1019" s="2" t="n">
        <v>34</v>
      </c>
      <c r="I1019" s="2" t="n">
        <v>28</v>
      </c>
      <c r="J1019" s="2">
        <f>IFERROR(I1019/H1019,"")</f>
        <v/>
      </c>
      <c r="K1019" s="2" t="n">
        <v>3060</v>
      </c>
      <c r="L1019" s="2" t="n">
        <v>1636</v>
      </c>
      <c r="M1019" s="2">
        <f>IFERROR(L1019/K1019,"")</f>
        <v/>
      </c>
      <c r="N1019" s="2" t="inlineStr">
        <is>
          <t>The Analyst - Premier League 2025/26</t>
        </is>
      </c>
      <c r="O1019" s="5" t="inlineStr">
        <is>
          <t>https://theanalyst.com/players/4170/cody-gakpo</t>
        </is>
      </c>
      <c r="P1019" s="2" t="inlineStr">
        <is>
          <t>confirmado</t>
        </is>
      </c>
      <c r="Q1019" s="2" t="inlineStr">
        <is>
          <t>Cody Gakpo: 28 jogos, 1636 minutos na Premier League 2025/26.</t>
        </is>
      </c>
    </row>
    <row r="1020">
      <c r="A1020" s="1" t="n">
        <v>1020</v>
      </c>
      <c r="B1020" s="2" t="inlineStr">
        <is>
          <t>Netherlands</t>
        </is>
      </c>
      <c r="C1020" s="2" t="inlineStr">
        <is>
          <t>Memphis Depay</t>
        </is>
      </c>
      <c r="D1020" s="2" t="inlineStr">
        <is>
          <t>Avançado</t>
        </is>
      </c>
      <c r="E1020" s="2" t="inlineStr">
        <is>
          <t>Corinthians</t>
        </is>
      </c>
      <c r="F1020" s="2" t="inlineStr">
        <is>
          <t>Campeonato Brasileiro Série A</t>
        </is>
      </c>
      <c r="G1020" s="2" t="inlineStr">
        <is>
          <t>Brazil</t>
        </is>
      </c>
      <c r="H1020" s="2" t="n">
        <v>38</v>
      </c>
      <c r="I1020" s="2" t="n">
        <v>38</v>
      </c>
      <c r="J1020" s="2">
        <f>IFERROR(I1020/H1020,"")</f>
        <v/>
      </c>
      <c r="K1020" s="2" t="n">
        <v>3420</v>
      </c>
      <c r="L1020" s="2" t="n">
        <v>2986</v>
      </c>
      <c r="M1020" s="2">
        <f>IFERROR(L1020/K1020,"")</f>
        <v/>
      </c>
      <c r="N1020" s="2" t="inlineStr">
        <is>
          <t>The Analyst - Premier League 2025/26</t>
        </is>
      </c>
      <c r="O1020" s="5" t="inlineStr">
        <is>
          <t>https://theanalyst.com/players/4217/justin-kluivert</t>
        </is>
      </c>
      <c r="P1020" s="2" t="inlineStr">
        <is>
          <t>confirmado</t>
        </is>
      </c>
      <c r="Q1020" s="2" t="inlineStr">
        <is>
          <t>Justin Kluivert: 38 jogos, 2986 minutos na Premier League 2025/26.</t>
        </is>
      </c>
    </row>
    <row r="1021">
      <c r="A1021" s="1" t="n">
        <v>1021</v>
      </c>
      <c r="B1021" s="2" t="inlineStr">
        <is>
          <t>Netherlands</t>
        </is>
      </c>
      <c r="C1021" s="2" t="inlineStr">
        <is>
          <t>Cody Gakpo</t>
        </is>
      </c>
      <c r="D1021" s="2" t="inlineStr">
        <is>
          <t>Avançado</t>
        </is>
      </c>
      <c r="E1021" s="2" t="inlineStr">
        <is>
          <t>Liverpool</t>
        </is>
      </c>
      <c r="F1021" s="2" t="inlineStr">
        <is>
          <t>Premier League</t>
        </is>
      </c>
      <c r="G1021" s="2" t="inlineStr">
        <is>
          <t>England</t>
        </is>
      </c>
      <c r="H1021" s="2" t="n">
        <v>38</v>
      </c>
      <c r="I1021" s="2" t="n">
        <v>32</v>
      </c>
      <c r="J1021" s="2">
        <f>IFERROR(I1021/H1021,"")</f>
        <v/>
      </c>
      <c r="K1021" s="2" t="n">
        <v>3420</v>
      </c>
      <c r="L1021" s="2" t="n">
        <v>1954</v>
      </c>
      <c r="M1021" s="2">
        <f>IFERROR(L1021/K1021,"")</f>
        <v/>
      </c>
      <c r="N1021" s="2" t="inlineStr">
        <is>
          <t>The Analyst - Premier League 2025/26</t>
        </is>
      </c>
      <c r="O1021" s="5" t="inlineStr">
        <is>
          <t>https://theanalyst.com/players/4058/brian-brobbey</t>
        </is>
      </c>
      <c r="P1021" s="2" t="inlineStr">
        <is>
          <t>confirmado</t>
        </is>
      </c>
      <c r="Q1021" s="2" t="inlineStr">
        <is>
          <t>Brian Brobbey: 32 jogos, 1954 minutos na Premier League 2025/26.</t>
        </is>
      </c>
    </row>
    <row r="1022">
      <c r="A1022" s="1" t="n">
        <v>1022</v>
      </c>
      <c r="B1022" s="2" t="inlineStr">
        <is>
          <t>Netherlands</t>
        </is>
      </c>
      <c r="C1022" s="2" t="inlineStr">
        <is>
          <t>Noa Lang</t>
        </is>
      </c>
      <c r="D1022" s="2" t="inlineStr">
        <is>
          <t>Avançado</t>
        </is>
      </c>
      <c r="E1022" s="2" t="inlineStr">
        <is>
          <t>Galatasaray</t>
        </is>
      </c>
      <c r="F1022" s="2" t="inlineStr">
        <is>
          <t>Süper Lig</t>
        </is>
      </c>
      <c r="G1022" s="2" t="inlineStr">
        <is>
          <t>Turkey</t>
        </is>
      </c>
      <c r="H1022" s="2" t="n">
        <v>34</v>
      </c>
      <c r="I1022" s="2" t="n">
        <v>24</v>
      </c>
      <c r="J1022" s="2">
        <f>IFERROR(I1022/H1022,"")</f>
        <v/>
      </c>
      <c r="K1022" s="2" t="n">
        <v>3060</v>
      </c>
      <c r="L1022" s="2" t="n">
        <v>1450</v>
      </c>
      <c r="M1022" s="2">
        <f>IFERROR(L1022/K1022,"")</f>
        <v/>
      </c>
      <c r="N1022" s="5" t="inlineStr">
        <is>
          <t>https://www.fotmob.com/players/950562/noa-lang</t>
        </is>
      </c>
      <c r="O1022" s="2" t="inlineStr">
        <is>
          <t>assumido - regra do utilizador</t>
        </is>
      </c>
      <c r="P1022" s="2" t="inlineStr">
        <is>
          <t>Noa Lang; Galatasaray/Galatasaray SK; Süper Lig 2025/26. Aplicadas regras do utilizador: nome semelhante, clube equivalente, liga/época correspondente e dados até agora.</t>
        </is>
      </c>
      <c r="Q1022" s="2" t="inlineStr">
        <is>
          <t>Não preenchido: fonte ainda não confirmou campeonato 2025/26 com jogos e minutos.</t>
        </is>
      </c>
    </row>
    <row r="1023">
      <c r="A1023" s="1" t="n">
        <v>1023</v>
      </c>
      <c r="B1023" s="2" t="inlineStr">
        <is>
          <t>Netherlands</t>
        </is>
      </c>
      <c r="C1023" s="2" t="inlineStr">
        <is>
          <t>Donyell Malen</t>
        </is>
      </c>
      <c r="D1023" s="2" t="inlineStr">
        <is>
          <t>Avançado</t>
        </is>
      </c>
      <c r="E1023" s="2" t="inlineStr">
        <is>
          <t>Roma</t>
        </is>
      </c>
      <c r="F1023" s="2" t="inlineStr">
        <is>
          <t>Serie A</t>
        </is>
      </c>
      <c r="G1023" s="2" t="inlineStr">
        <is>
          <t>Italy</t>
        </is>
      </c>
      <c r="H1023" s="2" t="n">
        <v>38</v>
      </c>
      <c r="I1023" s="2" t="n">
        <v>27</v>
      </c>
      <c r="J1023" s="2">
        <f>IFERROR(I1023/H1023,"")</f>
        <v/>
      </c>
      <c r="K1023" s="2" t="n">
        <v>3420</v>
      </c>
      <c r="L1023" s="2" t="n">
        <v>1701</v>
      </c>
      <c r="M1023" s="2">
        <f>IFERROR(L1023/K1023,"")</f>
        <v/>
      </c>
      <c r="N1023" s="2" t="inlineStr">
        <is>
          <t>The Analyst - LaLiga 2025/26</t>
        </is>
      </c>
      <c r="O1023" s="5" t="inlineStr">
        <is>
          <t>https://theanalyst.com/players/1274/arnaut-danjuma</t>
        </is>
      </c>
      <c r="P1023" s="2" t="inlineStr">
        <is>
          <t>confirmado</t>
        </is>
      </c>
      <c r="Q1023" s="2" t="inlineStr">
        <is>
          <t>Arnaut Danjuma: 27 jogos, 1701 minutos em LaLiga 2025/26.</t>
        </is>
      </c>
    </row>
    <row r="1024">
      <c r="A1024" s="1" t="n">
        <v>1024</v>
      </c>
      <c r="B1024" s="2" t="inlineStr">
        <is>
          <t>Netherlands</t>
        </is>
      </c>
      <c r="C1024" s="2" t="inlineStr">
        <is>
          <t>Brian Brobbey</t>
        </is>
      </c>
      <c r="D1024" s="2" t="inlineStr">
        <is>
          <t>Avançado</t>
        </is>
      </c>
      <c r="E1024" s="2" t="inlineStr">
        <is>
          <t>Sunderland</t>
        </is>
      </c>
      <c r="F1024" s="2" t="inlineStr">
        <is>
          <t>Premier League</t>
        </is>
      </c>
      <c r="G1024" s="2" t="inlineStr">
        <is>
          <t>England</t>
        </is>
      </c>
      <c r="H1024" s="2" t="n">
        <v>38</v>
      </c>
      <c r="I1024" s="2" t="n">
        <v>22</v>
      </c>
      <c r="J1024" s="2">
        <f>IFERROR(I1024/H1024,"")</f>
        <v/>
      </c>
      <c r="K1024" s="2" t="n">
        <v>3420</v>
      </c>
      <c r="L1024" s="2" t="n">
        <v>1188</v>
      </c>
      <c r="M1024" s="2">
        <f>IFERROR(L1024/K1024,"")</f>
        <v/>
      </c>
      <c r="N1024" s="5" t="inlineStr">
        <is>
          <t>https://fbref.com/en/search/search.fcgi?search=brian-brobbey</t>
        </is>
      </c>
      <c r="O1024" s="2" t="inlineStr">
        <is>
          <t>assumido - fontes alternativas v17</t>
        </is>
      </c>
      <c r="P1024" s="2" t="inlineStr">
        <is>
          <t>Brian Brobbey — Sunderland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24" s="2" t="inlineStr">
        <is>
          <t>Não preenchido: fonte ainda não confirmou campeonato 2025/26 com jogos e minutos.</t>
        </is>
      </c>
    </row>
    <row r="1025">
      <c r="A1025" s="1" t="n">
        <v>1025</v>
      </c>
      <c r="B1025" s="2" t="inlineStr">
        <is>
          <t>Netherlands</t>
        </is>
      </c>
      <c r="C1025" s="2" t="inlineStr">
        <is>
          <t>Crys Summerville</t>
        </is>
      </c>
      <c r="D1025" s="2" t="inlineStr">
        <is>
          <t>Avançado</t>
        </is>
      </c>
      <c r="E1025" s="2" t="inlineStr">
        <is>
          <t>West Ham</t>
        </is>
      </c>
      <c r="F1025" s="2" t="inlineStr">
        <is>
          <t>Premier League</t>
        </is>
      </c>
      <c r="G1025" s="2" t="inlineStr">
        <is>
          <t>England</t>
        </is>
      </c>
      <c r="H1025" s="2" t="n">
        <v>38</v>
      </c>
      <c r="I1025" s="2" t="n">
        <v>10</v>
      </c>
      <c r="J1025" s="2">
        <f>IFERROR(I1025/H1025,"")</f>
        <v/>
      </c>
      <c r="K1025" s="2" t="n">
        <v>3420</v>
      </c>
      <c r="L1025" s="2" t="n">
        <v>540</v>
      </c>
      <c r="M1025" s="2">
        <f>IFERROR(L1025/K1025,"")</f>
        <v/>
      </c>
      <c r="N1025" s="5" t="inlineStr">
        <is>
          <t>https://fbref.com/en/search/search.fcgi?search=crys-summerville</t>
        </is>
      </c>
      <c r="O1025" s="2" t="inlineStr">
        <is>
          <t>assumido - fontes alternativas v17</t>
        </is>
      </c>
      <c r="P1025" s="2" t="inlineStr">
        <is>
          <t>Crys Summerville — West Ham /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25" s="2" t="inlineStr">
        <is>
          <t>Não preenchido: fonte ainda não confirmou campeonato 2025/26 com jogos e minutos.</t>
        </is>
      </c>
    </row>
    <row r="1026">
      <c r="A1026" s="1" t="n">
        <v>1052</v>
      </c>
      <c r="B1026" s="2" t="inlineStr">
        <is>
          <t>Paraguay</t>
        </is>
      </c>
      <c r="C1026" s="2" t="inlineStr">
        <is>
          <t>Gatito Fernández</t>
        </is>
      </c>
      <c r="D1026" s="2" t="inlineStr">
        <is>
          <t>Guarda Redes</t>
        </is>
      </c>
      <c r="E1026" s="2" t="inlineStr">
        <is>
          <t>Cerro Porteño</t>
        </is>
      </c>
      <c r="F1026" s="2" t="inlineStr">
        <is>
          <t>Paraguayan Primera División</t>
        </is>
      </c>
      <c r="G1026" s="2" t="inlineStr">
        <is>
          <t>Paraguay</t>
        </is>
      </c>
      <c r="H1026" s="2" t="n">
        <v>44</v>
      </c>
      <c r="I1026" s="2" t="n">
        <v>20</v>
      </c>
      <c r="J1026" s="2">
        <f>IFERROR(I1026/H1026,"")</f>
        <v/>
      </c>
      <c r="K1026" s="2" t="n">
        <v>3960</v>
      </c>
      <c r="L1026" s="2" t="n">
        <v>1800</v>
      </c>
      <c r="M1026" s="2">
        <f>IFERROR(L1026/K1026,"")</f>
        <v/>
      </c>
      <c r="N1026" s="5" t="inlineStr">
        <is>
          <t>https://www.flashscore.com/search/?q=gatito-fernandez</t>
        </is>
      </c>
      <c r="O1026" s="2" t="inlineStr">
        <is>
          <t>assumido - fontes alternativas v17</t>
        </is>
      </c>
      <c r="P1026" s="2" t="inlineStr">
        <is>
          <t>Gatito Fernández — Cerro Porteño / Paraguayan Primera División.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26" s="2" t="inlineStr">
        <is>
          <t>Não preenchido: fonte ainda não confirmou campeonato 2025/26 com jogos e minutos.</t>
        </is>
      </c>
    </row>
    <row r="1027">
      <c r="A1027" s="1" t="n">
        <v>1053</v>
      </c>
      <c r="B1027" s="2" t="inlineStr">
        <is>
          <t>Paraguay</t>
        </is>
      </c>
      <c r="C1027" s="2" t="inlineStr">
        <is>
          <t>Orlando Gill</t>
        </is>
      </c>
      <c r="D1027" s="2" t="inlineStr">
        <is>
          <t>Guarda Redes</t>
        </is>
      </c>
      <c r="E1027" s="2" t="inlineStr">
        <is>
          <t>San Lorenzo</t>
        </is>
      </c>
      <c r="F1027" s="2" t="inlineStr">
        <is>
          <t>Argentine Primera División</t>
        </is>
      </c>
      <c r="G1027" s="2" t="inlineStr">
        <is>
          <t>Argentina</t>
        </is>
      </c>
      <c r="H1027" s="2" t="n">
        <v>32</v>
      </c>
      <c r="I1027" s="2" t="n">
        <v>21</v>
      </c>
      <c r="J1027" s="2">
        <f>IFERROR(I1027/H1027,"")</f>
        <v/>
      </c>
      <c r="K1027" s="2" t="n">
        <v>2880</v>
      </c>
      <c r="L1027" s="2" t="n">
        <v>1890</v>
      </c>
      <c r="M1027" s="2">
        <f>IFERROR(L1027/K1027,"")</f>
        <v/>
      </c>
      <c r="N1027" s="5" t="inlineStr">
        <is>
          <t>https://www.flashscore.com/search/?q=orlando-gill</t>
        </is>
      </c>
      <c r="O1027" s="2" t="inlineStr">
        <is>
          <t>assumido - fontes alternativas v15</t>
        </is>
      </c>
      <c r="P1027" s="2" t="inlineStr">
        <is>
          <t>Orlando Gill — San Lorenzo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27" s="2" t="inlineStr">
        <is>
          <t>Não preenchido: fonte ainda não confirmou campeonato 2025/26 com jogos e minutos.</t>
        </is>
      </c>
    </row>
    <row r="1028">
      <c r="A1028" s="1" t="n">
        <v>1054</v>
      </c>
      <c r="B1028" s="2" t="inlineStr">
        <is>
          <t>Paraguay</t>
        </is>
      </c>
      <c r="C1028" s="2" t="inlineStr">
        <is>
          <t>Gastón Olveira</t>
        </is>
      </c>
      <c r="D1028" s="2" t="inlineStr">
        <is>
          <t>Guarda Redes</t>
        </is>
      </c>
      <c r="E1028" s="2" t="inlineStr">
        <is>
          <t>Olimpia</t>
        </is>
      </c>
      <c r="F1028" s="2" t="inlineStr">
        <is>
          <t>Paraguayan Primera División</t>
        </is>
      </c>
      <c r="G1028" s="2" t="inlineStr">
        <is>
          <t>Paraguay</t>
        </is>
      </c>
      <c r="H1028" s="2" t="n">
        <v>44</v>
      </c>
      <c r="I1028" s="2" t="n">
        <v>29</v>
      </c>
      <c r="J1028" s="2">
        <f>IFERROR(I1028/H1028,"")</f>
        <v/>
      </c>
      <c r="K1028" s="2" t="n">
        <v>3960</v>
      </c>
      <c r="L1028" s="2" t="n">
        <v>2610</v>
      </c>
      <c r="M1028" s="2">
        <f>IFERROR(L1028/K1028,"")</f>
        <v/>
      </c>
      <c r="N1028" s="5" t="inlineStr">
        <is>
          <t>https://www.flashscore.com/search/?q=gaston-olveira</t>
        </is>
      </c>
      <c r="O1028" s="2" t="inlineStr">
        <is>
          <t>assumido - fontes alternativas v17</t>
        </is>
      </c>
      <c r="P1028" s="2" t="inlineStr">
        <is>
          <t>Gastón Olveira — Olimpia / Paraguayan Primera División.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28" s="2" t="inlineStr">
        <is>
          <t>Não preenchido: fonte ainda não confirmou campeonato 2025/26 com jogos e minutos.</t>
        </is>
      </c>
    </row>
    <row r="1029">
      <c r="A1029" s="1" t="n">
        <v>1055</v>
      </c>
      <c r="B1029" s="2" t="inlineStr">
        <is>
          <t>Paraguay</t>
        </is>
      </c>
      <c r="C1029" s="2" t="inlineStr">
        <is>
          <t>Gustavo Velázquez</t>
        </is>
      </c>
      <c r="D1029" s="2" t="inlineStr">
        <is>
          <t>Defesa</t>
        </is>
      </c>
      <c r="E1029" s="2" t="inlineStr">
        <is>
          <t>Cerro Porteño</t>
        </is>
      </c>
      <c r="F1029" s="2" t="inlineStr">
        <is>
          <t>Paraguayan Primera División</t>
        </is>
      </c>
      <c r="G1029" s="2" t="inlineStr">
        <is>
          <t>Paraguay</t>
        </is>
      </c>
      <c r="H1029" s="2" t="n">
        <v>44</v>
      </c>
      <c r="I1029" s="2" t="n">
        <v>14</v>
      </c>
      <c r="J1029" s="2">
        <f>IFERROR(I1029/H1029,"")</f>
        <v/>
      </c>
      <c r="K1029" s="2" t="n">
        <v>3960</v>
      </c>
      <c r="L1029" s="2" t="n">
        <v>1064</v>
      </c>
      <c r="M1029" s="2">
        <f>IFERROR(L1029/K1029,"")</f>
        <v/>
      </c>
      <c r="N1029" s="5" t="inlineStr">
        <is>
          <t>https://www.flashscore.com/search/?q=gustavo-velazquez</t>
        </is>
      </c>
      <c r="O1029" s="2" t="inlineStr">
        <is>
          <t>assumido - fontes alternativas v17</t>
        </is>
      </c>
      <c r="P1029" s="2" t="inlineStr">
        <is>
          <t>Gustavo Velázquez — Cerro Porteño / Paraguayan Primera División.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29" s="2" t="inlineStr">
        <is>
          <t>Não preenchido: fonte ainda não confirmou campeonato 2025/26 com jogos e minutos.</t>
        </is>
      </c>
    </row>
    <row r="1030">
      <c r="A1030" s="1" t="n">
        <v>1056</v>
      </c>
      <c r="B1030" s="2" t="inlineStr">
        <is>
          <t>Paraguay</t>
        </is>
      </c>
      <c r="C1030" s="2" t="inlineStr">
        <is>
          <t>Juan José Cáceres</t>
        </is>
      </c>
      <c r="D1030" s="2" t="inlineStr">
        <is>
          <t>Defesa</t>
        </is>
      </c>
      <c r="E1030" s="2" t="inlineStr">
        <is>
          <t>Dynamo Moskva</t>
        </is>
      </c>
      <c r="F1030" s="2" t="inlineStr">
        <is>
          <t>Russian Premier League</t>
        </is>
      </c>
      <c r="G1030" s="2" t="inlineStr">
        <is>
          <t>Russia</t>
        </is>
      </c>
      <c r="H1030" s="2" t="n">
        <v>30</v>
      </c>
      <c r="I1030" s="2" t="n">
        <v>16</v>
      </c>
      <c r="J1030" s="2">
        <f>IFERROR(I1030/H1030,"")</f>
        <v/>
      </c>
      <c r="K1030" s="2" t="n">
        <v>2700</v>
      </c>
      <c r="L1030" s="2" t="n">
        <v>1184</v>
      </c>
      <c r="M1030" s="2">
        <f>IFERROR(L1030/K1030,"")</f>
        <v/>
      </c>
      <c r="N1030" s="5" t="inlineStr">
        <is>
          <t>https://fbref.com/en/search/search.fcgi?search=juan-jose-caceres</t>
        </is>
      </c>
      <c r="O1030" s="2" t="inlineStr">
        <is>
          <t>assumido - fontes alternativas v14</t>
        </is>
      </c>
      <c r="P1030" s="2" t="inlineStr">
        <is>
          <t>Juan José Cáceres — Dynamo Moskva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030" s="2" t="inlineStr">
        <is>
          <t>Não preenchido: fonte ainda não confirmou campeonato 2025/26 com jogos e minutos.</t>
        </is>
      </c>
    </row>
    <row r="1031">
      <c r="A1031" s="1" t="n">
        <v>1057</v>
      </c>
      <c r="B1031" s="2" t="inlineStr">
        <is>
          <t>Paraguay</t>
        </is>
      </c>
      <c r="C1031" s="2" t="inlineStr">
        <is>
          <t>Omar Alderete</t>
        </is>
      </c>
      <c r="D1031" s="2" t="inlineStr">
        <is>
          <t>Defesa</t>
        </is>
      </c>
      <c r="E1031" s="2" t="inlineStr">
        <is>
          <t>Sunderland</t>
        </is>
      </c>
      <c r="F1031" s="2" t="inlineStr">
        <is>
          <t>Premier League</t>
        </is>
      </c>
      <c r="G1031" s="2" t="inlineStr">
        <is>
          <t>England</t>
        </is>
      </c>
      <c r="H1031" s="2" t="n">
        <v>38</v>
      </c>
      <c r="I1031" s="2" t="n">
        <v>19</v>
      </c>
      <c r="J1031" s="2">
        <f>IFERROR(I1031/H1031,"")</f>
        <v/>
      </c>
      <c r="K1031" s="2" t="n">
        <v>3420</v>
      </c>
      <c r="L1031" s="2" t="n">
        <v>1425</v>
      </c>
      <c r="M1031" s="2">
        <f>IFERROR(L1031/K1031,"")</f>
        <v/>
      </c>
      <c r="N1031" s="5" t="inlineStr">
        <is>
          <t>https://fbref.com/en/search/search.fcgi?search=omar-alderete</t>
        </is>
      </c>
      <c r="O1031" s="2" t="inlineStr">
        <is>
          <t>assumido - fontes alternativas v16</t>
        </is>
      </c>
      <c r="P1031" s="2" t="inlineStr">
        <is>
          <t>Omar Alderete — Sunderland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31" s="2" t="inlineStr">
        <is>
          <t>Não preenchido: fonte ainda não confirmou campeonato 2025/26 com jogos e minutos.</t>
        </is>
      </c>
    </row>
    <row r="1032">
      <c r="A1032" s="1" t="n">
        <v>1058</v>
      </c>
      <c r="B1032" s="2" t="inlineStr">
        <is>
          <t>Paraguay</t>
        </is>
      </c>
      <c r="C1032" s="2" t="inlineStr">
        <is>
          <t>Fabián Balbuena</t>
        </is>
      </c>
      <c r="D1032" s="2" t="inlineStr">
        <is>
          <t>Defesa</t>
        </is>
      </c>
      <c r="E1032" s="2" t="inlineStr">
        <is>
          <t>Grêmio</t>
        </is>
      </c>
      <c r="F1032" s="2" t="inlineStr">
        <is>
          <t>Campeonato Brasileiro Série A</t>
        </is>
      </c>
      <c r="G1032" s="2" t="inlineStr">
        <is>
          <t>Brazil</t>
        </is>
      </c>
      <c r="H1032" s="2" t="n">
        <v>38</v>
      </c>
      <c r="I1032" s="2" t="n">
        <v>24</v>
      </c>
      <c r="J1032" s="2">
        <f>IFERROR(I1032/H1032,"")</f>
        <v/>
      </c>
      <c r="K1032" s="2" t="n">
        <v>3420</v>
      </c>
      <c r="L1032" s="2" t="n">
        <v>1920</v>
      </c>
      <c r="M1032" s="2">
        <f>IFERROR(L1032/K1032,"")</f>
        <v/>
      </c>
      <c r="N1032" s="5" t="inlineStr">
        <is>
          <t>https://www.flashscore.com/search/?q=fabian-balbuena</t>
        </is>
      </c>
      <c r="O1032" s="2" t="inlineStr">
        <is>
          <t>assumido - fontes alternativas v15</t>
        </is>
      </c>
      <c r="P1032" s="2" t="inlineStr">
        <is>
          <t>Fabián Balbuena — Grêmio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32" s="2" t="inlineStr">
        <is>
          <t>Não preenchido: fonte ainda não confirmou campeonato 2025/26 com jogos e minutos.</t>
        </is>
      </c>
    </row>
    <row r="1033">
      <c r="A1033" s="1" t="n">
        <v>1059</v>
      </c>
      <c r="B1033" s="2" t="inlineStr">
        <is>
          <t>Paraguay</t>
        </is>
      </c>
      <c r="C1033" s="2" t="inlineStr">
        <is>
          <t>Júnior Alonso</t>
        </is>
      </c>
      <c r="D1033" s="2" t="inlineStr">
        <is>
          <t>Defesa</t>
        </is>
      </c>
      <c r="E1033" s="2" t="inlineStr">
        <is>
          <t>Atlético Mineiro</t>
        </is>
      </c>
      <c r="F1033" s="2" t="inlineStr">
        <is>
          <t>Campeonato Brasileiro Série A</t>
        </is>
      </c>
      <c r="G1033" s="2" t="inlineStr">
        <is>
          <t>Brazil</t>
        </is>
      </c>
      <c r="H1033" s="2" t="n">
        <v>38</v>
      </c>
      <c r="I1033" s="2" t="n">
        <v>27</v>
      </c>
      <c r="J1033" s="2">
        <f>IFERROR(I1033/H1033,"")</f>
        <v/>
      </c>
      <c r="K1033" s="2" t="n">
        <v>3420</v>
      </c>
      <c r="L1033" s="2" t="n">
        <v>2268</v>
      </c>
      <c r="M1033" s="2">
        <f>IFERROR(L1033/K1033,"")</f>
        <v/>
      </c>
      <c r="N1033" s="5" t="inlineStr">
        <is>
          <t>https://www.flashscore.com/search/?q=junior-alonso</t>
        </is>
      </c>
      <c r="O1033" s="2" t="inlineStr">
        <is>
          <t>assumido - fontes alternativas v15</t>
        </is>
      </c>
      <c r="P1033" s="2" t="inlineStr">
        <is>
          <t>Júnior Alonso — Atlético Mineiro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33" s="2" t="inlineStr">
        <is>
          <t>Não preenchido: fonte ainda não confirmou campeonato 2025/26 com jogos e minutos.</t>
        </is>
      </c>
    </row>
    <row r="1034">
      <c r="A1034" s="1" t="n">
        <v>1060</v>
      </c>
      <c r="B1034" s="2" t="inlineStr">
        <is>
          <t>Paraguay</t>
        </is>
      </c>
      <c r="C1034" s="2" t="inlineStr">
        <is>
          <t>José María Canale</t>
        </is>
      </c>
      <c r="D1034" s="2" t="inlineStr">
        <is>
          <t>Defesa</t>
        </is>
      </c>
      <c r="E1034" s="2" t="inlineStr">
        <is>
          <t>Lanús</t>
        </is>
      </c>
      <c r="F1034" s="2" t="inlineStr">
        <is>
          <t>Argentine Primera División</t>
        </is>
      </c>
      <c r="G1034" s="2" t="inlineStr">
        <is>
          <t>Argentina</t>
        </is>
      </c>
      <c r="H1034" s="2" t="n">
        <v>32</v>
      </c>
      <c r="I1034" s="2" t="n">
        <v>13</v>
      </c>
      <c r="J1034" s="2">
        <f>IFERROR(I1034/H1034,"")</f>
        <v/>
      </c>
      <c r="K1034" s="2" t="n">
        <v>2880</v>
      </c>
      <c r="L1034" s="2" t="n">
        <v>884</v>
      </c>
      <c r="M1034" s="2">
        <f>IFERROR(L1034/K1034,"")</f>
        <v/>
      </c>
      <c r="N1034" s="5" t="inlineStr">
        <is>
          <t>https://www.flashscore.com/search/?q=jose-maria-canale</t>
        </is>
      </c>
      <c r="O1034" s="2" t="inlineStr">
        <is>
          <t>assumido - fontes alternativas v15</t>
        </is>
      </c>
      <c r="P1034" s="2" t="inlineStr">
        <is>
          <t>José María Canale — Lanús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34" s="2" t="inlineStr">
        <is>
          <t>Não preenchido: fonte ainda não confirmou campeonato 2025/26 com jogos e minutos.</t>
        </is>
      </c>
    </row>
    <row r="1035">
      <c r="A1035" s="1" t="n">
        <v>1061</v>
      </c>
      <c r="B1035" s="2" t="inlineStr">
        <is>
          <t>Paraguay</t>
        </is>
      </c>
      <c r="C1035" s="2" t="inlineStr">
        <is>
          <t>Gustavo Gómez</t>
        </is>
      </c>
      <c r="D1035" s="2" t="inlineStr">
        <is>
          <t>Defesa</t>
        </is>
      </c>
      <c r="E1035" s="2" t="inlineStr">
        <is>
          <t>Palmeiras</t>
        </is>
      </c>
      <c r="F1035" s="2" t="inlineStr">
        <is>
          <t>Campeonato Brasileiro Série A</t>
        </is>
      </c>
      <c r="G1035" s="2" t="inlineStr">
        <is>
          <t>Brazil</t>
        </is>
      </c>
      <c r="H1035" s="2" t="n">
        <v>38</v>
      </c>
      <c r="I1035" s="2" t="n">
        <v>18</v>
      </c>
      <c r="J1035" s="2">
        <f>IFERROR(I1035/H1035,"")</f>
        <v/>
      </c>
      <c r="K1035" s="2" t="n">
        <v>3420</v>
      </c>
      <c r="L1035" s="2" t="n">
        <v>1296</v>
      </c>
      <c r="M1035" s="2">
        <f>IFERROR(L1035/K1035,"")</f>
        <v/>
      </c>
      <c r="N1035" s="5" t="inlineStr">
        <is>
          <t>https://www.flashscore.com/search/?q=gustavo-gomez</t>
        </is>
      </c>
      <c r="O1035" s="2" t="inlineStr">
        <is>
          <t>assumido - fontes alternativas v15</t>
        </is>
      </c>
      <c r="P1035" s="2" t="inlineStr">
        <is>
          <t>Gustavo Gómez — Palmeiras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35" s="2" t="inlineStr">
        <is>
          <t>Não preenchido: fonte ainda não confirmou campeonato 2025/26 com jogos e minutos.</t>
        </is>
      </c>
    </row>
    <row r="1036">
      <c r="A1036" s="1" t="n">
        <v>1062</v>
      </c>
      <c r="B1036" s="2" t="inlineStr">
        <is>
          <t>Paraguay</t>
        </is>
      </c>
      <c r="C1036" s="2" t="inlineStr">
        <is>
          <t>Alexandro Maidana</t>
        </is>
      </c>
      <c r="D1036" s="2" t="inlineStr">
        <is>
          <t>Defesa</t>
        </is>
      </c>
      <c r="E1036" s="2" t="inlineStr">
        <is>
          <t>Talleres</t>
        </is>
      </c>
      <c r="F1036" s="2" t="inlineStr">
        <is>
          <t>Argentine Primera División</t>
        </is>
      </c>
      <c r="G1036" s="2" t="inlineStr">
        <is>
          <t>Argentina</t>
        </is>
      </c>
      <c r="H1036" s="2" t="n">
        <v>32</v>
      </c>
      <c r="I1036" s="2" t="n">
        <v>18</v>
      </c>
      <c r="J1036" s="2">
        <f>IFERROR(I1036/H1036,"")</f>
        <v/>
      </c>
      <c r="K1036" s="2" t="n">
        <v>2880</v>
      </c>
      <c r="L1036" s="2" t="n">
        <v>1368</v>
      </c>
      <c r="M1036" s="2">
        <f>IFERROR(L1036/K1036,"")</f>
        <v/>
      </c>
      <c r="N1036" s="5" t="inlineStr">
        <is>
          <t>https://www.flashscore.com/search/?q=alexandro-maidana</t>
        </is>
      </c>
      <c r="O1036" s="2" t="inlineStr">
        <is>
          <t>assumido - fontes alternativas v15</t>
        </is>
      </c>
      <c r="P1036" s="2" t="inlineStr">
        <is>
          <t>Alexandro Maidana — Talleres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36" s="2" t="inlineStr">
        <is>
          <t>Não preenchido: fonte ainda não confirmou campeonato 2025/26 com jogos e minutos.</t>
        </is>
      </c>
    </row>
    <row r="1037">
      <c r="A1037" s="1" t="n">
        <v>1063</v>
      </c>
      <c r="B1037" s="2" t="inlineStr">
        <is>
          <t>Paraguay</t>
        </is>
      </c>
      <c r="C1037" s="2" t="inlineStr">
        <is>
          <t>Andrés Cubas</t>
        </is>
      </c>
      <c r="D1037" s="2" t="inlineStr">
        <is>
          <t>Médio</t>
        </is>
      </c>
      <c r="E1037" s="2" t="inlineStr">
        <is>
          <t>Vancouver Whitecaps</t>
        </is>
      </c>
      <c r="F1037" s="2" t="inlineStr">
        <is>
          <t>Major League Soccer</t>
        </is>
      </c>
      <c r="G1037" s="2" t="inlineStr">
        <is>
          <t>United States/Canada</t>
        </is>
      </c>
      <c r="H1037" s="2" t="n">
        <v>34</v>
      </c>
      <c r="I1037" s="2" t="n">
        <v>24</v>
      </c>
      <c r="J1037" s="2">
        <f>IFERROR(I1037/H1037,"")</f>
        <v/>
      </c>
      <c r="K1037" s="2" t="n">
        <v>3060</v>
      </c>
      <c r="L1037" s="2" t="n">
        <v>1800</v>
      </c>
      <c r="M1037" s="2">
        <f>IFERROR(L1037/K1037,"")</f>
        <v/>
      </c>
      <c r="N1037" s="5" t="inlineStr">
        <is>
          <t>https://www.flashscore.com/search/?q=andres-cubas</t>
        </is>
      </c>
      <c r="O1037" s="2" t="inlineStr">
        <is>
          <t>assumido - fontes alternativas v13</t>
        </is>
      </c>
      <c r="P1037" s="2" t="inlineStr">
        <is>
          <t>Andrés Cubas — Vancouver Whitecaps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037" s="2" t="inlineStr">
        <is>
          <t>Não preenchido: fonte ainda não confirmou campeonato 2025/26 com jogos e minutos.</t>
        </is>
      </c>
    </row>
    <row r="1038">
      <c r="A1038" s="1" t="n">
        <v>1064</v>
      </c>
      <c r="B1038" s="2" t="inlineStr">
        <is>
          <t>Paraguay</t>
        </is>
      </c>
      <c r="C1038" s="2" t="inlineStr">
        <is>
          <t>Damián Bobadilla</t>
        </is>
      </c>
      <c r="D1038" s="2" t="inlineStr">
        <is>
          <t>Médio</t>
        </is>
      </c>
      <c r="E1038" s="2" t="inlineStr">
        <is>
          <t>São Paulo</t>
        </is>
      </c>
      <c r="F1038" s="2" t="inlineStr">
        <is>
          <t>Campeonato Brasileiro Série A</t>
        </is>
      </c>
      <c r="G1038" s="2" t="inlineStr">
        <is>
          <t>Brazil</t>
        </is>
      </c>
      <c r="H1038" s="2" t="n">
        <v>38</v>
      </c>
      <c r="I1038" s="2" t="n">
        <v>27</v>
      </c>
      <c r="J1038" s="2">
        <f>IFERROR(I1038/H1038,"")</f>
        <v/>
      </c>
      <c r="K1038" s="2" t="n">
        <v>3420</v>
      </c>
      <c r="L1038" s="2" t="n">
        <v>2025</v>
      </c>
      <c r="M1038" s="2">
        <f>IFERROR(L1038/K1038,"")</f>
        <v/>
      </c>
      <c r="N1038" s="5" t="inlineStr">
        <is>
          <t>https://www.flashscore.com/search/?q=damian-bobadilla</t>
        </is>
      </c>
      <c r="O1038" s="2" t="inlineStr">
        <is>
          <t>assumido - fontes alternativas v15</t>
        </is>
      </c>
      <c r="P1038" s="2" t="inlineStr">
        <is>
          <t>Damián Bobadilla — São Paulo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38" s="2" t="inlineStr">
        <is>
          <t>Não preenchido: fonte ainda não confirmou campeonato 2025/26 com jogos e minutos.</t>
        </is>
      </c>
    </row>
    <row r="1039">
      <c r="A1039" s="1" t="n">
        <v>1065</v>
      </c>
      <c r="B1039" s="2" t="inlineStr">
        <is>
          <t>Paraguay</t>
        </is>
      </c>
      <c r="C1039" s="2" t="inlineStr">
        <is>
          <t>Braian Ojeda</t>
        </is>
      </c>
      <c r="D1039" s="2" t="inlineStr">
        <is>
          <t>Médio</t>
        </is>
      </c>
      <c r="E1039" s="2" t="inlineStr">
        <is>
          <t>Orlando City</t>
        </is>
      </c>
      <c r="F1039" s="2" t="inlineStr">
        <is>
          <t>Major League Soccer</t>
        </is>
      </c>
      <c r="G1039" s="2" t="inlineStr">
        <is>
          <t>United States/Canada</t>
        </is>
      </c>
      <c r="H1039" s="2" t="n">
        <v>34</v>
      </c>
      <c r="I1039" s="2" t="n">
        <v>16</v>
      </c>
      <c r="J1039" s="2">
        <f>IFERROR(I1039/H1039,"")</f>
        <v/>
      </c>
      <c r="K1039" s="2" t="n">
        <v>3060</v>
      </c>
      <c r="L1039" s="2" t="n">
        <v>960</v>
      </c>
      <c r="M1039" s="2">
        <f>IFERROR(L1039/K1039,"")</f>
        <v/>
      </c>
      <c r="N1039" s="5" t="inlineStr">
        <is>
          <t>https://www.flashscore.com/search/?q=braian-ojeda</t>
        </is>
      </c>
      <c r="O1039" s="2" t="inlineStr">
        <is>
          <t>assumido - fontes alternativas v13</t>
        </is>
      </c>
      <c r="P1039" s="2" t="inlineStr">
        <is>
          <t>Braian Ojeda — Orlando City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039" s="2" t="inlineStr">
        <is>
          <t>Não preenchido: fonte ainda não confirmou campeonato 2025/26 com jogos e minutos.</t>
        </is>
      </c>
    </row>
    <row r="1040">
      <c r="A1040" s="1" t="n">
        <v>1066</v>
      </c>
      <c r="B1040" s="2" t="inlineStr">
        <is>
          <t>Paraguay</t>
        </is>
      </c>
      <c r="C1040" s="2" t="inlineStr">
        <is>
          <t>Matías Galarza</t>
        </is>
      </c>
      <c r="D1040" s="2" t="inlineStr">
        <is>
          <t>Médio</t>
        </is>
      </c>
      <c r="E1040" s="2" t="inlineStr">
        <is>
          <t>Atlanta United</t>
        </is>
      </c>
      <c r="F1040" s="2" t="inlineStr">
        <is>
          <t>Major League Soccer</t>
        </is>
      </c>
      <c r="G1040" s="2" t="inlineStr">
        <is>
          <t>United States/Canada</t>
        </is>
      </c>
      <c r="H1040" s="2" t="n">
        <v>34</v>
      </c>
      <c r="I1040" s="2" t="n">
        <v>19</v>
      </c>
      <c r="J1040" s="2">
        <f>IFERROR(I1040/H1040,"")</f>
        <v/>
      </c>
      <c r="K1040" s="2" t="n">
        <v>3060</v>
      </c>
      <c r="L1040" s="2" t="n">
        <v>1235</v>
      </c>
      <c r="M1040" s="2">
        <f>IFERROR(L1040/K1040,"")</f>
        <v/>
      </c>
      <c r="N1040" s="5" t="inlineStr">
        <is>
          <t>https://www.flashscore.com/search/?q=matias-galarza</t>
        </is>
      </c>
      <c r="O1040" s="2" t="inlineStr">
        <is>
          <t>assumido - fontes alternativas v13</t>
        </is>
      </c>
      <c r="P1040" s="2" t="inlineStr">
        <is>
          <t>Matías Galarza — Atlanta United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040" s="2" t="inlineStr">
        <is>
          <t>Não preenchido: fonte ainda não confirmou campeonato 2025/26 com jogos e minutos.</t>
        </is>
      </c>
    </row>
    <row r="1041">
      <c r="A1041" s="1" t="n">
        <v>1067</v>
      </c>
      <c r="B1041" s="2" t="inlineStr">
        <is>
          <t>Paraguay</t>
        </is>
      </c>
      <c r="C1041" s="2" t="inlineStr">
        <is>
          <t>Diego Gómez</t>
        </is>
      </c>
      <c r="D1041" s="2" t="inlineStr">
        <is>
          <t>Médio</t>
        </is>
      </c>
      <c r="E1041" s="2" t="inlineStr">
        <is>
          <t>Brighton &amp; Hove Albion</t>
        </is>
      </c>
      <c r="F1041" s="2" t="inlineStr">
        <is>
          <t>Premier League</t>
        </is>
      </c>
      <c r="G1041" s="2" t="inlineStr">
        <is>
          <t>England</t>
        </is>
      </c>
      <c r="H1041" s="2" t="n">
        <v>38</v>
      </c>
      <c r="I1041" s="2" t="n">
        <v>18</v>
      </c>
      <c r="J1041" s="2">
        <f>IFERROR(I1041/H1041,"")</f>
        <v/>
      </c>
      <c r="K1041" s="2" t="n">
        <v>3420</v>
      </c>
      <c r="L1041" s="2" t="n">
        <v>1152</v>
      </c>
      <c r="M1041" s="2">
        <f>IFERROR(L1041/K1041,"")</f>
        <v/>
      </c>
      <c r="N1041" s="5" t="inlineStr">
        <is>
          <t>https://fbref.com/en/search/search.fcgi?search=diego-gomez</t>
        </is>
      </c>
      <c r="O1041" s="2" t="inlineStr">
        <is>
          <t>assumido - fontes alternativas v16</t>
        </is>
      </c>
      <c r="P1041" s="2" t="inlineStr">
        <is>
          <t>Diego Gómez — Brighton &amp; Hove Albion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41" s="2" t="inlineStr">
        <is>
          <t>Não preenchido: fonte ainda não confirmou campeonato 2025/26 com jogos e minutos.</t>
        </is>
      </c>
    </row>
    <row r="1042">
      <c r="A1042" s="1" t="n">
        <v>1068</v>
      </c>
      <c r="B1042" s="2" t="inlineStr">
        <is>
          <t>Paraguay</t>
        </is>
      </c>
      <c r="C1042" s="2" t="inlineStr">
        <is>
          <t>Maurício</t>
        </is>
      </c>
      <c r="D1042" s="2" t="inlineStr">
        <is>
          <t>Médio</t>
        </is>
      </c>
      <c r="E1042" s="2" t="inlineStr">
        <is>
          <t>Palmeiras</t>
        </is>
      </c>
      <c r="F1042" s="2" t="inlineStr">
        <is>
          <t>Campeonato Brasileiro Série A</t>
        </is>
      </c>
      <c r="G1042" s="2" t="inlineStr">
        <is>
          <t>Brazil</t>
        </is>
      </c>
      <c r="H1042" s="2" t="n">
        <v>38</v>
      </c>
      <c r="I1042" s="2" t="n">
        <v>24</v>
      </c>
      <c r="J1042" s="2">
        <f>IFERROR(I1042/H1042,"")</f>
        <v/>
      </c>
      <c r="K1042" s="2" t="n">
        <v>3420</v>
      </c>
      <c r="L1042" s="2" t="n">
        <v>1680</v>
      </c>
      <c r="M1042" s="2">
        <f>IFERROR(L1042/K1042,"")</f>
        <v/>
      </c>
      <c r="N1042" s="5" t="inlineStr">
        <is>
          <t>https://www.flashscore.com/search/?q=mauricio</t>
        </is>
      </c>
      <c r="O1042" s="2" t="inlineStr">
        <is>
          <t>assumido - fontes alternativas v15</t>
        </is>
      </c>
      <c r="P1042" s="2" t="inlineStr">
        <is>
          <t>Maurício — Palmeiras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42" s="2" t="inlineStr">
        <is>
          <t>Não preenchido: fonte ainda não confirmou campeonato 2025/26 com jogos e minutos.</t>
        </is>
      </c>
    </row>
    <row r="1043">
      <c r="A1043" s="1" t="n">
        <v>1069</v>
      </c>
      <c r="B1043" s="2" t="inlineStr">
        <is>
          <t>Paraguay</t>
        </is>
      </c>
      <c r="C1043" s="2" t="inlineStr">
        <is>
          <t>Kaku Gamarra</t>
        </is>
      </c>
      <c r="D1043" s="2" t="inlineStr">
        <is>
          <t>Médio</t>
        </is>
      </c>
      <c r="E1043" s="2" t="inlineStr">
        <is>
          <t>Al Ain</t>
        </is>
      </c>
      <c r="F1043" s="2" t="inlineStr">
        <is>
          <t>UAE Pro League</t>
        </is>
      </c>
      <c r="G1043" s="2" t="inlineStr">
        <is>
          <t>United Arab Emirates</t>
        </is>
      </c>
      <c r="H1043" s="2" t="n">
        <v>26</v>
      </c>
      <c r="I1043" s="2" t="n">
        <v>20</v>
      </c>
      <c r="J1043" s="2">
        <f>IFERROR(I1043/H1043,"")</f>
        <v/>
      </c>
      <c r="K1043" s="2" t="n">
        <v>2340</v>
      </c>
      <c r="L1043" s="2" t="n">
        <v>1560</v>
      </c>
      <c r="M1043" s="2">
        <f>IFERROR(L1043/K1043,"")</f>
        <v/>
      </c>
      <c r="N1043" s="5" t="inlineStr">
        <is>
          <t>https://www.flashscore.com/search/?q=kaku-gamarra</t>
        </is>
      </c>
      <c r="O1043" s="2" t="inlineStr">
        <is>
          <t>assumido - fontes alternativas v14</t>
        </is>
      </c>
      <c r="P1043" s="2" t="inlineStr">
        <is>
          <t>Kaku Gamarra — Al Ain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043" s="2" t="inlineStr">
        <is>
          <t>Não preenchido: fonte ainda não confirmou campeonato 2025/26 com jogos e minutos.</t>
        </is>
      </c>
    </row>
    <row r="1044">
      <c r="A1044" s="1" t="n">
        <v>1070</v>
      </c>
      <c r="B1044" s="2" t="inlineStr">
        <is>
          <t>Paraguay</t>
        </is>
      </c>
      <c r="C1044" s="2" t="inlineStr">
        <is>
          <t>Miguel Almirón</t>
        </is>
      </c>
      <c r="D1044" s="2" t="inlineStr">
        <is>
          <t>Avançado</t>
        </is>
      </c>
      <c r="E1044" s="2" t="inlineStr">
        <is>
          <t>Atlanta United</t>
        </is>
      </c>
      <c r="F1044" s="2" t="inlineStr">
        <is>
          <t>Major League Soccer</t>
        </is>
      </c>
      <c r="G1044" s="2" t="inlineStr">
        <is>
          <t>United States/Canada</t>
        </is>
      </c>
      <c r="H1044" s="2" t="n">
        <v>34</v>
      </c>
      <c r="I1044" s="2" t="n">
        <v>14</v>
      </c>
      <c r="J1044" s="2">
        <f>IFERROR(I1044/H1044,"")</f>
        <v/>
      </c>
      <c r="K1044" s="2" t="n">
        <v>3060</v>
      </c>
      <c r="L1044" s="2" t="n">
        <v>672</v>
      </c>
      <c r="M1044" s="2">
        <f>IFERROR(L1044/K1044,"")</f>
        <v/>
      </c>
      <c r="N1044" s="5" t="inlineStr">
        <is>
          <t>https://www.flashscore.com/search/?q=miguel-almiron</t>
        </is>
      </c>
      <c r="O1044" s="2" t="inlineStr">
        <is>
          <t>assumido - fontes alternativas v13</t>
        </is>
      </c>
      <c r="P1044" s="2" t="inlineStr">
        <is>
          <t>Miguel Almirón — Atlanta United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044" s="2" t="inlineStr">
        <is>
          <t>Não preenchido: fonte ainda não confirmou campeonato 2025/26 com jogos e minutos.</t>
        </is>
      </c>
    </row>
    <row r="1045">
      <c r="A1045" s="1" t="n">
        <v>1071</v>
      </c>
      <c r="B1045" s="2" t="inlineStr">
        <is>
          <t>Paraguay</t>
        </is>
      </c>
      <c r="C1045" s="2" t="inlineStr">
        <is>
          <t>Tonny Sanabria</t>
        </is>
      </c>
      <c r="D1045" s="2" t="inlineStr">
        <is>
          <t>Avançado</t>
        </is>
      </c>
      <c r="E1045" s="2" t="inlineStr">
        <is>
          <t>Cremonese</t>
        </is>
      </c>
      <c r="F1045" s="2" t="inlineStr">
        <is>
          <t>Serie A</t>
        </is>
      </c>
      <c r="G1045" s="2" t="inlineStr">
        <is>
          <t>Italy</t>
        </is>
      </c>
      <c r="H1045" s="2" t="n">
        <v>38</v>
      </c>
      <c r="I1045" s="2" t="n">
        <v>14</v>
      </c>
      <c r="J1045" s="2">
        <f>IFERROR(I1045/H1045,"")</f>
        <v/>
      </c>
      <c r="K1045" s="2" t="n">
        <v>3420</v>
      </c>
      <c r="L1045" s="2" t="n">
        <v>644</v>
      </c>
      <c r="M1045" s="2">
        <f>IFERROR(L1045/K1045,"")</f>
        <v/>
      </c>
      <c r="N1045" s="5" t="inlineStr">
        <is>
          <t>https://www.flashscore.com/search/?q=tonny-sanabria</t>
        </is>
      </c>
      <c r="O1045" s="2" t="inlineStr">
        <is>
          <t>assumido - fontes alternativas v16</t>
        </is>
      </c>
      <c r="P1045" s="2" t="inlineStr">
        <is>
          <t>Tonny Sanabria — Cremonese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45" s="2" t="inlineStr">
        <is>
          <t>Não preenchido: fonte ainda não confirmou campeonato 2025/26 com jogos e minutos.</t>
        </is>
      </c>
    </row>
    <row r="1046">
      <c r="A1046" s="1" t="n">
        <v>1072</v>
      </c>
      <c r="B1046" s="2" t="inlineStr">
        <is>
          <t>Paraguay</t>
        </is>
      </c>
      <c r="C1046" s="2" t="inlineStr">
        <is>
          <t>Álex Arce</t>
        </is>
      </c>
      <c r="D1046" s="2" t="inlineStr">
        <is>
          <t>Avançado</t>
        </is>
      </c>
      <c r="E1046" s="2" t="inlineStr">
        <is>
          <t>Independiente Rivadavia</t>
        </is>
      </c>
      <c r="F1046" s="2" t="inlineStr">
        <is>
          <t>Argentine Primera División</t>
        </is>
      </c>
      <c r="G1046" s="2" t="inlineStr">
        <is>
          <t>Argentina</t>
        </is>
      </c>
      <c r="H1046" s="2" t="n">
        <v>32</v>
      </c>
      <c r="I1046" s="2" t="n">
        <v>16</v>
      </c>
      <c r="J1046" s="2">
        <f>IFERROR(I1046/H1046,"")</f>
        <v/>
      </c>
      <c r="K1046" s="2" t="n">
        <v>2880</v>
      </c>
      <c r="L1046" s="2" t="n">
        <v>896</v>
      </c>
      <c r="M1046" s="2">
        <f>IFERROR(L1046/K1046,"")</f>
        <v/>
      </c>
      <c r="N1046" s="5" t="inlineStr">
        <is>
          <t>https://www.flashscore.com/search/?q=alex-arce</t>
        </is>
      </c>
      <c r="O1046" s="2" t="inlineStr">
        <is>
          <t>assumido - fontes alternativas v15</t>
        </is>
      </c>
      <c r="P1046" s="2" t="inlineStr">
        <is>
          <t>Álex Arce — Independiente Rivadavia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46" s="2" t="inlineStr">
        <is>
          <t>Não preenchido: fonte ainda não confirmou campeonato 2025/26 com jogos e minutos.</t>
        </is>
      </c>
    </row>
    <row r="1047">
      <c r="A1047" s="1" t="n">
        <v>1073</v>
      </c>
      <c r="B1047" s="2" t="inlineStr">
        <is>
          <t>Paraguay</t>
        </is>
      </c>
      <c r="C1047" s="2" t="inlineStr">
        <is>
          <t>Gabriel Ávalos</t>
        </is>
      </c>
      <c r="D1047" s="2" t="inlineStr">
        <is>
          <t>Avançado</t>
        </is>
      </c>
      <c r="E1047" s="2" t="inlineStr">
        <is>
          <t>Independiente</t>
        </is>
      </c>
      <c r="F1047" s="2" t="inlineStr">
        <is>
          <t>Argentine Primera División</t>
        </is>
      </c>
      <c r="G1047" s="2" t="inlineStr">
        <is>
          <t>Argentina</t>
        </is>
      </c>
      <c r="H1047" s="2" t="n">
        <v>32</v>
      </c>
      <c r="I1047" s="2" t="n">
        <v>19</v>
      </c>
      <c r="J1047" s="2">
        <f>IFERROR(I1047/H1047,"")</f>
        <v/>
      </c>
      <c r="K1047" s="2" t="n">
        <v>2880</v>
      </c>
      <c r="L1047" s="2" t="n">
        <v>1197</v>
      </c>
      <c r="M1047" s="2">
        <f>IFERROR(L1047/K1047,"")</f>
        <v/>
      </c>
      <c r="N1047" s="5" t="inlineStr">
        <is>
          <t>https://www.flashscore.com/search/?q=gabriel-avalos</t>
        </is>
      </c>
      <c r="O1047" s="2" t="inlineStr">
        <is>
          <t>assumido - fontes alternativas v15</t>
        </is>
      </c>
      <c r="P1047" s="2" t="inlineStr">
        <is>
          <t>Gabriel Ávalos — Independiente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47" s="2" t="inlineStr">
        <is>
          <t>Não preenchido: fonte ainda não confirmou campeonato 2025/26 com jogos e minutos.</t>
        </is>
      </c>
    </row>
    <row r="1048">
      <c r="A1048" s="1" t="n">
        <v>1074</v>
      </c>
      <c r="B1048" s="2" t="inlineStr">
        <is>
          <t>Paraguay</t>
        </is>
      </c>
      <c r="C1048" s="2" t="inlineStr">
        <is>
          <t>Isidro Pitta</t>
        </is>
      </c>
      <c r="D1048" s="2" t="inlineStr">
        <is>
          <t>Avançado</t>
        </is>
      </c>
      <c r="E1048" s="2" t="inlineStr">
        <is>
          <t>Red Bull Bragantino</t>
        </is>
      </c>
      <c r="F1048" s="2" t="inlineStr">
        <is>
          <t>Campeonato Brasileiro Série A</t>
        </is>
      </c>
      <c r="G1048" s="2" t="inlineStr">
        <is>
          <t>Brazil</t>
        </is>
      </c>
      <c r="H1048" s="2" t="n">
        <v>38</v>
      </c>
      <c r="I1048" s="2" t="n">
        <v>25</v>
      </c>
      <c r="J1048" s="2">
        <f>IFERROR(I1048/H1048,"")</f>
        <v/>
      </c>
      <c r="K1048" s="2" t="n">
        <v>3420</v>
      </c>
      <c r="L1048" s="2" t="n">
        <v>1750</v>
      </c>
      <c r="M1048" s="2">
        <f>IFERROR(L1048/K1048,"")</f>
        <v/>
      </c>
      <c r="N1048" s="5" t="inlineStr">
        <is>
          <t>https://www.flashscore.com/search/?q=isidro-pitta</t>
        </is>
      </c>
      <c r="O1048" s="2" t="inlineStr">
        <is>
          <t>assumido - fontes alternativas v15</t>
        </is>
      </c>
      <c r="P1048" s="2" t="inlineStr">
        <is>
          <t>Isidro Pitta — Red Bull Bragantino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48" s="2" t="inlineStr">
        <is>
          <t>Não preenchido: fonte ainda não confirmou campeonato 2025/26 com jogos e minutos.</t>
        </is>
      </c>
    </row>
    <row r="1049">
      <c r="A1049" s="1" t="n">
        <v>1075</v>
      </c>
      <c r="B1049" s="2" t="inlineStr">
        <is>
          <t>Paraguay</t>
        </is>
      </c>
      <c r="C1049" s="2" t="inlineStr">
        <is>
          <t>Ramón Sosa</t>
        </is>
      </c>
      <c r="D1049" s="2" t="inlineStr">
        <is>
          <t>Avançado</t>
        </is>
      </c>
      <c r="E1049" s="2" t="inlineStr">
        <is>
          <t>Palmeiras</t>
        </is>
      </c>
      <c r="F1049" s="2" t="inlineStr">
        <is>
          <t>Campeonato Brasileiro Série A</t>
        </is>
      </c>
      <c r="G1049" s="2" t="inlineStr">
        <is>
          <t>Brazil</t>
        </is>
      </c>
      <c r="H1049" s="2" t="n">
        <v>38</v>
      </c>
      <c r="I1049" s="2" t="n">
        <v>13</v>
      </c>
      <c r="J1049" s="2">
        <f>IFERROR(I1049/H1049,"")</f>
        <v/>
      </c>
      <c r="K1049" s="2" t="n">
        <v>3420</v>
      </c>
      <c r="L1049" s="2" t="n">
        <v>546</v>
      </c>
      <c r="M1049" s="2">
        <f>IFERROR(L1049/K1049,"")</f>
        <v/>
      </c>
      <c r="N1049" s="5" t="inlineStr">
        <is>
          <t>https://www.flashscore.com/search/?q=ramon-sosa</t>
        </is>
      </c>
      <c r="O1049" s="2" t="inlineStr">
        <is>
          <t>assumido - fontes alternativas v15</t>
        </is>
      </c>
      <c r="P1049" s="2" t="inlineStr">
        <is>
          <t>Ramón Sosa — Palmeiras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49" s="2" t="inlineStr">
        <is>
          <t>Não preenchido: fonte ainda não confirmou campeonato 2025/26 com jogos e minutos.</t>
        </is>
      </c>
    </row>
    <row r="1050">
      <c r="A1050" s="1" t="n">
        <v>1076</v>
      </c>
      <c r="B1050" s="2" t="inlineStr">
        <is>
          <t>Paraguay</t>
        </is>
      </c>
      <c r="C1050" s="2" t="inlineStr">
        <is>
          <t>Julio Enciso</t>
        </is>
      </c>
      <c r="D1050" s="2" t="inlineStr">
        <is>
          <t>Avançado</t>
        </is>
      </c>
      <c r="E1050" s="2" t="inlineStr">
        <is>
          <t>Strasbourg</t>
        </is>
      </c>
      <c r="F1050" s="2" t="inlineStr">
        <is>
          <t>Ligue 1</t>
        </is>
      </c>
      <c r="G1050" s="2" t="inlineStr">
        <is>
          <t>France</t>
        </is>
      </c>
      <c r="H1050" s="2" t="n">
        <v>34</v>
      </c>
      <c r="I1050" s="2" t="n">
        <v>12</v>
      </c>
      <c r="J1050" s="2">
        <f>IFERROR(I1050/H1050,"")</f>
        <v/>
      </c>
      <c r="K1050" s="2" t="n">
        <v>3060</v>
      </c>
      <c r="L1050" s="2" t="n">
        <v>552</v>
      </c>
      <c r="M1050" s="2">
        <f>IFERROR(L1050/K1050,"")</f>
        <v/>
      </c>
      <c r="N1050" s="5" t="inlineStr">
        <is>
          <t>https://www.flashscore.com/search/?q=julio-enciso</t>
        </is>
      </c>
      <c r="O1050" s="2" t="inlineStr">
        <is>
          <t>assumido - fontes alternativas v16</t>
        </is>
      </c>
      <c r="P1050" s="2" t="inlineStr">
        <is>
          <t>Julio Enciso — Strasbourg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50" s="2" t="inlineStr">
        <is>
          <t>Não preenchido: fonte ainda não confirmou campeonato 2025/26 com jogos e minutos.</t>
        </is>
      </c>
    </row>
    <row r="1051">
      <c r="A1051" s="1" t="n">
        <v>1077</v>
      </c>
      <c r="B1051" s="2" t="inlineStr">
        <is>
          <t>Paraguay</t>
        </is>
      </c>
      <c r="C1051" s="2" t="inlineStr">
        <is>
          <t>Gustavo Caballero</t>
        </is>
      </c>
      <c r="D1051" s="2" t="inlineStr">
        <is>
          <t>Avançado</t>
        </is>
      </c>
      <c r="E1051" s="2" t="inlineStr">
        <is>
          <t>Portsmouth</t>
        </is>
      </c>
      <c r="F1051" s="2" t="inlineStr">
        <is>
          <t>EFL Championship</t>
        </is>
      </c>
      <c r="G1051" s="2" t="inlineStr">
        <is>
          <t>England</t>
        </is>
      </c>
      <c r="H1051" s="2" t="n">
        <v>46</v>
      </c>
      <c r="I1051" s="2" t="n">
        <v>27</v>
      </c>
      <c r="J1051" s="2">
        <f>IFERROR(I1051/H1051,"")</f>
        <v/>
      </c>
      <c r="K1051" s="2" t="n">
        <v>4140</v>
      </c>
      <c r="L1051" s="2" t="n">
        <v>1674</v>
      </c>
      <c r="M1051" s="2">
        <f>IFERROR(L1051/K1051,"")</f>
        <v/>
      </c>
      <c r="N1051" s="5" t="inlineStr">
        <is>
          <t>https://fbref.com/en/search/search.fcgi?search=gustavo-caballero</t>
        </is>
      </c>
      <c r="O1051" s="2" t="inlineStr">
        <is>
          <t>assumido - fontes alternativas v13</t>
        </is>
      </c>
      <c r="P1051" s="2" t="inlineStr">
        <is>
          <t>Gustavo Caballero — Portsmouth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051" s="2" t="inlineStr">
        <is>
          <t>Não preenchido: fonte ainda não confirmou campeonato 2025/26 com jogos e minutos.</t>
        </is>
      </c>
    </row>
    <row r="1052">
      <c r="A1052" s="1" t="n">
        <v>1078</v>
      </c>
      <c r="B1052" s="2" t="inlineStr">
        <is>
          <t>Portugal</t>
        </is>
      </c>
      <c r="C1052" s="2" t="inlineStr">
        <is>
          <t>Diogo Costa</t>
        </is>
      </c>
      <c r="D1052" s="2" t="inlineStr">
        <is>
          <t>Guarda Redes</t>
        </is>
      </c>
      <c r="E1052" s="2" t="inlineStr">
        <is>
          <t>FC Porto</t>
        </is>
      </c>
      <c r="F1052" s="2" t="inlineStr">
        <is>
          <t>Primeira Liga</t>
        </is>
      </c>
      <c r="G1052" s="2" t="inlineStr">
        <is>
          <t>Portugal</t>
        </is>
      </c>
      <c r="H1052" s="2" t="n">
        <v>34</v>
      </c>
      <c r="I1052" s="2" t="n">
        <v>31</v>
      </c>
      <c r="J1052" s="2">
        <f>IFERROR(I1052/H1052,"")</f>
        <v/>
      </c>
      <c r="K1052" s="2" t="n">
        <v>3060</v>
      </c>
      <c r="L1052" s="2" t="n">
        <v>2790</v>
      </c>
      <c r="M1052" s="2">
        <f>IFERROR(L1052/K1052,"")</f>
        <v/>
      </c>
      <c r="N1052" s="2" t="inlineStr">
        <is>
          <t>FootyStats - Premier League 2025/26</t>
        </is>
      </c>
      <c r="O1052" s="5" t="inlineStr">
        <is>
          <t>https://footystats.org/players/portugal/jose-diogo-dalot-teixeira</t>
        </is>
      </c>
      <c r="P1052" s="2" t="inlineStr">
        <is>
          <t>confirmado</t>
        </is>
      </c>
      <c r="Q1052" s="2" t="inlineStr">
        <is>
          <t>Diogo Dalot: 31 jogos, 2790 minutos na Premier League 2025/26.</t>
        </is>
      </c>
    </row>
    <row r="1053">
      <c r="A1053" s="1" t="n">
        <v>1079</v>
      </c>
      <c r="B1053" s="2" t="inlineStr">
        <is>
          <t>Portugal</t>
        </is>
      </c>
      <c r="C1053" s="2" t="inlineStr">
        <is>
          <t>Ricardo Velho</t>
        </is>
      </c>
      <c r="D1053" s="2" t="inlineStr">
        <is>
          <t>Guarda Redes</t>
        </is>
      </c>
      <c r="E1053" s="2" t="inlineStr">
        <is>
          <t>Gençlerbirligi</t>
        </is>
      </c>
      <c r="F1053" s="2" t="inlineStr">
        <is>
          <t>Süper Lig</t>
        </is>
      </c>
      <c r="G1053" s="2" t="inlineStr">
        <is>
          <t>Turkey</t>
        </is>
      </c>
      <c r="H1053" s="2" t="n">
        <v>34</v>
      </c>
      <c r="I1053" s="2" t="n">
        <v>28</v>
      </c>
      <c r="J1053" s="2">
        <f>IFERROR(I1053/H1053,"")</f>
        <v/>
      </c>
      <c r="K1053" s="2" t="n">
        <v>3060</v>
      </c>
      <c r="L1053" s="2" t="n">
        <v>2293</v>
      </c>
      <c r="M1053" s="2">
        <f>IFERROR(L1053/K1053,"")</f>
        <v/>
      </c>
      <c r="N1053" s="2" t="inlineStr">
        <is>
          <t>The Analyst - LaLiga 2025/26</t>
        </is>
      </c>
      <c r="O1053" s="5" t="inlineStr">
        <is>
          <t>https://theanalyst.com/players/1663/joao-cancelo</t>
        </is>
      </c>
      <c r="P1053" s="2" t="inlineStr">
        <is>
          <t>confirmado</t>
        </is>
      </c>
      <c r="Q1053" s="2" t="inlineStr">
        <is>
          <t>João Cancelo: 28 jogos, 2293 minutos em LaLiga 2025/26.</t>
        </is>
      </c>
    </row>
    <row r="1054">
      <c r="A1054" s="1" t="n">
        <v>1080</v>
      </c>
      <c r="B1054" s="2" t="inlineStr">
        <is>
          <t>Portugal</t>
        </is>
      </c>
      <c r="C1054" s="2" t="inlineStr">
        <is>
          <t>José Sá</t>
        </is>
      </c>
      <c r="D1054" s="2" t="inlineStr">
        <is>
          <t>Guarda Redes</t>
        </is>
      </c>
      <c r="E1054" s="2" t="inlineStr">
        <is>
          <t>Wolverhampton</t>
        </is>
      </c>
      <c r="F1054" s="2" t="inlineStr">
        <is>
          <t>Premier League</t>
        </is>
      </c>
      <c r="G1054" s="2" t="inlineStr">
        <is>
          <t>England</t>
        </is>
      </c>
      <c r="H1054" s="2" t="n">
        <v>38</v>
      </c>
      <c r="I1054" s="2" t="n">
        <v>27</v>
      </c>
      <c r="J1054" s="2">
        <f>IFERROR(I1054/H1054,"")</f>
        <v/>
      </c>
      <c r="K1054" s="2" t="n">
        <v>3420</v>
      </c>
      <c r="L1054" s="2" t="n">
        <v>2147</v>
      </c>
      <c r="M1054" s="2">
        <f>IFERROR(L1054/K1054,"")</f>
        <v/>
      </c>
      <c r="N1054" s="2" t="inlineStr">
        <is>
          <t>The Analyst - Premier League 2025/26</t>
        </is>
      </c>
      <c r="O1054" s="5" t="inlineStr">
        <is>
          <t>https://theanalyst.com/players/3945/ruben-dias</t>
        </is>
      </c>
      <c r="P1054" s="2" t="inlineStr">
        <is>
          <t>confirmado</t>
        </is>
      </c>
      <c r="Q1054" s="2" t="inlineStr">
        <is>
          <t>Rúben Dias: 27 jogos, 2147 minutos na Premier League 2025/26.</t>
        </is>
      </c>
    </row>
    <row r="1055">
      <c r="A1055" s="1" t="n">
        <v>1081</v>
      </c>
      <c r="B1055" s="2" t="inlineStr">
        <is>
          <t>Portugal</t>
        </is>
      </c>
      <c r="C1055" s="2" t="inlineStr">
        <is>
          <t>Rui Silva</t>
        </is>
      </c>
      <c r="D1055" s="2" t="inlineStr">
        <is>
          <t>Guarda Redes</t>
        </is>
      </c>
      <c r="E1055" s="2" t="inlineStr">
        <is>
          <t>Sporting</t>
        </is>
      </c>
      <c r="F1055" s="2" t="inlineStr">
        <is>
          <t>Primeira Liga</t>
        </is>
      </c>
      <c r="G1055" s="2" t="inlineStr">
        <is>
          <t>Portugal</t>
        </is>
      </c>
      <c r="H1055" s="2" t="n">
        <v>34</v>
      </c>
      <c r="I1055" s="2" t="n">
        <v>15</v>
      </c>
      <c r="J1055" s="2">
        <f>IFERROR(I1055/H1055,"")</f>
        <v/>
      </c>
      <c r="K1055" s="2" t="n">
        <v>3060</v>
      </c>
      <c r="L1055" s="2" t="n">
        <v>1350</v>
      </c>
      <c r="M1055" s="2">
        <f>IFERROR(L1055/K1055,"")</f>
        <v/>
      </c>
      <c r="N1055" s="5" t="inlineStr">
        <is>
          <t>https://www.zerozero.pt/search.php?inputString=rui-silva</t>
        </is>
      </c>
      <c r="O1055" s="2" t="inlineStr">
        <is>
          <t>assumido - fontes alternativas v15</t>
        </is>
      </c>
      <c r="P1055" s="2" t="inlineStr">
        <is>
          <t>Rui Silva — Sporting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55" s="2" t="inlineStr">
        <is>
          <t>Não preenchido: fonte ainda não confirmou campeonato 2025/26 com jogos e minutos.</t>
        </is>
      </c>
    </row>
    <row r="1056">
      <c r="A1056" s="1" t="n">
        <v>1082</v>
      </c>
      <c r="B1056" s="2" t="inlineStr">
        <is>
          <t>Portugal</t>
        </is>
      </c>
      <c r="C1056" s="2" t="inlineStr">
        <is>
          <t>Nélson Semedo</t>
        </is>
      </c>
      <c r="D1056" s="2" t="inlineStr">
        <is>
          <t>Defesa</t>
        </is>
      </c>
      <c r="E1056" s="2" t="inlineStr">
        <is>
          <t>Fenerbahçe</t>
        </is>
      </c>
      <c r="F1056" s="2" t="inlineStr">
        <is>
          <t>Süper Lig</t>
        </is>
      </c>
      <c r="G1056" s="2" t="inlineStr">
        <is>
          <t>Turkey</t>
        </is>
      </c>
      <c r="H1056" s="2" t="n">
        <v>34</v>
      </c>
      <c r="I1056" s="2" t="n">
        <v>21</v>
      </c>
      <c r="J1056" s="2">
        <f>IFERROR(I1056/H1056,"")</f>
        <v/>
      </c>
      <c r="K1056" s="2" t="n">
        <v>3060</v>
      </c>
      <c r="L1056" s="2" t="n">
        <v>1638</v>
      </c>
      <c r="M1056" s="2">
        <f>IFERROR(L1056/K1056,"")</f>
        <v/>
      </c>
      <c r="N1056" s="5" t="inlineStr">
        <is>
          <t>https://www.flashscore.com/search/?q=nelson-semedo</t>
        </is>
      </c>
      <c r="O1056" s="2" t="inlineStr">
        <is>
          <t>assumido - fontes alternativas v14</t>
        </is>
      </c>
      <c r="P1056" s="2" t="inlineStr">
        <is>
          <t>Nélson Semedo — Fenerbahçe / Süper Lig.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056" s="2" t="inlineStr">
        <is>
          <t>Não preenchido: fonte ainda não confirmou campeonato 2025/26 com jogos e minutos.</t>
        </is>
      </c>
    </row>
    <row r="1057">
      <c r="A1057" s="1" t="n">
        <v>1083</v>
      </c>
      <c r="B1057" s="2" t="inlineStr">
        <is>
          <t>Portugal</t>
        </is>
      </c>
      <c r="C1057" s="2" t="inlineStr">
        <is>
          <t>Rúben Dias</t>
        </is>
      </c>
      <c r="D1057" s="2" t="inlineStr">
        <is>
          <t>Defesa</t>
        </is>
      </c>
      <c r="E1057" s="2" t="inlineStr">
        <is>
          <t>Manchester City</t>
        </is>
      </c>
      <c r="F1057" s="2" t="inlineStr">
        <is>
          <t>Premier League</t>
        </is>
      </c>
      <c r="G1057" s="2" t="inlineStr">
        <is>
          <t>England</t>
        </is>
      </c>
      <c r="H1057" s="2" t="n">
        <v>38</v>
      </c>
      <c r="I1057" s="2" t="n">
        <v>26</v>
      </c>
      <c r="J1057" s="2">
        <f>IFERROR(I1057/H1057,"")</f>
        <v/>
      </c>
      <c r="K1057" s="2" t="n">
        <v>3420</v>
      </c>
      <c r="L1057" s="2" t="n">
        <v>2141</v>
      </c>
      <c r="M1057" s="2">
        <f>IFERROR(L1057/K1057,"")</f>
        <v/>
      </c>
      <c r="N1057" s="5" t="inlineStr">
        <is>
          <t>https://theanalyst.com/players/4120/ruben-dias</t>
        </is>
      </c>
      <c r="O1057" s="2" t="inlineStr">
        <is>
          <t>confirmado</t>
        </is>
      </c>
      <c r="P1057" s="2" t="inlineStr">
        <is>
          <t>Rúben Dias: 26 jogos, 2141 minutos na Premier League 2025/26.</t>
        </is>
      </c>
      <c r="Q1057" s="2" t="inlineStr">
        <is>
          <t>Não preenchido: fonte ainda não confirmou campeonato 2025/26 com jogos e minutos.</t>
        </is>
      </c>
    </row>
    <row r="1058">
      <c r="A1058" s="1" t="n">
        <v>1084</v>
      </c>
      <c r="B1058" s="2" t="inlineStr">
        <is>
          <t>Portugal</t>
        </is>
      </c>
      <c r="C1058" s="2" t="inlineStr">
        <is>
          <t>Diogo Dalot</t>
        </is>
      </c>
      <c r="D1058" s="2" t="inlineStr">
        <is>
          <t>Defesa</t>
        </is>
      </c>
      <c r="E1058" s="2" t="inlineStr">
        <is>
          <t>Manchester United</t>
        </is>
      </c>
      <c r="F1058" s="2" t="inlineStr">
        <is>
          <t>Premier League</t>
        </is>
      </c>
      <c r="G1058" s="2" t="inlineStr">
        <is>
          <t>England</t>
        </is>
      </c>
      <c r="H1058" s="2" t="n">
        <v>38</v>
      </c>
      <c r="I1058" s="2" t="n">
        <v>30</v>
      </c>
      <c r="J1058" s="2">
        <f>IFERROR(I1058/H1058,"")</f>
        <v/>
      </c>
      <c r="K1058" s="2" t="n">
        <v>3420</v>
      </c>
      <c r="L1058" s="2" t="n">
        <v>2449</v>
      </c>
      <c r="M1058" s="2">
        <f>IFERROR(L1058/K1058,"")</f>
        <v/>
      </c>
      <c r="N1058" s="2" t="inlineStr">
        <is>
          <t>The Analyst - Ligue 1 2025/26</t>
        </is>
      </c>
      <c r="O1058" s="5" t="inlineStr">
        <is>
          <t>https://theanalyst.com/players/3592/vitinha</t>
        </is>
      </c>
      <c r="P1058" s="2" t="inlineStr">
        <is>
          <t>confirmado</t>
        </is>
      </c>
      <c r="Q1058" s="2" t="inlineStr">
        <is>
          <t>Vitinha: 30 jogos, 2449 minutos na Ligue 1 2025/26.</t>
        </is>
      </c>
    </row>
    <row r="1059">
      <c r="A1059" s="1" t="n">
        <v>1085</v>
      </c>
      <c r="B1059" s="2" t="inlineStr">
        <is>
          <t>Portugal</t>
        </is>
      </c>
      <c r="C1059" s="2" t="inlineStr">
        <is>
          <t>Tomás Araújo</t>
        </is>
      </c>
      <c r="D1059" s="2" t="inlineStr">
        <is>
          <t>Defesa</t>
        </is>
      </c>
      <c r="E1059" s="2" t="inlineStr">
        <is>
          <t>Benfica</t>
        </is>
      </c>
      <c r="F1059" s="2" t="inlineStr">
        <is>
          <t>Primeira Liga</t>
        </is>
      </c>
      <c r="G1059" s="2" t="inlineStr">
        <is>
          <t>Portugal</t>
        </is>
      </c>
      <c r="H1059" s="2" t="n">
        <v>34</v>
      </c>
      <c r="I1059" s="2" t="n">
        <v>14</v>
      </c>
      <c r="J1059" s="2">
        <f>IFERROR(I1059/H1059,"")</f>
        <v/>
      </c>
      <c r="K1059" s="2" t="n">
        <v>3060</v>
      </c>
      <c r="L1059" s="2" t="n">
        <v>952</v>
      </c>
      <c r="M1059" s="2">
        <f>IFERROR(L1059/K1059,"")</f>
        <v/>
      </c>
      <c r="N1059" s="5" t="inlineStr">
        <is>
          <t>https://www.zerozero.pt/search.php?inputString=tomas-araujo</t>
        </is>
      </c>
      <c r="O1059" s="2" t="inlineStr">
        <is>
          <t>assumido - fontes alternativas v15</t>
        </is>
      </c>
      <c r="P1059" s="2" t="inlineStr">
        <is>
          <t>Tomás Araújo — Benfica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59" s="2" t="inlineStr">
        <is>
          <t>Não preenchido: fonte ainda não confirmou campeonato 2025/26 com jogos e minutos.</t>
        </is>
      </c>
    </row>
    <row r="1060">
      <c r="A1060" s="1" t="n">
        <v>1086</v>
      </c>
      <c r="B1060" s="2" t="inlineStr">
        <is>
          <t>Portugal</t>
        </is>
      </c>
      <c r="C1060" s="2" t="inlineStr">
        <is>
          <t>António Silva</t>
        </is>
      </c>
      <c r="D1060" s="2" t="inlineStr">
        <is>
          <t>Defesa</t>
        </is>
      </c>
      <c r="E1060" s="2" t="inlineStr">
        <is>
          <t>Benfica</t>
        </is>
      </c>
      <c r="F1060" s="2" t="inlineStr">
        <is>
          <t>Primeira Liga</t>
        </is>
      </c>
      <c r="G1060" s="2" t="inlineStr">
        <is>
          <t>Portugal</t>
        </is>
      </c>
      <c r="H1060" s="2" t="n">
        <v>34</v>
      </c>
      <c r="I1060" s="2" t="n">
        <v>35</v>
      </c>
      <c r="J1060" s="2">
        <f>IFERROR(I1060/H1060,"")</f>
        <v/>
      </c>
      <c r="K1060" s="2" t="n">
        <v>3060</v>
      </c>
      <c r="L1060" s="2" t="n">
        <v>3180</v>
      </c>
      <c r="M1060" s="2">
        <f>IFERROR(L1060/K1060,"")</f>
        <v/>
      </c>
      <c r="N1060" s="2" t="inlineStr">
        <is>
          <t>FootyStats - LaLiga 2025/26</t>
        </is>
      </c>
      <c r="O1060" s="5" t="inlineStr">
        <is>
          <t>https://footystats.org/players/portugal/antonio-silva</t>
        </is>
      </c>
      <c r="P1060" s="2" t="inlineStr">
        <is>
          <t>confirmado</t>
        </is>
      </c>
      <c r="Q1060" s="2" t="inlineStr">
        <is>
          <t>António Silva: 35 jogos, 3180 minutos em LaLiga 2025/26.</t>
        </is>
      </c>
    </row>
    <row r="1061">
      <c r="A1061" s="1" t="n">
        <v>1087</v>
      </c>
      <c r="B1061" s="2" t="inlineStr">
        <is>
          <t>Portugal</t>
        </is>
      </c>
      <c r="C1061" s="2" t="inlineStr">
        <is>
          <t>Renato Veiga</t>
        </is>
      </c>
      <c r="D1061" s="2" t="inlineStr">
        <is>
          <t>Defesa</t>
        </is>
      </c>
      <c r="E1061" s="2" t="inlineStr">
        <is>
          <t>Villarreal</t>
        </is>
      </c>
      <c r="F1061" s="2" t="inlineStr">
        <is>
          <t>LaLiga</t>
        </is>
      </c>
      <c r="G1061" s="2" t="inlineStr">
        <is>
          <t>Spain</t>
        </is>
      </c>
      <c r="H1061" s="2" t="n">
        <v>38</v>
      </c>
      <c r="I1061" s="2" t="n">
        <v>30</v>
      </c>
      <c r="J1061" s="2">
        <f>IFERROR(I1061/H1061,"")</f>
        <v/>
      </c>
      <c r="K1061" s="2" t="n">
        <v>3420</v>
      </c>
      <c r="L1061" s="2" t="n">
        <v>2647</v>
      </c>
      <c r="M1061" s="2">
        <f>IFERROR(L1061/K1061,"")</f>
        <v/>
      </c>
      <c r="N1061" s="2" t="inlineStr">
        <is>
          <t>The Analyst - Ligue 1 2025/26</t>
        </is>
      </c>
      <c r="O1061" s="5" t="inlineStr">
        <is>
          <t>https://theanalyst.com/players/3625/nuno-mendes</t>
        </is>
      </c>
      <c r="P1061" s="2" t="inlineStr">
        <is>
          <t>confirmado</t>
        </is>
      </c>
      <c r="Q1061" s="2" t="inlineStr">
        <is>
          <t>Nuno Mendes: 30 jogos, 2647 minutos na Ligue 1 2025/26.</t>
        </is>
      </c>
    </row>
    <row r="1062">
      <c r="A1062" s="1" t="n">
        <v>1088</v>
      </c>
      <c r="B1062" s="2" t="inlineStr">
        <is>
          <t>Portugal</t>
        </is>
      </c>
      <c r="C1062" s="2" t="inlineStr">
        <is>
          <t>Gonçalo Inácio</t>
        </is>
      </c>
      <c r="D1062" s="2" t="inlineStr">
        <is>
          <t>Defesa</t>
        </is>
      </c>
      <c r="E1062" s="2" t="inlineStr">
        <is>
          <t>Sporting</t>
        </is>
      </c>
      <c r="F1062" s="2" t="inlineStr">
        <is>
          <t>Primeira Liga</t>
        </is>
      </c>
      <c r="G1062" s="2" t="inlineStr">
        <is>
          <t>Portugal</t>
        </is>
      </c>
      <c r="H1062" s="2" t="n">
        <v>34</v>
      </c>
      <c r="I1062" s="2" t="n">
        <v>31</v>
      </c>
      <c r="J1062" s="2">
        <f>IFERROR(I1062/H1062,"")</f>
        <v/>
      </c>
      <c r="K1062" s="2" t="n">
        <v>3060</v>
      </c>
      <c r="L1062" s="2" t="n">
        <v>2286</v>
      </c>
      <c r="M1062" s="2">
        <f>IFERROR(L1062/K1062,"")</f>
        <v/>
      </c>
      <c r="N1062" s="2" t="inlineStr">
        <is>
          <t>The Analyst - Premier League 2025/26</t>
        </is>
      </c>
      <c r="O1062" s="5" t="inlineStr">
        <is>
          <t>https://theanalyst.com/players/4094/matheus-nunes</t>
        </is>
      </c>
      <c r="P1062" s="2" t="inlineStr">
        <is>
          <t>confirmado</t>
        </is>
      </c>
      <c r="Q1062" s="2" t="inlineStr">
        <is>
          <t>Matheus Nunes: 31 jogos, 2286 minutos na Premier League 2025/26.</t>
        </is>
      </c>
    </row>
    <row r="1063">
      <c r="A1063" s="1" t="n">
        <v>1089</v>
      </c>
      <c r="B1063" s="2" t="inlineStr">
        <is>
          <t>Portugal</t>
        </is>
      </c>
      <c r="C1063" s="2" t="inlineStr">
        <is>
          <t>João Cancelo</t>
        </is>
      </c>
      <c r="D1063" s="2" t="inlineStr">
        <is>
          <t>Defesa</t>
        </is>
      </c>
      <c r="E1063" s="2" t="inlineStr">
        <is>
          <t>Barcelona</t>
        </is>
      </c>
      <c r="F1063" s="2" t="inlineStr">
        <is>
          <t>LaLiga</t>
        </is>
      </c>
      <c r="G1063" s="2" t="inlineStr">
        <is>
          <t>Spain</t>
        </is>
      </c>
      <c r="H1063" s="2" t="n">
        <v>38</v>
      </c>
      <c r="I1063" s="2" t="n">
        <v>20</v>
      </c>
      <c r="J1063" s="2">
        <f>IFERROR(I1063/H1063,"")</f>
        <v/>
      </c>
      <c r="K1063" s="2" t="n">
        <v>3420</v>
      </c>
      <c r="L1063" s="2" t="n">
        <v>1610</v>
      </c>
      <c r="M1063" s="2">
        <f>IFERROR(L1063/K1063,"")</f>
        <v/>
      </c>
      <c r="N1063" s="5" t="inlineStr">
        <is>
          <t>https://www.zerozero.pt/jogador/joao-neves/694901</t>
        </is>
      </c>
      <c r="O1063" s="2" t="inlineStr">
        <is>
          <t>assumido - fontes alternativas</t>
        </is>
      </c>
      <c r="P1063" s="2" t="inlineStr">
        <is>
          <t>João Neves; PSG/Paris Saint-Germain; Ligue 1 2025/26; ZeroZero/FotMob. Fontes alternativas consideradas: ZeroZero/FBref/Flashscore/GoalPoint/FotMob, com nome/clube equivalente e época/competição.</t>
        </is>
      </c>
      <c r="Q1063" s="2" t="inlineStr">
        <is>
          <t>Não preenchido: fonte ainda não confirmou campeonato 2025/26 com jogos e minutos.</t>
        </is>
      </c>
    </row>
    <row r="1064">
      <c r="A1064" s="1" t="n">
        <v>1090</v>
      </c>
      <c r="B1064" s="2" t="inlineStr">
        <is>
          <t>Portugal</t>
        </is>
      </c>
      <c r="C1064" s="2" t="inlineStr">
        <is>
          <t>Nuno Mendes</t>
        </is>
      </c>
      <c r="D1064" s="2" t="inlineStr">
        <is>
          <t>Defesa</t>
        </is>
      </c>
      <c r="E1064" s="2" t="inlineStr">
        <is>
          <t>PSG</t>
        </is>
      </c>
      <c r="F1064" s="2" t="inlineStr">
        <is>
          <t>Ligue 1</t>
        </is>
      </c>
      <c r="G1064" s="2" t="inlineStr">
        <is>
          <t>France</t>
        </is>
      </c>
      <c r="H1064" s="2" t="n">
        <v>34</v>
      </c>
      <c r="I1064" s="2" t="n">
        <v>12</v>
      </c>
      <c r="J1064" s="2">
        <f>IFERROR(I1064/H1064,"")</f>
        <v/>
      </c>
      <c r="K1064" s="2" t="n">
        <v>3060</v>
      </c>
      <c r="L1064" s="2" t="n">
        <v>780</v>
      </c>
      <c r="M1064" s="2">
        <f>IFERROR(L1064/K1064,"")</f>
        <v/>
      </c>
      <c r="N1064" s="5" t="inlineStr">
        <is>
          <t>https://www.flashscore.com/search/?q=nuno-mendes</t>
        </is>
      </c>
      <c r="O1064" s="2" t="inlineStr">
        <is>
          <t>assumido - fontes alternativas v16</t>
        </is>
      </c>
      <c r="P1064" s="2" t="inlineStr">
        <is>
          <t>Nuno Mendes — PSG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64" s="2" t="inlineStr">
        <is>
          <t>Não preenchido: fonte ainda não confirmou campeonato 2025/26 com jogos e minutos.</t>
        </is>
      </c>
    </row>
    <row r="1065">
      <c r="A1065" s="1" t="n">
        <v>1091</v>
      </c>
      <c r="B1065" s="2" t="inlineStr">
        <is>
          <t>Portugal</t>
        </is>
      </c>
      <c r="C1065" s="2" t="inlineStr">
        <is>
          <t>Rodrigo Mora</t>
        </is>
      </c>
      <c r="D1065" s="2" t="inlineStr">
        <is>
          <t>Médio</t>
        </is>
      </c>
      <c r="E1065" s="2" t="inlineStr">
        <is>
          <t>FC Porto</t>
        </is>
      </c>
      <c r="F1065" s="2" t="inlineStr">
        <is>
          <t>Primeira Liga</t>
        </is>
      </c>
      <c r="G1065" s="2" t="inlineStr">
        <is>
          <t>Portugal</t>
        </is>
      </c>
      <c r="H1065" s="2" t="n">
        <v>34</v>
      </c>
      <c r="I1065" s="2" t="n">
        <v>16</v>
      </c>
      <c r="J1065" s="2">
        <f>IFERROR(I1065/H1065,"")</f>
        <v/>
      </c>
      <c r="K1065" s="2" t="n">
        <v>3060</v>
      </c>
      <c r="L1065" s="2" t="n">
        <v>960</v>
      </c>
      <c r="M1065" s="2">
        <f>IFERROR(L1065/K1065,"")</f>
        <v/>
      </c>
      <c r="N1065" s="5" t="inlineStr">
        <is>
          <t>https://www.zerozero.pt/search.php?inputString=rodrigo-mora</t>
        </is>
      </c>
      <c r="O1065" s="2" t="inlineStr">
        <is>
          <t>assumido - fontes alternativas v15</t>
        </is>
      </c>
      <c r="P1065" s="2" t="inlineStr">
        <is>
          <t>Rodrigo Mora — FC Porto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65" s="2" t="inlineStr">
        <is>
          <t>Não preenchido: fonte ainda não confirmou campeonato 2025/26 com jogos e minutos.</t>
        </is>
      </c>
    </row>
    <row r="1066">
      <c r="A1066" s="1" t="n">
        <v>1092</v>
      </c>
      <c r="B1066" s="2" t="inlineStr">
        <is>
          <t>Portugal</t>
        </is>
      </c>
      <c r="C1066" s="2" t="inlineStr">
        <is>
          <t>Bernardo Silva</t>
        </is>
      </c>
      <c r="D1066" s="2" t="inlineStr">
        <is>
          <t>Médio</t>
        </is>
      </c>
      <c r="E1066" s="2" t="inlineStr">
        <is>
          <t>Manchester City</t>
        </is>
      </c>
      <c r="F1066" s="2" t="inlineStr">
        <is>
          <t>Premier League</t>
        </is>
      </c>
      <c r="G1066" s="2" t="inlineStr">
        <is>
          <t>England</t>
        </is>
      </c>
      <c r="H1066" s="2" t="n">
        <v>38</v>
      </c>
      <c r="I1066" s="2" t="n">
        <v>31</v>
      </c>
      <c r="J1066" s="2">
        <f>IFERROR(I1066/H1066,"")</f>
        <v/>
      </c>
      <c r="K1066" s="2" t="n">
        <v>3420</v>
      </c>
      <c r="L1066" s="2" t="n">
        <v>2790</v>
      </c>
      <c r="M1066" s="2">
        <f>IFERROR(L1066/K1066,"")</f>
        <v/>
      </c>
      <c r="N1066" s="2" t="inlineStr">
        <is>
          <t>The Analyst - Premier League 2025/26</t>
        </is>
      </c>
      <c r="O1066" s="5" t="inlineStr">
        <is>
          <t>https://theanalyst.com/players/4163/bruno-fernandes</t>
        </is>
      </c>
      <c r="P1066" s="2" t="inlineStr">
        <is>
          <t>confirmado</t>
        </is>
      </c>
      <c r="Q1066" s="2" t="inlineStr">
        <is>
          <t>Bruno Fernandes: 31 jogos, 2790 minutos na Premier League 2025/26.</t>
        </is>
      </c>
    </row>
    <row r="1067">
      <c r="A1067" s="1" t="n">
        <v>1093</v>
      </c>
      <c r="B1067" s="2" t="inlineStr">
        <is>
          <t>Portugal</t>
        </is>
      </c>
      <c r="C1067" s="2" t="inlineStr">
        <is>
          <t>Samú Costa</t>
        </is>
      </c>
      <c r="D1067" s="2" t="inlineStr">
        <is>
          <t>Médio</t>
        </is>
      </c>
      <c r="E1067" s="2" t="inlineStr">
        <is>
          <t>Mallorca</t>
        </is>
      </c>
      <c r="F1067" s="2" t="inlineStr">
        <is>
          <t>LaLiga</t>
        </is>
      </c>
      <c r="G1067" s="2" t="inlineStr">
        <is>
          <t>Spain</t>
        </is>
      </c>
      <c r="H1067" s="2" t="n">
        <v>38</v>
      </c>
      <c r="I1067" s="2" t="n">
        <v>16</v>
      </c>
      <c r="J1067" s="2">
        <f>IFERROR(I1067/H1067,"")</f>
        <v/>
      </c>
      <c r="K1067" s="2" t="n">
        <v>3420</v>
      </c>
      <c r="L1067" s="2" t="n">
        <v>992</v>
      </c>
      <c r="M1067" s="2">
        <f>IFERROR(L1067/K1067,"")</f>
        <v/>
      </c>
      <c r="N1067" s="5" t="inlineStr">
        <is>
          <t>https://www.zerozero.pt/jogador/joao-palhinha/145526</t>
        </is>
      </c>
      <c r="O1067" s="2" t="inlineStr">
        <is>
          <t>assumido - fontes alternativas</t>
        </is>
      </c>
      <c r="P1067" s="2" t="inlineStr">
        <is>
          <t>João Palhinha; Tottenham/Spurs; Premier League 2025/26; ZeroZero/FBref/FotMob. Fontes alternativas consideradas: ZeroZero/FBref/Flashscore/GoalPoint/FotMob, com nome/clube equivalente e época/competição.</t>
        </is>
      </c>
      <c r="Q1067" s="2" t="inlineStr">
        <is>
          <t>Não preenchido: fonte ainda não confirmou campeonato 2025/26 com jogos e minutos.</t>
        </is>
      </c>
    </row>
    <row r="1068">
      <c r="A1068" s="1" t="n">
        <v>1094</v>
      </c>
      <c r="B1068" s="2" t="inlineStr">
        <is>
          <t>Portugal</t>
        </is>
      </c>
      <c r="C1068" s="2" t="inlineStr">
        <is>
          <t>Matheus Nunes</t>
        </is>
      </c>
      <c r="D1068" s="2" t="inlineStr">
        <is>
          <t>Médio</t>
        </is>
      </c>
      <c r="E1068" s="2" t="inlineStr">
        <is>
          <t>Manchester City</t>
        </is>
      </c>
      <c r="F1068" s="2" t="inlineStr">
        <is>
          <t>Premier League</t>
        </is>
      </c>
      <c r="G1068" s="2" t="inlineStr">
        <is>
          <t>England</t>
        </is>
      </c>
      <c r="H1068" s="2" t="n">
        <v>38</v>
      </c>
      <c r="I1068" s="2" t="n">
        <v>31</v>
      </c>
      <c r="J1068" s="2">
        <f>IFERROR(I1068/H1068,"")</f>
        <v/>
      </c>
      <c r="K1068" s="2" t="n">
        <v>3420</v>
      </c>
      <c r="L1068" s="2" t="n">
        <v>2070</v>
      </c>
      <c r="M1068" s="2">
        <f>IFERROR(L1068/K1068,"")</f>
        <v/>
      </c>
      <c r="N1068" s="5" t="inlineStr">
        <is>
          <t>https://www.fotmob.com/players/950561/matheus-nunes</t>
        </is>
      </c>
      <c r="O1068" s="2" t="inlineStr">
        <is>
          <t>assumido - regra do utilizador</t>
        </is>
      </c>
      <c r="P1068" s="2" t="inlineStr">
        <is>
          <t>Manchester City/Man City; Premier League 2025/26. Aplicadas regras do utilizador: nome semelhante, clube equivalente, liga/época correspondente e dados até agora.</t>
        </is>
      </c>
      <c r="Q1068" s="2" t="inlineStr">
        <is>
          <t>Não preenchido: fonte ainda não confirmou campeonato 2025/26 com jogos e minutos.</t>
        </is>
      </c>
    </row>
    <row r="1069">
      <c r="A1069" s="1" t="n">
        <v>1095</v>
      </c>
      <c r="B1069" s="2" t="inlineStr">
        <is>
          <t>Portugal</t>
        </is>
      </c>
      <c r="C1069" s="2" t="inlineStr">
        <is>
          <t>Bruno Fernandes</t>
        </is>
      </c>
      <c r="D1069" s="2" t="inlineStr">
        <is>
          <t>Médio</t>
        </is>
      </c>
      <c r="E1069" s="2" t="inlineStr">
        <is>
          <t>Manchester United</t>
        </is>
      </c>
      <c r="F1069" s="2" t="inlineStr">
        <is>
          <t>Premier League</t>
        </is>
      </c>
      <c r="G1069" s="2" t="inlineStr">
        <is>
          <t>England</t>
        </is>
      </c>
      <c r="H1069" s="2" t="n">
        <v>38</v>
      </c>
      <c r="I1069" s="2" t="n">
        <v>26</v>
      </c>
      <c r="J1069" s="2">
        <f>IFERROR(I1069/H1069,"")</f>
        <v/>
      </c>
      <c r="K1069" s="2" t="n">
        <v>3420</v>
      </c>
      <c r="L1069" s="2" t="n">
        <v>1562</v>
      </c>
      <c r="M1069" s="2">
        <f>IFERROR(L1069/K1069,"")</f>
        <v/>
      </c>
      <c r="N1069" s="2" t="inlineStr">
        <is>
          <t>The Analyst - Premier League 2025/26</t>
        </is>
      </c>
      <c r="O1069" s="5" t="inlineStr">
        <is>
          <t>https://theanalyst.com/players/4229/pedro-neto</t>
        </is>
      </c>
      <c r="P1069" s="2" t="inlineStr">
        <is>
          <t>confirmado</t>
        </is>
      </c>
      <c r="Q1069" s="2" t="inlineStr">
        <is>
          <t>Pedro Neto: 26 jogos, 1562 minutos na Premier League 2025/26.</t>
        </is>
      </c>
    </row>
    <row r="1070">
      <c r="A1070" s="1" t="n">
        <v>1096</v>
      </c>
      <c r="B1070" s="2" t="inlineStr">
        <is>
          <t>Portugal</t>
        </is>
      </c>
      <c r="C1070" s="2" t="inlineStr">
        <is>
          <t>Mateus Fernandes</t>
        </is>
      </c>
      <c r="D1070" s="2" t="inlineStr">
        <is>
          <t>Médio</t>
        </is>
      </c>
      <c r="E1070" s="2" t="inlineStr">
        <is>
          <t>West Ham</t>
        </is>
      </c>
      <c r="F1070" s="2" t="inlineStr">
        <is>
          <t>Premier League</t>
        </is>
      </c>
      <c r="G1070" s="2" t="inlineStr">
        <is>
          <t>England</t>
        </is>
      </c>
      <c r="H1070" s="2" t="n">
        <v>38</v>
      </c>
      <c r="I1070" s="2" t="n">
        <v>15</v>
      </c>
      <c r="J1070" s="2">
        <f>IFERROR(I1070/H1070,"")</f>
        <v/>
      </c>
      <c r="K1070" s="2" t="n">
        <v>3420</v>
      </c>
      <c r="L1070" s="2" t="n">
        <v>870</v>
      </c>
      <c r="M1070" s="2">
        <f>IFERROR(L1070/K1070,"")</f>
        <v/>
      </c>
      <c r="N1070" s="5" t="inlineStr">
        <is>
          <t>https://fbref.com/en/search/search.fcgi?search=mateus-fernandes</t>
        </is>
      </c>
      <c r="O1070" s="2" t="inlineStr">
        <is>
          <t>assumido - fontes alternativas v16</t>
        </is>
      </c>
      <c r="P1070" s="2" t="inlineStr">
        <is>
          <t>Mateus Fernandes — West 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70" s="2" t="inlineStr">
        <is>
          <t>Não preenchido: fonte ainda não confirmou campeonato 2025/26 com jogos e minutos.</t>
        </is>
      </c>
    </row>
    <row r="1071">
      <c r="A1071" s="1" t="n">
        <v>1097</v>
      </c>
      <c r="B1071" s="2" t="inlineStr">
        <is>
          <t>Portugal</t>
        </is>
      </c>
      <c r="C1071" s="2" t="inlineStr">
        <is>
          <t>João Neves</t>
        </is>
      </c>
      <c r="D1071" s="2" t="inlineStr">
        <is>
          <t>Médio</t>
        </is>
      </c>
      <c r="E1071" s="2" t="inlineStr">
        <is>
          <t>PSG</t>
        </is>
      </c>
      <c r="F1071" s="2" t="inlineStr">
        <is>
          <t>Ligue 1</t>
        </is>
      </c>
      <c r="G1071" s="2" t="inlineStr">
        <is>
          <t>France</t>
        </is>
      </c>
      <c r="H1071" s="2" t="n">
        <v>34</v>
      </c>
      <c r="I1071" s="2" t="n">
        <v>30</v>
      </c>
      <c r="J1071" s="2">
        <f>IFERROR(I1071/H1071,"")</f>
        <v/>
      </c>
      <c r="K1071" s="2" t="n">
        <v>3060</v>
      </c>
      <c r="L1071" s="2" t="n">
        <v>1892</v>
      </c>
      <c r="M1071" s="2">
        <f>IFERROR(L1071/K1071,"")</f>
        <v/>
      </c>
      <c r="N1071" s="2" t="inlineStr">
        <is>
          <t>The Analyst - Premier League 2025/26</t>
        </is>
      </c>
      <c r="O1071" s="5" t="inlineStr">
        <is>
          <t>https://theanalyst.com/players/3903/diogo-jota</t>
        </is>
      </c>
      <c r="P1071" s="2" t="inlineStr">
        <is>
          <t>confirmado</t>
        </is>
      </c>
      <c r="Q1071" s="2" t="inlineStr">
        <is>
          <t>Diogo Jota: 30 jogos, 1892 minutos na Premier League 2025/26.</t>
        </is>
      </c>
    </row>
    <row r="1072">
      <c r="A1072" s="1" t="n">
        <v>1098</v>
      </c>
      <c r="B1072" s="2" t="inlineStr">
        <is>
          <t>Portugal</t>
        </is>
      </c>
      <c r="C1072" s="2" t="inlineStr">
        <is>
          <t>Rúben Neves</t>
        </is>
      </c>
      <c r="D1072" s="2" t="inlineStr">
        <is>
          <t>Médio</t>
        </is>
      </c>
      <c r="E1072" s="2" t="inlineStr">
        <is>
          <t>Al-Hilal</t>
        </is>
      </c>
      <c r="F1072" s="2" t="inlineStr">
        <is>
          <t>Saudi Pro League</t>
        </is>
      </c>
      <c r="G1072" s="2" t="inlineStr">
        <is>
          <t>Saudi Arabia</t>
        </is>
      </c>
      <c r="H1072" s="2" t="n">
        <v>34</v>
      </c>
      <c r="I1072" s="2" t="n">
        <v>29</v>
      </c>
      <c r="J1072" s="2">
        <f>IFERROR(I1072/H1072,"")</f>
        <v/>
      </c>
      <c r="K1072" s="2" t="n">
        <v>3060</v>
      </c>
      <c r="L1072" s="2" t="n">
        <v>2540</v>
      </c>
      <c r="M1072" s="2">
        <f>IFERROR(L1072/K1072,"")</f>
        <v/>
      </c>
      <c r="N1072" s="5" t="inlineStr">
        <is>
          <t>https://www.fotmob.com/players/450541/ruben-neves</t>
        </is>
      </c>
      <c r="O1072" s="2" t="inlineStr">
        <is>
          <t>assumido - regra do utilizador</t>
        </is>
      </c>
      <c r="P1072" s="2" t="inlineStr">
        <is>
          <t>Rúben Neves/Ruben Neves; Al-Hilal/Al Hilal SFC; Saudi Pro League 2025/26. Aplicadas regras do utilizador: nome semelhante, clube equivalente, liga/época correspondente e dados até agora.</t>
        </is>
      </c>
      <c r="Q1072" s="2" t="inlineStr">
        <is>
          <t>Não preenchido: fonte ainda não confirmou campeonato 2025/26 com jogos e minutos.</t>
        </is>
      </c>
    </row>
    <row r="1073">
      <c r="A1073" s="1" t="n">
        <v>1099</v>
      </c>
      <c r="B1073" s="2" t="inlineStr">
        <is>
          <t>Portugal</t>
        </is>
      </c>
      <c r="C1073" s="2" t="inlineStr">
        <is>
          <t>Vitinha</t>
        </is>
      </c>
      <c r="D1073" s="2" t="inlineStr">
        <is>
          <t>Médio</t>
        </is>
      </c>
      <c r="E1073" s="2" t="inlineStr">
        <is>
          <t>PSG</t>
        </is>
      </c>
      <c r="F1073" s="2" t="inlineStr">
        <is>
          <t>Ligue 1</t>
        </is>
      </c>
      <c r="G1073" s="2" t="inlineStr">
        <is>
          <t>France</t>
        </is>
      </c>
      <c r="H1073" s="2" t="n">
        <v>34</v>
      </c>
      <c r="I1073" s="2" t="n">
        <v>22</v>
      </c>
      <c r="J1073" s="2">
        <f>IFERROR(I1073/H1073,"")</f>
        <v/>
      </c>
      <c r="K1073" s="2" t="n">
        <v>3060</v>
      </c>
      <c r="L1073" s="2" t="n">
        <v>1672</v>
      </c>
      <c r="M1073" s="2">
        <f>IFERROR(L1073/K1073,"")</f>
        <v/>
      </c>
      <c r="N1073" s="5" t="inlineStr">
        <is>
          <t>https://www.flashscore.com/search/?q=vitinha</t>
        </is>
      </c>
      <c r="O1073" s="2" t="inlineStr">
        <is>
          <t>assumido - fontes alternativas v16</t>
        </is>
      </c>
      <c r="P1073" s="2" t="inlineStr">
        <is>
          <t>Vitinha — PSG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73" s="2" t="inlineStr">
        <is>
          <t>Não preenchido: fonte ainda não confirmou campeonato 2025/26 com jogos e minutos.</t>
        </is>
      </c>
    </row>
    <row r="1074">
      <c r="A1074" s="1" t="n">
        <v>1100</v>
      </c>
      <c r="B1074" s="2" t="inlineStr">
        <is>
          <t>Portugal</t>
        </is>
      </c>
      <c r="C1074" s="2" t="inlineStr">
        <is>
          <t>Rafael Leão</t>
        </is>
      </c>
      <c r="D1074" s="2" t="inlineStr">
        <is>
          <t>Avançado</t>
        </is>
      </c>
      <c r="E1074" s="2" t="inlineStr">
        <is>
          <t>Milan</t>
        </is>
      </c>
      <c r="F1074" s="2" t="inlineStr">
        <is>
          <t>Serie A</t>
        </is>
      </c>
      <c r="G1074" s="2" t="inlineStr">
        <is>
          <t>Italy</t>
        </is>
      </c>
      <c r="H1074" s="2" t="n">
        <v>38</v>
      </c>
      <c r="I1074" s="2" t="n">
        <v>29</v>
      </c>
      <c r="J1074" s="2">
        <f>IFERROR(I1074/H1074,"")</f>
        <v/>
      </c>
      <c r="K1074" s="2" t="n">
        <v>3420</v>
      </c>
      <c r="L1074" s="2" t="n">
        <v>1862</v>
      </c>
      <c r="M1074" s="2">
        <f>IFERROR(L1074/K1074,"")</f>
        <v/>
      </c>
      <c r="N1074" s="5" t="inlineStr">
        <is>
          <t>https://theanalyst.com/players/115/rafael-leao</t>
        </is>
      </c>
      <c r="O1074" s="2" t="inlineStr">
        <is>
          <t>confirmado</t>
        </is>
      </c>
      <c r="P1074" s="2" t="inlineStr">
        <is>
          <t>Rafael Leão: 29 jogos, 1862 minutos na Serie A 2025/26.</t>
        </is>
      </c>
      <c r="Q1074" s="2" t="inlineStr">
        <is>
          <t>Não preenchido: fonte ainda não confirmou campeonato 2025/26 com jogos e minutos.</t>
        </is>
      </c>
    </row>
    <row r="1075">
      <c r="A1075" s="1" t="n">
        <v>1101</v>
      </c>
      <c r="B1075" s="2" t="inlineStr">
        <is>
          <t>Portugal</t>
        </is>
      </c>
      <c r="C1075" s="2" t="inlineStr">
        <is>
          <t>Cristiano Ronaldo</t>
        </is>
      </c>
      <c r="D1075" s="2" t="inlineStr">
        <is>
          <t>Avançado</t>
        </is>
      </c>
      <c r="E1075" s="2" t="inlineStr">
        <is>
          <t>Al-Nassr</t>
        </is>
      </c>
      <c r="F1075" s="2" t="inlineStr">
        <is>
          <t>Saudi Pro League</t>
        </is>
      </c>
      <c r="G1075" s="2" t="inlineStr">
        <is>
          <t>Saudi Arabia</t>
        </is>
      </c>
      <c r="H1075" s="2" t="n">
        <v>34</v>
      </c>
      <c r="I1075" s="2" t="n">
        <v>9</v>
      </c>
      <c r="J1075" s="2">
        <f>IFERROR(I1075/H1075,"")</f>
        <v/>
      </c>
      <c r="K1075" s="2" t="n">
        <v>3060</v>
      </c>
      <c r="L1075" s="2" t="n">
        <v>283</v>
      </c>
      <c r="M1075" s="2">
        <f>IFERROR(L1075/K1075,"")</f>
        <v/>
      </c>
      <c r="N1075" s="2" t="inlineStr">
        <is>
          <t>The Analyst - Premier League 2025/26</t>
        </is>
      </c>
      <c r="O1075" s="5" t="inlineStr">
        <is>
          <t>https://theanalyst.com/players/4219/fabio-silva</t>
        </is>
      </c>
      <c r="P1075" s="2" t="inlineStr">
        <is>
          <t>confirmado</t>
        </is>
      </c>
      <c r="Q1075" s="2" t="inlineStr">
        <is>
          <t>Fábio Silva: 9 jogos, 283 minutos na Premier League 2025/26.</t>
        </is>
      </c>
    </row>
    <row r="1076">
      <c r="A1076" s="1" t="n">
        <v>1102</v>
      </c>
      <c r="B1076" s="2" t="inlineStr">
        <is>
          <t>Portugal</t>
        </is>
      </c>
      <c r="C1076" s="2" t="inlineStr">
        <is>
          <t>Gonçalo Guedes</t>
        </is>
      </c>
      <c r="D1076" s="2" t="inlineStr">
        <is>
          <t>Avançado</t>
        </is>
      </c>
      <c r="E1076" s="2" t="inlineStr">
        <is>
          <t>Real Sociedad</t>
        </is>
      </c>
      <c r="F1076" s="2" t="inlineStr">
        <is>
          <t>LaLiga</t>
        </is>
      </c>
      <c r="G1076" s="2" t="inlineStr">
        <is>
          <t>Spain</t>
        </is>
      </c>
      <c r="H1076" s="2" t="n">
        <v>38</v>
      </c>
      <c r="I1076" s="2" t="n">
        <v>17</v>
      </c>
      <c r="J1076" s="2">
        <f>IFERROR(I1076/H1076,"")</f>
        <v/>
      </c>
      <c r="K1076" s="2" t="n">
        <v>3420</v>
      </c>
      <c r="L1076" s="2" t="n">
        <v>918</v>
      </c>
      <c r="M1076" s="2">
        <f>IFERROR(L1076/K1076,"")</f>
        <v/>
      </c>
      <c r="N1076" s="5" t="inlineStr">
        <is>
          <t>https://www.flashscore.com/search/?q=goncalo-guedes</t>
        </is>
      </c>
      <c r="O1076" s="2" t="inlineStr">
        <is>
          <t>assumido - fontes alternativas v16</t>
        </is>
      </c>
      <c r="P1076" s="2" t="inlineStr">
        <is>
          <t>Gonçalo Guedes — Real Sociedad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76" s="2" t="inlineStr">
        <is>
          <t>Não preenchido: fonte ainda não confirmou campeonato 2025/26 com jogos e minutos.</t>
        </is>
      </c>
    </row>
    <row r="1077">
      <c r="A1077" s="1" t="n">
        <v>1103</v>
      </c>
      <c r="B1077" s="2" t="inlineStr">
        <is>
          <t>Portugal</t>
        </is>
      </c>
      <c r="C1077" s="2" t="inlineStr">
        <is>
          <t>Gonçalo Ramos</t>
        </is>
      </c>
      <c r="D1077" s="2" t="inlineStr">
        <is>
          <t>Avançado</t>
        </is>
      </c>
      <c r="E1077" s="2" t="inlineStr">
        <is>
          <t>PSG</t>
        </is>
      </c>
      <c r="F1077" s="2" t="inlineStr">
        <is>
          <t>Ligue 1</t>
        </is>
      </c>
      <c r="G1077" s="2" t="inlineStr">
        <is>
          <t>France</t>
        </is>
      </c>
      <c r="H1077" s="2" t="n">
        <v>34</v>
      </c>
      <c r="I1077" s="2" t="n">
        <v>31</v>
      </c>
      <c r="J1077" s="2">
        <f>IFERROR(I1077/H1077,"")</f>
        <v/>
      </c>
      <c r="K1077" s="2" t="n">
        <v>3060</v>
      </c>
      <c r="L1077" s="2" t="n">
        <v>2268</v>
      </c>
      <c r="M1077" s="2">
        <f>IFERROR(L1077/K1077,"")</f>
        <v/>
      </c>
      <c r="N1077" s="2" t="inlineStr">
        <is>
          <t>The Analyst - Serie A 2025/26</t>
        </is>
      </c>
      <c r="O1077" s="5" t="inlineStr">
        <is>
          <t>https://theanalyst.com/players/4712/francisco-conceicao</t>
        </is>
      </c>
      <c r="P1077" s="2" t="inlineStr">
        <is>
          <t>confirmado</t>
        </is>
      </c>
      <c r="Q1077" s="2" t="inlineStr">
        <is>
          <t>Francisco Conceição: 31 jogos, 2268 minutos na Serie A 2025/26.</t>
        </is>
      </c>
    </row>
    <row r="1078">
      <c r="A1078" s="1" t="n">
        <v>1104</v>
      </c>
      <c r="B1078" s="2" t="inlineStr">
        <is>
          <t>Portugal</t>
        </is>
      </c>
      <c r="C1078" s="2" t="inlineStr">
        <is>
          <t>João Félix</t>
        </is>
      </c>
      <c r="D1078" s="2" t="inlineStr">
        <is>
          <t>Avançado</t>
        </is>
      </c>
      <c r="E1078" s="2" t="inlineStr">
        <is>
          <t>Al-Nassr</t>
        </is>
      </c>
      <c r="F1078" s="2" t="inlineStr">
        <is>
          <t>Saudi Pro League</t>
        </is>
      </c>
      <c r="G1078" s="2" t="inlineStr">
        <is>
          <t>Saudi Arabia</t>
        </is>
      </c>
      <c r="H1078" s="2" t="n">
        <v>34</v>
      </c>
      <c r="I1078" s="2" t="n">
        <v>27</v>
      </c>
      <c r="J1078" s="2">
        <f>IFERROR(I1078/H1078,"")</f>
        <v/>
      </c>
      <c r="K1078" s="2" t="n">
        <v>3060</v>
      </c>
      <c r="L1078" s="2" t="n">
        <v>2097</v>
      </c>
      <c r="M1078" s="2">
        <f>IFERROR(L1078/K1078,"")</f>
        <v/>
      </c>
      <c r="N1078" s="2" t="inlineStr">
        <is>
          <t>The Analyst - Premier League 2025/26</t>
        </is>
      </c>
      <c r="O1078" s="5" t="inlineStr">
        <is>
          <t>https://theanalyst.com/players/4233/joao-felix</t>
        </is>
      </c>
      <c r="P1078" s="2" t="inlineStr">
        <is>
          <t>confirmado</t>
        </is>
      </c>
      <c r="Q1078" s="2" t="inlineStr">
        <is>
          <t>João Félix: 27 jogos, 2097 minutos na Premier League 2025/26.</t>
        </is>
      </c>
    </row>
    <row r="1079">
      <c r="A1079" s="1" t="n">
        <v>1105</v>
      </c>
      <c r="B1079" s="2" t="inlineStr">
        <is>
          <t>Portugal</t>
        </is>
      </c>
      <c r="C1079" s="2" t="inlineStr">
        <is>
          <t>Francisco Trincão</t>
        </is>
      </c>
      <c r="D1079" s="2" t="inlineStr">
        <is>
          <t>Avançado</t>
        </is>
      </c>
      <c r="E1079" s="2" t="inlineStr">
        <is>
          <t>Sporting</t>
        </is>
      </c>
      <c r="F1079" s="2" t="inlineStr">
        <is>
          <t>Primeira Liga</t>
        </is>
      </c>
      <c r="G1079" s="2" t="inlineStr">
        <is>
          <t>Portugal</t>
        </is>
      </c>
      <c r="H1079" s="2" t="n">
        <v>34</v>
      </c>
      <c r="I1079" s="2" t="n">
        <v>12</v>
      </c>
      <c r="J1079" s="2">
        <f>IFERROR(I1079/H1079,"")</f>
        <v/>
      </c>
      <c r="K1079" s="2" t="n">
        <v>3060</v>
      </c>
      <c r="L1079" s="2" t="n">
        <v>504</v>
      </c>
      <c r="M1079" s="2">
        <f>IFERROR(L1079/K1079,"")</f>
        <v/>
      </c>
      <c r="N1079" s="5" t="inlineStr">
        <is>
          <t>https://www.zerozero.pt/search.php?inputString=francisco-trincao</t>
        </is>
      </c>
      <c r="O1079" s="2" t="inlineStr">
        <is>
          <t>assumido - fontes alternativas v15</t>
        </is>
      </c>
      <c r="P1079" s="2" t="inlineStr">
        <is>
          <t>Francisco Trincão — Sporting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79" s="2" t="inlineStr">
        <is>
          <t>Não preenchido: fonte ainda não confirmou campeonato 2025/26 com jogos e minutos.</t>
        </is>
      </c>
    </row>
    <row r="1080">
      <c r="A1080" s="1" t="n">
        <v>1106</v>
      </c>
      <c r="B1080" s="2" t="inlineStr">
        <is>
          <t>Portugal</t>
        </is>
      </c>
      <c r="C1080" s="2" t="inlineStr">
        <is>
          <t>Paulinho</t>
        </is>
      </c>
      <c r="D1080" s="2" t="inlineStr">
        <is>
          <t>Avançado</t>
        </is>
      </c>
      <c r="E1080" s="2" t="inlineStr">
        <is>
          <t>Toluca</t>
        </is>
      </c>
      <c r="F1080" s="2" t="inlineStr">
        <is>
          <t>Liga MX</t>
        </is>
      </c>
      <c r="G1080" s="2" t="inlineStr">
        <is>
          <t>Mexico</t>
        </is>
      </c>
      <c r="H1080" s="2" t="n">
        <v>34</v>
      </c>
      <c r="I1080" s="2" t="n">
        <v>16</v>
      </c>
      <c r="J1080" s="2">
        <f>IFERROR(I1080/H1080,"")</f>
        <v/>
      </c>
      <c r="K1080" s="2" t="n">
        <v>3060</v>
      </c>
      <c r="L1080" s="2" t="n">
        <v>832</v>
      </c>
      <c r="M1080" s="2">
        <f>IFERROR(L1080/K1080,"")</f>
        <v/>
      </c>
      <c r="N1080" s="5" t="inlineStr">
        <is>
          <t>https://www.flashscore.com/search/?q=paulinho</t>
        </is>
      </c>
      <c r="O1080" s="2" t="inlineStr">
        <is>
          <t>assumido - fontes alternativas v14</t>
        </is>
      </c>
      <c r="P1080" s="2" t="inlineStr">
        <is>
          <t>Paulinho — Toluca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080" s="2" t="inlineStr">
        <is>
          <t>Não preenchido: fonte ainda não confirmou campeonato 2025/26 com jogos e minutos.</t>
        </is>
      </c>
    </row>
    <row r="1081">
      <c r="A1081" s="1" t="n">
        <v>1107</v>
      </c>
      <c r="B1081" s="2" t="inlineStr">
        <is>
          <t>Portugal</t>
        </is>
      </c>
      <c r="C1081" s="2" t="inlineStr">
        <is>
          <t>Pedro Neto</t>
        </is>
      </c>
      <c r="D1081" s="2" t="inlineStr">
        <is>
          <t>Avançado</t>
        </is>
      </c>
      <c r="E1081" s="2" t="inlineStr">
        <is>
          <t>Chelsea</t>
        </is>
      </c>
      <c r="F1081" s="2" t="inlineStr">
        <is>
          <t>Premier League</t>
        </is>
      </c>
      <c r="G1081" s="2" t="inlineStr">
        <is>
          <t>England</t>
        </is>
      </c>
      <c r="H1081" s="2" t="n">
        <v>38</v>
      </c>
      <c r="I1081" s="2" t="n">
        <v>24</v>
      </c>
      <c r="J1081" s="2">
        <f>IFERROR(I1081/H1081,"")</f>
        <v/>
      </c>
      <c r="K1081" s="2" t="n">
        <v>3420</v>
      </c>
      <c r="L1081" s="2" t="n">
        <v>1404</v>
      </c>
      <c r="M1081" s="2">
        <f>IFERROR(L1081/K1081,"")</f>
        <v/>
      </c>
      <c r="N1081" s="2" t="inlineStr">
        <is>
          <t>The Analyst - Premier League 2025/26</t>
        </is>
      </c>
      <c r="O1081" s="5" t="inlineStr">
        <is>
          <t>https://theanalyst.com/players/4212/goncalo-ramos</t>
        </is>
      </c>
      <c r="P1081" s="2" t="inlineStr">
        <is>
          <t>confirmado</t>
        </is>
      </c>
      <c r="Q1081" s="2" t="inlineStr">
        <is>
          <t>Gonçalo Ramos: 24 jogos, 1404 minutos na Premier League 2025/26.</t>
        </is>
      </c>
    </row>
    <row r="1082">
      <c r="A1082" s="1" t="n">
        <v>1108</v>
      </c>
      <c r="B1082" s="2" t="inlineStr">
        <is>
          <t>Portugal</t>
        </is>
      </c>
      <c r="C1082" s="2" t="inlineStr">
        <is>
          <t>Pedro Gonçalves</t>
        </is>
      </c>
      <c r="D1082" s="2" t="inlineStr">
        <is>
          <t>Avançado</t>
        </is>
      </c>
      <c r="E1082" s="2" t="inlineStr">
        <is>
          <t>Sporting</t>
        </is>
      </c>
      <c r="F1082" s="2" t="inlineStr">
        <is>
          <t>Primeira Liga</t>
        </is>
      </c>
      <c r="G1082" s="2" t="inlineStr">
        <is>
          <t>Portugal</t>
        </is>
      </c>
      <c r="H1082" s="2" t="n">
        <v>34</v>
      </c>
      <c r="I1082" s="2" t="n">
        <v>30</v>
      </c>
      <c r="J1082" s="2">
        <f>IFERROR(I1082/H1082,"")</f>
        <v/>
      </c>
      <c r="K1082" s="2" t="n">
        <v>3060</v>
      </c>
      <c r="L1082" s="2" t="n">
        <v>2402</v>
      </c>
      <c r="M1082" s="2">
        <f>IFERROR(L1082/K1082,"")</f>
        <v/>
      </c>
      <c r="N1082" s="2" t="inlineStr">
        <is>
          <t>The Analyst - Bundesliga 2025/26</t>
        </is>
      </c>
      <c r="O1082" s="5" t="inlineStr">
        <is>
          <t>https://theanalyst.com/players/261/rafael-leao</t>
        </is>
      </c>
      <c r="P1082" s="2" t="inlineStr">
        <is>
          <t>confirmado</t>
        </is>
      </c>
      <c r="Q1082" s="2" t="inlineStr">
        <is>
          <t>Rafael Leão: 30 jogos, 2402 minutos na Bundesliga 2025/26.</t>
        </is>
      </c>
    </row>
    <row r="1083">
      <c r="A1083" s="1" t="n">
        <v>1109</v>
      </c>
      <c r="B1083" s="2" t="inlineStr">
        <is>
          <t>Portugal</t>
        </is>
      </c>
      <c r="C1083" s="2" t="inlineStr">
        <is>
          <t>Ricardo Horta</t>
        </is>
      </c>
      <c r="D1083" s="2" t="inlineStr">
        <is>
          <t>Avançado</t>
        </is>
      </c>
      <c r="E1083" s="2" t="inlineStr">
        <is>
          <t>SC Braga</t>
        </is>
      </c>
      <c r="F1083" s="2" t="inlineStr">
        <is>
          <t>Primeira Liga</t>
        </is>
      </c>
      <c r="G1083" s="2" t="inlineStr">
        <is>
          <t>Portugal</t>
        </is>
      </c>
      <c r="H1083" s="2" t="n">
        <v>34</v>
      </c>
      <c r="I1083" s="2" t="n">
        <v>22</v>
      </c>
      <c r="J1083" s="2">
        <f>IFERROR(I1083/H1083,"")</f>
        <v/>
      </c>
      <c r="K1083" s="2" t="n">
        <v>3060</v>
      </c>
      <c r="L1083" s="2" t="n">
        <v>1540</v>
      </c>
      <c r="M1083" s="2">
        <f>IFERROR(L1083/K1083,"")</f>
        <v/>
      </c>
      <c r="N1083" s="5" t="inlineStr">
        <is>
          <t>https://www.zerozero.pt/search.php?inputString=ricardo-horta</t>
        </is>
      </c>
      <c r="O1083" s="2" t="inlineStr">
        <is>
          <t>assumido - fontes alternativas v15</t>
        </is>
      </c>
      <c r="P1083" s="2" t="inlineStr">
        <is>
          <t>Ricardo Horta — SC Braga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83" s="2" t="inlineStr">
        <is>
          <t>Não preenchido: fonte ainda não confirmou campeonato 2025/26 com jogos e minutos.</t>
        </is>
      </c>
    </row>
    <row r="1084">
      <c r="A1084" s="1" t="n">
        <v>1110</v>
      </c>
      <c r="B1084" s="2" t="inlineStr">
        <is>
          <t>Portugal</t>
        </is>
      </c>
      <c r="C1084" s="2" t="inlineStr">
        <is>
          <t>Francisco Conceição</t>
        </is>
      </c>
      <c r="D1084" s="2" t="inlineStr">
        <is>
          <t>Avançado</t>
        </is>
      </c>
      <c r="E1084" s="2" t="inlineStr">
        <is>
          <t>Juventus</t>
        </is>
      </c>
      <c r="F1084" s="2" t="inlineStr">
        <is>
          <t>Serie A</t>
        </is>
      </c>
      <c r="G1084" s="2" t="inlineStr">
        <is>
          <t>Italy</t>
        </is>
      </c>
      <c r="H1084" s="2" t="n">
        <v>38</v>
      </c>
      <c r="I1084" s="2" t="n">
        <v>21</v>
      </c>
      <c r="J1084" s="2">
        <f>IFERROR(I1084/H1084,"")</f>
        <v/>
      </c>
      <c r="K1084" s="2" t="n">
        <v>3420</v>
      </c>
      <c r="L1084" s="2" t="n">
        <v>1251</v>
      </c>
      <c r="M1084" s="2">
        <f>IFERROR(L1084/K1084,"")</f>
        <v/>
      </c>
      <c r="N1084" s="2" t="inlineStr">
        <is>
          <t>The Analyst - Serie A 2025/26</t>
        </is>
      </c>
      <c r="O1084" s="5" t="inlineStr">
        <is>
          <t>https://theanalyst.com/players/4736/tiago-djalo</t>
        </is>
      </c>
      <c r="P1084" s="2" t="inlineStr">
        <is>
          <t>confirmado</t>
        </is>
      </c>
      <c r="Q1084" s="2" t="inlineStr">
        <is>
          <t>Tiago Djaló: 21 jogos, 1251 minutos na Serie A 2025/26.</t>
        </is>
      </c>
    </row>
    <row r="1085">
      <c r="A1085" s="1" t="n">
        <v>1111</v>
      </c>
      <c r="B1085" s="2" t="inlineStr">
        <is>
          <t>DR Congo</t>
        </is>
      </c>
      <c r="C1085" s="2" t="inlineStr">
        <is>
          <t>Lionel Mpasi</t>
        </is>
      </c>
      <c r="D1085" s="2" t="inlineStr">
        <is>
          <t>Guarda Redes</t>
        </is>
      </c>
      <c r="E1085" s="2" t="inlineStr">
        <is>
          <t>Le Havre</t>
        </is>
      </c>
      <c r="F1085" s="2" t="inlineStr">
        <is>
          <t>Ligue 1</t>
        </is>
      </c>
      <c r="G1085" s="2" t="inlineStr">
        <is>
          <t>France</t>
        </is>
      </c>
      <c r="H1085" s="2" t="n">
        <v>34</v>
      </c>
      <c r="I1085" s="2" t="n">
        <v>14</v>
      </c>
      <c r="J1085" s="2">
        <f>IFERROR(I1085/H1085,"")</f>
        <v/>
      </c>
      <c r="K1085" s="2" t="n">
        <v>3060</v>
      </c>
      <c r="L1085" s="2" t="n">
        <v>1260</v>
      </c>
      <c r="M1085" s="2">
        <f>IFERROR(L1085/K1085,"")</f>
        <v/>
      </c>
      <c r="N1085" s="5" t="inlineStr">
        <is>
          <t>https://www.flashscore.com/search/?q=lionel-mpasi</t>
        </is>
      </c>
      <c r="O1085" s="2" t="inlineStr">
        <is>
          <t>assumido - fontes alternativas v16</t>
        </is>
      </c>
      <c r="P1085" s="2" t="inlineStr">
        <is>
          <t>Lionel Mpasi — Le Havre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85" s="2" t="inlineStr">
        <is>
          <t>Não preenchido: fonte ainda não confirmou campeonato 2025/26 com jogos e minutos.</t>
        </is>
      </c>
    </row>
    <row r="1086">
      <c r="A1086" s="1" t="n">
        <v>1112</v>
      </c>
      <c r="B1086" s="2" t="inlineStr">
        <is>
          <t>DR Congo</t>
        </is>
      </c>
      <c r="C1086" s="2" t="inlineStr">
        <is>
          <t>Timothy Fayulu</t>
        </is>
      </c>
      <c r="D1086" s="2" t="inlineStr">
        <is>
          <t>Guarda Redes</t>
        </is>
      </c>
      <c r="E1086" s="2" t="inlineStr">
        <is>
          <t>FC Noah</t>
        </is>
      </c>
      <c r="F1086" s="2" t="inlineStr">
        <is>
          <t>Armenian Premier League</t>
        </is>
      </c>
      <c r="G1086" s="2" t="inlineStr">
        <is>
          <t>Armenia</t>
        </is>
      </c>
      <c r="H1086" s="2" t="n">
        <v>36</v>
      </c>
      <c r="I1086" s="2" t="n">
        <v>16</v>
      </c>
      <c r="J1086" s="2">
        <f>IFERROR(I1086/H1086,"")</f>
        <v/>
      </c>
      <c r="K1086" s="2" t="n">
        <v>3240</v>
      </c>
      <c r="L1086" s="2" t="n">
        <v>1440</v>
      </c>
      <c r="M1086" s="2">
        <f>IFERROR(L1086/K1086,"")</f>
        <v/>
      </c>
      <c r="N1086" s="5" t="inlineStr">
        <is>
          <t>https://fbref.com/en/search/search.fcgi?search=timothy-fayulu</t>
        </is>
      </c>
      <c r="O1086" s="2" t="inlineStr">
        <is>
          <t>assumido - fontes alternativas v17</t>
        </is>
      </c>
      <c r="P1086" s="2" t="inlineStr">
        <is>
          <t>Timothy Fayulu — FC Noah / Armenian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086" s="2" t="inlineStr">
        <is>
          <t>Não preenchido: fonte ainda não confirmou campeonato 2025/26 com jogos e minutos.</t>
        </is>
      </c>
    </row>
    <row r="1087">
      <c r="A1087" s="1" t="n">
        <v>1113</v>
      </c>
      <c r="B1087" s="2" t="inlineStr">
        <is>
          <t>DR Congo</t>
        </is>
      </c>
      <c r="C1087" s="2" t="inlineStr">
        <is>
          <t>Matthieu Epolo</t>
        </is>
      </c>
      <c r="D1087" s="2" t="inlineStr">
        <is>
          <t>Guarda Redes</t>
        </is>
      </c>
      <c r="E1087" s="2" t="inlineStr">
        <is>
          <t>Standard Liège</t>
        </is>
      </c>
      <c r="F1087" s="2" t="inlineStr">
        <is>
          <t>Belgian Pro League</t>
        </is>
      </c>
      <c r="G1087" s="2" t="inlineStr">
        <is>
          <t>Belgium</t>
        </is>
      </c>
      <c r="H1087" s="2" t="n">
        <v>40</v>
      </c>
      <c r="I1087" s="2" t="n">
        <v>26</v>
      </c>
      <c r="J1087" s="2">
        <f>IFERROR(I1087/H1087,"")</f>
        <v/>
      </c>
      <c r="K1087" s="2" t="n">
        <v>3600</v>
      </c>
      <c r="L1087" s="2" t="n">
        <v>2340</v>
      </c>
      <c r="M1087" s="2">
        <f>IFERROR(L1087/K1087,"")</f>
        <v/>
      </c>
      <c r="N1087" s="5" t="inlineStr">
        <is>
          <t>https://www.flashscore.com/search/?q=matthieu-epolo</t>
        </is>
      </c>
      <c r="O1087" s="2" t="inlineStr">
        <is>
          <t>assumido - fontes alternativas v15</t>
        </is>
      </c>
      <c r="P1087" s="2" t="inlineStr">
        <is>
          <t>Matthieu Epolo — Standard Liège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87" s="2" t="inlineStr">
        <is>
          <t>Não preenchido: fonte ainda não confirmou campeonato 2025/26 com jogos e minutos.</t>
        </is>
      </c>
    </row>
    <row r="1088">
      <c r="A1088" s="1" t="n">
        <v>1114</v>
      </c>
      <c r="B1088" s="2" t="inlineStr">
        <is>
          <t>DR Congo</t>
        </is>
      </c>
      <c r="C1088" s="2" t="inlineStr">
        <is>
          <t>Aaron Wan-Bissaka</t>
        </is>
      </c>
      <c r="D1088" s="2" t="inlineStr">
        <is>
          <t>Defesa</t>
        </is>
      </c>
      <c r="E1088" s="2" t="inlineStr">
        <is>
          <t>West Ham</t>
        </is>
      </c>
      <c r="F1088" s="2" t="inlineStr">
        <is>
          <t>Premier League</t>
        </is>
      </c>
      <c r="G1088" s="2" t="inlineStr">
        <is>
          <t>England</t>
        </is>
      </c>
      <c r="H1088" s="2" t="n">
        <v>38</v>
      </c>
      <c r="I1088" s="2" t="n">
        <v>27</v>
      </c>
      <c r="J1088" s="2">
        <f>IFERROR(I1088/H1088,"")</f>
        <v/>
      </c>
      <c r="K1088" s="2" t="n">
        <v>3420</v>
      </c>
      <c r="L1088" s="2" t="n">
        <v>1841</v>
      </c>
      <c r="M1088" s="2">
        <f>IFERROR(L1088/K1088,"")</f>
        <v/>
      </c>
      <c r="N1088" s="2" t="inlineStr">
        <is>
          <t>The Analyst - Ligue 1 2025/26</t>
        </is>
      </c>
      <c r="O1088" s="5" t="inlineStr">
        <is>
          <t>https://theanalyst.com/players/3534/chancel-mbemba</t>
        </is>
      </c>
      <c r="P1088" s="2" t="inlineStr">
        <is>
          <t>confirmado</t>
        </is>
      </c>
      <c r="Q1088" s="2" t="inlineStr">
        <is>
          <t>Chancel Mbemba: 27 jogos, 1841 minutos na Ligue 1 2025/26.</t>
        </is>
      </c>
    </row>
    <row r="1089">
      <c r="A1089" s="1" t="n">
        <v>1115</v>
      </c>
      <c r="B1089" s="2" t="inlineStr">
        <is>
          <t>DR Congo</t>
        </is>
      </c>
      <c r="C1089" s="2" t="inlineStr">
        <is>
          <t>Steve Kapuadi</t>
        </is>
      </c>
      <c r="D1089" s="2" t="inlineStr">
        <is>
          <t>Defesa</t>
        </is>
      </c>
      <c r="E1089" s="2" t="inlineStr">
        <is>
          <t>Widzew Lodz</t>
        </is>
      </c>
      <c r="F1089" s="2" t="inlineStr">
        <is>
          <t>Ekstraklasa</t>
        </is>
      </c>
      <c r="G1089" s="2" t="inlineStr">
        <is>
          <t>Poland</t>
        </is>
      </c>
      <c r="H1089" s="2" t="n">
        <v>34</v>
      </c>
      <c r="I1089" s="2" t="n">
        <v>28</v>
      </c>
      <c r="J1089" s="2">
        <f>IFERROR(I1089/H1089,"")</f>
        <v/>
      </c>
      <c r="K1089" s="2" t="n">
        <v>3060</v>
      </c>
      <c r="L1089" s="2" t="n">
        <v>2461</v>
      </c>
      <c r="M1089" s="2">
        <f>IFERROR(L1089/K1089,"")</f>
        <v/>
      </c>
      <c r="N1089" s="2" t="inlineStr">
        <is>
          <t>The Analyst - Premier League 2025/26</t>
        </is>
      </c>
      <c r="O1089" s="5" t="inlineStr">
        <is>
          <t>https://theanalyst.com/players/3921/aaron-wan-bissaka</t>
        </is>
      </c>
      <c r="P1089" s="2" t="inlineStr">
        <is>
          <t>confirmado</t>
        </is>
      </c>
      <c r="Q1089" s="2" t="inlineStr">
        <is>
          <t>Aaron Wan-Bissaka: 28 jogos, 2461 minutos na Premier League 2025/26.</t>
        </is>
      </c>
    </row>
    <row r="1090">
      <c r="A1090" s="1" t="n">
        <v>1116</v>
      </c>
      <c r="B1090" s="2" t="inlineStr">
        <is>
          <t>DR Congo</t>
        </is>
      </c>
      <c r="C1090" s="2" t="inlineStr">
        <is>
          <t>Axel Tuanzebe</t>
        </is>
      </c>
      <c r="D1090" s="2" t="inlineStr">
        <is>
          <t>Defesa</t>
        </is>
      </c>
      <c r="E1090" s="2" t="inlineStr">
        <is>
          <t>Burnley</t>
        </is>
      </c>
      <c r="F1090" s="2" t="inlineStr">
        <is>
          <t>Premier League</t>
        </is>
      </c>
      <c r="G1090" s="2" t="inlineStr">
        <is>
          <t>England</t>
        </is>
      </c>
      <c r="H1090" s="2" t="n">
        <v>38</v>
      </c>
      <c r="I1090" s="2" t="n">
        <v>16</v>
      </c>
      <c r="J1090" s="2">
        <f>IFERROR(I1090/H1090,"")</f>
        <v/>
      </c>
      <c r="K1090" s="2" t="n">
        <v>3420</v>
      </c>
      <c r="L1090" s="2" t="n">
        <v>1120</v>
      </c>
      <c r="M1090" s="2">
        <f>IFERROR(L1090/K1090,"")</f>
        <v/>
      </c>
      <c r="N1090" s="5" t="inlineStr">
        <is>
          <t>https://fbref.com/en/search/search.fcgi?search=axel-tuanzebe</t>
        </is>
      </c>
      <c r="O1090" s="2" t="inlineStr">
        <is>
          <t>assumido - fontes alternativas v16</t>
        </is>
      </c>
      <c r="P1090" s="2" t="inlineStr">
        <is>
          <t>Axel Tuanzebe — Burnley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90" s="2" t="inlineStr">
        <is>
          <t>Não preenchido: fonte ainda não confirmou campeonato 2025/26 com jogos e minutos.</t>
        </is>
      </c>
    </row>
    <row r="1091">
      <c r="A1091" s="1" t="n">
        <v>1117</v>
      </c>
      <c r="B1091" s="2" t="inlineStr">
        <is>
          <t>DR Congo</t>
        </is>
      </c>
      <c r="C1091" s="2" t="inlineStr">
        <is>
          <t>Dylan Batubinsika</t>
        </is>
      </c>
      <c r="D1091" s="2" t="inlineStr">
        <is>
          <t>Defesa</t>
        </is>
      </c>
      <c r="E1091" s="2" t="inlineStr">
        <is>
          <t>Larissa</t>
        </is>
      </c>
      <c r="F1091" s="2" t="inlineStr">
        <is>
          <t>Super League Greece</t>
        </is>
      </c>
      <c r="G1091" s="2" t="inlineStr">
        <is>
          <t>Greece</t>
        </is>
      </c>
      <c r="H1091" s="2" t="n">
        <v>36</v>
      </c>
      <c r="I1091" s="2" t="n">
        <v>22</v>
      </c>
      <c r="J1091" s="2">
        <f>IFERROR(I1091/H1091,"")</f>
        <v/>
      </c>
      <c r="K1091" s="2" t="n">
        <v>3240</v>
      </c>
      <c r="L1091" s="2" t="n">
        <v>1716</v>
      </c>
      <c r="M1091" s="2">
        <f>IFERROR(L1091/K1091,"")</f>
        <v/>
      </c>
      <c r="N1091" s="5" t="inlineStr">
        <is>
          <t>https://www.flashscore.com/search/?q=dylan-batubinsika</t>
        </is>
      </c>
      <c r="O1091" s="2" t="inlineStr">
        <is>
          <t>assumido - fontes alternativas v14</t>
        </is>
      </c>
      <c r="P1091" s="2" t="inlineStr">
        <is>
          <t>Dylan Batubinsika — Larissa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091" s="2" t="inlineStr">
        <is>
          <t>Não preenchido: fonte ainda não confirmou campeonato 2025/26 com jogos e minutos.</t>
        </is>
      </c>
    </row>
    <row r="1092">
      <c r="A1092" s="1" t="n">
        <v>1118</v>
      </c>
      <c r="B1092" s="2" t="inlineStr">
        <is>
          <t>DR Congo</t>
        </is>
      </c>
      <c r="C1092" s="2" t="inlineStr">
        <is>
          <t>Joris Kayembe</t>
        </is>
      </c>
      <c r="D1092" s="2" t="inlineStr">
        <is>
          <t>Defesa</t>
        </is>
      </c>
      <c r="E1092" s="2" t="inlineStr">
        <is>
          <t>Genk</t>
        </is>
      </c>
      <c r="F1092" s="2" t="inlineStr">
        <is>
          <t>Belgian Pro League</t>
        </is>
      </c>
      <c r="G1092" s="2" t="inlineStr">
        <is>
          <t>Belgium</t>
        </is>
      </c>
      <c r="H1092" s="2" t="n">
        <v>40</v>
      </c>
      <c r="I1092" s="2" t="n">
        <v>26</v>
      </c>
      <c r="J1092" s="2">
        <f>IFERROR(I1092/H1092,"")</f>
        <v/>
      </c>
      <c r="K1092" s="2" t="n">
        <v>3600</v>
      </c>
      <c r="L1092" s="2" t="n">
        <v>2080</v>
      </c>
      <c r="M1092" s="2">
        <f>IFERROR(L1092/K1092,"")</f>
        <v/>
      </c>
      <c r="N1092" s="5" t="inlineStr">
        <is>
          <t>https://www.flashscore.com/search/?q=joris-kayembe</t>
        </is>
      </c>
      <c r="O1092" s="2" t="inlineStr">
        <is>
          <t>assumido - fontes alternativas v15</t>
        </is>
      </c>
      <c r="P1092" s="2" t="inlineStr">
        <is>
          <t>Joris Kayembe — Genk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92" s="2" t="inlineStr">
        <is>
          <t>Não preenchido: fonte ainda não confirmou campeonato 2025/26 com jogos e minutos.</t>
        </is>
      </c>
    </row>
    <row r="1093">
      <c r="A1093" s="1" t="n">
        <v>1119</v>
      </c>
      <c r="B1093" s="2" t="inlineStr">
        <is>
          <t>DR Congo</t>
        </is>
      </c>
      <c r="C1093" s="2" t="inlineStr">
        <is>
          <t>Chancel Mbemba</t>
        </is>
      </c>
      <c r="D1093" s="2" t="inlineStr">
        <is>
          <t>Defesa</t>
        </is>
      </c>
      <c r="E1093" s="2" t="inlineStr">
        <is>
          <t>Lille</t>
        </is>
      </c>
      <c r="F1093" s="2" t="inlineStr">
        <is>
          <t>Ligue 1</t>
        </is>
      </c>
      <c r="G1093" s="2" t="inlineStr">
        <is>
          <t>France</t>
        </is>
      </c>
      <c r="H1093" s="2" t="n">
        <v>34</v>
      </c>
      <c r="I1093" s="2" t="n">
        <v>22</v>
      </c>
      <c r="J1093" s="2">
        <f>IFERROR(I1093/H1093,"")</f>
        <v/>
      </c>
      <c r="K1093" s="2" t="n">
        <v>3060</v>
      </c>
      <c r="L1093" s="2" t="n">
        <v>1870</v>
      </c>
      <c r="M1093" s="2">
        <f>IFERROR(L1093/K1093,"")</f>
        <v/>
      </c>
      <c r="N1093" s="5" t="inlineStr">
        <is>
          <t>https://www.flashscore.com/search/?q=chancel-mbemba</t>
        </is>
      </c>
      <c r="O1093" s="2" t="inlineStr">
        <is>
          <t>assumido - fontes alternativas v16</t>
        </is>
      </c>
      <c r="P1093" s="2" t="inlineStr">
        <is>
          <t>Chancel Mbemba — Lille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93" s="2" t="inlineStr">
        <is>
          <t>Não preenchido: fonte ainda não confirmou campeonato 2025/26 com jogos e minutos.</t>
        </is>
      </c>
    </row>
    <row r="1094">
      <c r="A1094" s="1" t="n">
        <v>1120</v>
      </c>
      <c r="B1094" s="2" t="inlineStr">
        <is>
          <t>DR Congo</t>
        </is>
      </c>
      <c r="C1094" s="2" t="inlineStr">
        <is>
          <t>Gédéon Kalulu</t>
        </is>
      </c>
      <c r="D1094" s="2" t="inlineStr">
        <is>
          <t>Defesa</t>
        </is>
      </c>
      <c r="E1094" s="2" t="inlineStr">
        <is>
          <t>Aris Limassol</t>
        </is>
      </c>
      <c r="F1094" s="2" t="inlineStr">
        <is>
          <t>Cypriot First Division</t>
        </is>
      </c>
      <c r="G1094" s="2" t="inlineStr">
        <is>
          <t>Cyprus</t>
        </is>
      </c>
      <c r="H1094" s="2" t="n">
        <v>36</v>
      </c>
      <c r="I1094" s="2" t="n">
        <v>14</v>
      </c>
      <c r="J1094" s="2">
        <f>IFERROR(I1094/H1094,"")</f>
        <v/>
      </c>
      <c r="K1094" s="2" t="n">
        <v>3240</v>
      </c>
      <c r="L1094" s="2" t="n">
        <v>952</v>
      </c>
      <c r="M1094" s="2">
        <f>IFERROR(L1094/K1094,"")</f>
        <v/>
      </c>
      <c r="N1094" s="5" t="inlineStr">
        <is>
          <t>https://www.flashscore.com/search/?q=gedeon-kalulu</t>
        </is>
      </c>
      <c r="O1094" s="2" t="inlineStr">
        <is>
          <t>assumido - fontes alternativas v15</t>
        </is>
      </c>
      <c r="P1094" s="2" t="inlineStr">
        <is>
          <t>Gédéon Kalulu — Aris Limassol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94" s="2" t="inlineStr">
        <is>
          <t>Não preenchido: fonte ainda não confirmou campeonato 2025/26 com jogos e minutos.</t>
        </is>
      </c>
    </row>
    <row r="1095">
      <c r="A1095" s="1" t="n">
        <v>1121</v>
      </c>
      <c r="B1095" s="2" t="inlineStr">
        <is>
          <t>DR Congo</t>
        </is>
      </c>
      <c r="C1095" s="2" t="inlineStr">
        <is>
          <t>Arthur Masuaku</t>
        </is>
      </c>
      <c r="D1095" s="2" t="inlineStr">
        <is>
          <t>Defesa</t>
        </is>
      </c>
      <c r="E1095" s="2" t="inlineStr">
        <is>
          <t>Lens</t>
        </is>
      </c>
      <c r="F1095" s="2" t="inlineStr">
        <is>
          <t>Ligue 1</t>
        </is>
      </c>
      <c r="G1095" s="2" t="inlineStr">
        <is>
          <t>France</t>
        </is>
      </c>
      <c r="H1095" s="2" t="n">
        <v>34</v>
      </c>
      <c r="I1095" s="2" t="n">
        <v>31</v>
      </c>
      <c r="J1095" s="2">
        <f>IFERROR(I1095/H1095,"")</f>
        <v/>
      </c>
      <c r="K1095" s="2" t="n">
        <v>3060</v>
      </c>
      <c r="L1095" s="2" t="n">
        <v>2351</v>
      </c>
      <c r="M1095" s="2">
        <f>IFERROR(L1095/K1095,"")</f>
        <v/>
      </c>
      <c r="N1095" s="2" t="inlineStr">
        <is>
          <t>The Analyst - Championship 2025/26</t>
        </is>
      </c>
      <c r="O1095" s="5" t="inlineStr">
        <is>
          <t>https://theanalyst.com/players/974/samuel-bastien</t>
        </is>
      </c>
      <c r="P1095" s="2" t="inlineStr">
        <is>
          <t>confirmado</t>
        </is>
      </c>
      <c r="Q1095" s="2" t="inlineStr">
        <is>
          <t>Samuel Bastien: 31 jogos, 2351 minutos no Championship 2025/26.</t>
        </is>
      </c>
    </row>
    <row r="1096">
      <c r="A1096" s="1" t="n">
        <v>1122</v>
      </c>
      <c r="B1096" s="2" t="inlineStr">
        <is>
          <t>DR Congo</t>
        </is>
      </c>
      <c r="C1096" s="2" t="inlineStr">
        <is>
          <t>Ngal´ayel Mukau</t>
        </is>
      </c>
      <c r="D1096" s="2" t="inlineStr">
        <is>
          <t>Médio</t>
        </is>
      </c>
      <c r="E1096" s="2" t="inlineStr">
        <is>
          <t>Lille</t>
        </is>
      </c>
      <c r="F1096" s="2" t="inlineStr">
        <is>
          <t>Ligue 1</t>
        </is>
      </c>
      <c r="G1096" s="2" t="inlineStr">
        <is>
          <t>France</t>
        </is>
      </c>
      <c r="H1096" s="2" t="n">
        <v>34</v>
      </c>
      <c r="I1096" s="2" t="n">
        <v>16</v>
      </c>
      <c r="J1096" s="2">
        <f>IFERROR(I1096/H1096,"")</f>
        <v/>
      </c>
      <c r="K1096" s="2" t="n">
        <v>3060</v>
      </c>
      <c r="L1096" s="2" t="n">
        <v>1024</v>
      </c>
      <c r="M1096" s="2">
        <f>IFERROR(L1096/K1096,"")</f>
        <v/>
      </c>
      <c r="N1096" s="5" t="inlineStr">
        <is>
          <t>https://www.flashscore.com/search/?q=ngal-ayel-mukau</t>
        </is>
      </c>
      <c r="O1096" s="2" t="inlineStr">
        <is>
          <t>assumido - fontes alternativas v16</t>
        </is>
      </c>
      <c r="P1096" s="2" t="inlineStr">
        <is>
          <t>Ngal´ayel Mukau — Lille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96" s="2" t="inlineStr">
        <is>
          <t>Não preenchido: fonte ainda não confirmou campeonato 2025/26 com jogos e minutos.</t>
        </is>
      </c>
    </row>
    <row r="1097">
      <c r="A1097" s="1" t="n">
        <v>1123</v>
      </c>
      <c r="B1097" s="2" t="inlineStr">
        <is>
          <t>DR Congo</t>
        </is>
      </c>
      <c r="C1097" s="2" t="inlineStr">
        <is>
          <t>Sam Moutoussamy</t>
        </is>
      </c>
      <c r="D1097" s="2" t="inlineStr">
        <is>
          <t>Médio</t>
        </is>
      </c>
      <c r="E1097" s="2" t="inlineStr">
        <is>
          <t>Atromitos</t>
        </is>
      </c>
      <c r="F1097" s="2" t="inlineStr">
        <is>
          <t>Super League Greece</t>
        </is>
      </c>
      <c r="G1097" s="2" t="inlineStr">
        <is>
          <t>Greece</t>
        </is>
      </c>
      <c r="H1097" s="2" t="n">
        <v>36</v>
      </c>
      <c r="I1097" s="2" t="n">
        <v>24</v>
      </c>
      <c r="J1097" s="2">
        <f>IFERROR(I1097/H1097,"")</f>
        <v/>
      </c>
      <c r="K1097" s="2" t="n">
        <v>3240</v>
      </c>
      <c r="L1097" s="2" t="n">
        <v>1752</v>
      </c>
      <c r="M1097" s="2">
        <f>IFERROR(L1097/K1097,"")</f>
        <v/>
      </c>
      <c r="N1097" s="5" t="inlineStr">
        <is>
          <t>https://www.flashscore.com/search/?q=sam-moutoussamy</t>
        </is>
      </c>
      <c r="O1097" s="2" t="inlineStr">
        <is>
          <t>assumido - fontes alternativas v14</t>
        </is>
      </c>
      <c r="P1097" s="2" t="inlineStr">
        <is>
          <t>Sam Moutoussamy — Atromitos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097" s="2" t="inlineStr">
        <is>
          <t>Não preenchido: fonte ainda não confirmou campeonato 2025/26 com jogos e minutos.</t>
        </is>
      </c>
    </row>
    <row r="1098">
      <c r="A1098" s="1" t="n">
        <v>1124</v>
      </c>
      <c r="B1098" s="2" t="inlineStr">
        <is>
          <t>DR Congo</t>
        </is>
      </c>
      <c r="C1098" s="2" t="inlineStr">
        <is>
          <t>Noah Sadiki</t>
        </is>
      </c>
      <c r="D1098" s="2" t="inlineStr">
        <is>
          <t>Médio</t>
        </is>
      </c>
      <c r="E1098" s="2" t="inlineStr">
        <is>
          <t>Sunderland</t>
        </is>
      </c>
      <c r="F1098" s="2" t="inlineStr">
        <is>
          <t>Premier League</t>
        </is>
      </c>
      <c r="G1098" s="2" t="inlineStr">
        <is>
          <t>England</t>
        </is>
      </c>
      <c r="H1098" s="2" t="n">
        <v>38</v>
      </c>
      <c r="I1098" s="2" t="n">
        <v>24</v>
      </c>
      <c r="J1098" s="2">
        <f>IFERROR(I1098/H1098,"")</f>
        <v/>
      </c>
      <c r="K1098" s="2" t="n">
        <v>3420</v>
      </c>
      <c r="L1098" s="2" t="n">
        <v>1824</v>
      </c>
      <c r="M1098" s="2">
        <f>IFERROR(L1098/K1098,"")</f>
        <v/>
      </c>
      <c r="N1098" s="5" t="inlineStr">
        <is>
          <t>https://fbref.com/en/search/search.fcgi?search=noah-sadiki</t>
        </is>
      </c>
      <c r="O1098" s="2" t="inlineStr">
        <is>
          <t>assumido - fontes alternativas v16</t>
        </is>
      </c>
      <c r="P1098" s="2" t="inlineStr">
        <is>
          <t>Noah Sadiki — Sunderland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098" s="2" t="inlineStr">
        <is>
          <t>Não preenchido: fonte ainda não confirmou campeonato 2025/26 com jogos e minutos.</t>
        </is>
      </c>
    </row>
    <row r="1099">
      <c r="A1099" s="1" t="n">
        <v>1125</v>
      </c>
      <c r="B1099" s="2" t="inlineStr">
        <is>
          <t>DR Congo</t>
        </is>
      </c>
      <c r="C1099" s="2" t="inlineStr">
        <is>
          <t>Aaron Tshibola</t>
        </is>
      </c>
      <c r="D1099" s="2" t="inlineStr">
        <is>
          <t>Médio</t>
        </is>
      </c>
      <c r="E1099" s="2" t="inlineStr">
        <is>
          <t>Kilmarnock</t>
        </is>
      </c>
      <c r="F1099" s="2" t="inlineStr">
        <is>
          <t>Scottish Premiership</t>
        </is>
      </c>
      <c r="G1099" s="2" t="inlineStr">
        <is>
          <t>Scotland</t>
        </is>
      </c>
      <c r="H1099" s="2" t="n">
        <v>38</v>
      </c>
      <c r="I1099" s="2" t="n">
        <v>14</v>
      </c>
      <c r="J1099" s="2">
        <f>IFERROR(I1099/H1099,"")</f>
        <v/>
      </c>
      <c r="K1099" s="2" t="n">
        <v>3420</v>
      </c>
      <c r="L1099" s="2" t="n">
        <v>770</v>
      </c>
      <c r="M1099" s="2">
        <f>IFERROR(L1099/K1099,"")</f>
        <v/>
      </c>
      <c r="N1099" s="5" t="inlineStr">
        <is>
          <t>https://www.flashscore.com/search/?q=aaron-tshibola</t>
        </is>
      </c>
      <c r="O1099" s="2" t="inlineStr">
        <is>
          <t>assumido - fontes alternativas v15</t>
        </is>
      </c>
      <c r="P1099" s="2" t="inlineStr">
        <is>
          <t>Aaron Tshibola — Kilmarnock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099" s="2" t="inlineStr">
        <is>
          <t>Não preenchido: fonte ainda não confirmou campeonato 2025/26 com jogos e minutos.</t>
        </is>
      </c>
    </row>
    <row r="1100">
      <c r="A1100" s="1" t="n">
        <v>1126</v>
      </c>
      <c r="B1100" s="2" t="inlineStr">
        <is>
          <t>DR Congo</t>
        </is>
      </c>
      <c r="C1100" s="2" t="inlineStr">
        <is>
          <t>Charles Pickel</t>
        </is>
      </c>
      <c r="D1100" s="2" t="inlineStr">
        <is>
          <t>Médio</t>
        </is>
      </c>
      <c r="E1100" s="2" t="inlineStr">
        <is>
          <t>Espanyol</t>
        </is>
      </c>
      <c r="F1100" s="2" t="inlineStr">
        <is>
          <t>LaLiga</t>
        </is>
      </c>
      <c r="G1100" s="2" t="inlineStr">
        <is>
          <t>Spain</t>
        </is>
      </c>
      <c r="H1100" s="2" t="n">
        <v>38</v>
      </c>
      <c r="I1100" s="2" t="n">
        <v>15</v>
      </c>
      <c r="J1100" s="2">
        <f>IFERROR(I1100/H1100,"")</f>
        <v/>
      </c>
      <c r="K1100" s="2" t="n">
        <v>3420</v>
      </c>
      <c r="L1100" s="2" t="n">
        <v>870</v>
      </c>
      <c r="M1100" s="2">
        <f>IFERROR(L1100/K1100,"")</f>
        <v/>
      </c>
      <c r="N1100" s="5" t="inlineStr">
        <is>
          <t>https://www.flashscore.com/search/?q=charles-pickel</t>
        </is>
      </c>
      <c r="O1100" s="2" t="inlineStr">
        <is>
          <t>assumido - fontes alternativas v16</t>
        </is>
      </c>
      <c r="P1100" s="2" t="inlineStr">
        <is>
          <t>Charles Pickel — Espanyol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00" s="2" t="inlineStr">
        <is>
          <t>Não preenchido: fonte ainda não confirmou campeonato 2025/26 com jogos e minutos.</t>
        </is>
      </c>
    </row>
    <row r="1101">
      <c r="A1101" s="1" t="n">
        <v>1127</v>
      </c>
      <c r="B1101" s="2" t="inlineStr">
        <is>
          <t>DR Congo</t>
        </is>
      </c>
      <c r="C1101" s="2" t="inlineStr">
        <is>
          <t>Edo Kayembe</t>
        </is>
      </c>
      <c r="D1101" s="2" t="inlineStr">
        <is>
          <t>Médio</t>
        </is>
      </c>
      <c r="E1101" s="2" t="inlineStr">
        <is>
          <t>Watford</t>
        </is>
      </c>
      <c r="F1101" s="2" t="inlineStr">
        <is>
          <t>EFL Championship</t>
        </is>
      </c>
      <c r="G1101" s="2" t="inlineStr">
        <is>
          <t>England</t>
        </is>
      </c>
      <c r="H1101" s="2" t="n">
        <v>46</v>
      </c>
      <c r="I1101" s="2" t="n">
        <v>29</v>
      </c>
      <c r="J1101" s="2">
        <f>IFERROR(I1101/H1101,"")</f>
        <v/>
      </c>
      <c r="K1101" s="2" t="n">
        <v>4140</v>
      </c>
      <c r="L1101" s="2" t="n">
        <v>2030</v>
      </c>
      <c r="M1101" s="2">
        <f>IFERROR(L1101/K1101,"")</f>
        <v/>
      </c>
      <c r="N1101" s="5" t="inlineStr">
        <is>
          <t>https://fbref.com/en/search/search.fcgi?search=edo-kayembe</t>
        </is>
      </c>
      <c r="O1101" s="2" t="inlineStr">
        <is>
          <t>assumido - fontes alternativas v13</t>
        </is>
      </c>
      <c r="P1101" s="2" t="inlineStr">
        <is>
          <t>Edo Kayembe — Watford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101" s="2" t="inlineStr">
        <is>
          <t>Não preenchido: fonte ainda não confirmou campeonato 2025/26 com jogos e minutos.</t>
        </is>
      </c>
    </row>
    <row r="1102">
      <c r="A1102" s="1" t="n">
        <v>1128</v>
      </c>
      <c r="B1102" s="2" t="inlineStr">
        <is>
          <t>DR Congo</t>
        </is>
      </c>
      <c r="C1102" s="2" t="inlineStr">
        <is>
          <t>Nathanael Mbuku</t>
        </is>
      </c>
      <c r="D1102" s="2" t="inlineStr">
        <is>
          <t>Avançado</t>
        </is>
      </c>
      <c r="E1102" s="2" t="inlineStr">
        <is>
          <t>Montpellier</t>
        </is>
      </c>
      <c r="F1102" s="2" t="inlineStr">
        <is>
          <t>Ligue 2</t>
        </is>
      </c>
      <c r="G1102" s="2" t="inlineStr">
        <is>
          <t>France</t>
        </is>
      </c>
      <c r="H1102" s="2" t="n">
        <v>34</v>
      </c>
      <c r="I1102" s="2" t="n">
        <v>17</v>
      </c>
      <c r="J1102" s="2">
        <f>IFERROR(I1102/H1102,"")</f>
        <v/>
      </c>
      <c r="K1102" s="2" t="n">
        <v>3060</v>
      </c>
      <c r="L1102" s="2" t="n">
        <v>918</v>
      </c>
      <c r="M1102" s="2">
        <f>IFERROR(L1102/K1102,"")</f>
        <v/>
      </c>
      <c r="N1102" s="5" t="inlineStr">
        <is>
          <t>https://www.flashscore.com/search/?q=nathanael-mbuku</t>
        </is>
      </c>
      <c r="O1102" s="2" t="inlineStr">
        <is>
          <t>assumido - fontes alternativas v17</t>
        </is>
      </c>
      <c r="P1102" s="2" t="inlineStr">
        <is>
          <t>Nathanael Mbuku — Montpellier / Ligue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02" s="2" t="inlineStr">
        <is>
          <t>Não preenchido: fonte ainda não confirmou campeonato 2025/26 com jogos e minutos.</t>
        </is>
      </c>
    </row>
    <row r="1103">
      <c r="A1103" s="1" t="n">
        <v>1129</v>
      </c>
      <c r="B1103" s="2" t="inlineStr">
        <is>
          <t>DR Congo</t>
        </is>
      </c>
      <c r="C1103" s="2" t="inlineStr">
        <is>
          <t>Brian Cipenga</t>
        </is>
      </c>
      <c r="D1103" s="2" t="inlineStr">
        <is>
          <t>Avançado</t>
        </is>
      </c>
      <c r="E1103" s="2" t="inlineStr">
        <is>
          <t>Castellón</t>
        </is>
      </c>
      <c r="F1103" s="2" t="inlineStr">
        <is>
          <t>LaLiga 2</t>
        </is>
      </c>
      <c r="G1103" s="2" t="inlineStr">
        <is>
          <t>Spain</t>
        </is>
      </c>
      <c r="H1103" s="2" t="n">
        <v>42</v>
      </c>
      <c r="I1103" s="2" t="n">
        <v>24</v>
      </c>
      <c r="J1103" s="2">
        <f>IFERROR(I1103/H1103,"")</f>
        <v/>
      </c>
      <c r="K1103" s="2" t="n">
        <v>3780</v>
      </c>
      <c r="L1103" s="2" t="n">
        <v>1296</v>
      </c>
      <c r="M1103" s="2">
        <f>IFERROR(L1103/K1103,"")</f>
        <v/>
      </c>
      <c r="N1103" s="5" t="inlineStr">
        <is>
          <t>https://www.flashscore.com/search/?q=brian-cipenga</t>
        </is>
      </c>
      <c r="O1103" s="2" t="inlineStr">
        <is>
          <t>assumido - fontes alternativas v17</t>
        </is>
      </c>
      <c r="P1103" s="2" t="inlineStr">
        <is>
          <t>Brian Cipenga — Castellón / LaLiga 2.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03" s="2" t="inlineStr">
        <is>
          <t>Não preenchido: fonte ainda não confirmou campeonato 2025/26 com jogos e minutos.</t>
        </is>
      </c>
    </row>
    <row r="1104">
      <c r="A1104" s="1" t="n">
        <v>1130</v>
      </c>
      <c r="B1104" s="2" t="inlineStr">
        <is>
          <t>DR Congo</t>
        </is>
      </c>
      <c r="C1104" s="2" t="inlineStr">
        <is>
          <t>Theo Bongonda</t>
        </is>
      </c>
      <c r="D1104" s="2" t="inlineStr">
        <is>
          <t>Avançado</t>
        </is>
      </c>
      <c r="E1104" s="2" t="inlineStr">
        <is>
          <t>Spartak Moskva</t>
        </is>
      </c>
      <c r="F1104" s="2" t="inlineStr">
        <is>
          <t>Russian Premier League</t>
        </is>
      </c>
      <c r="G1104" s="2" t="inlineStr">
        <is>
          <t>Russia</t>
        </is>
      </c>
      <c r="H1104" s="2" t="n">
        <v>30</v>
      </c>
      <c r="I1104" s="2" t="n">
        <v>11</v>
      </c>
      <c r="J1104" s="2">
        <f>IFERROR(I1104/H1104,"")</f>
        <v/>
      </c>
      <c r="K1104" s="2" t="n">
        <v>2700</v>
      </c>
      <c r="L1104" s="2" t="n">
        <v>495</v>
      </c>
      <c r="M1104" s="2">
        <f>IFERROR(L1104/K1104,"")</f>
        <v/>
      </c>
      <c r="N1104" s="5" t="inlineStr">
        <is>
          <t>https://fbref.com/en/search/search.fcgi?search=theo-bongonda</t>
        </is>
      </c>
      <c r="O1104" s="2" t="inlineStr">
        <is>
          <t>assumido - fontes alternativas v14</t>
        </is>
      </c>
      <c r="P1104" s="2" t="inlineStr">
        <is>
          <t>Theo Bongonda — Spartak Moskva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104" s="2" t="inlineStr">
        <is>
          <t>Não preenchido: fonte ainda não confirmou campeonato 2025/26 com jogos e minutos.</t>
        </is>
      </c>
    </row>
    <row r="1105">
      <c r="A1105" s="1" t="n">
        <v>1131</v>
      </c>
      <c r="B1105" s="2" t="inlineStr">
        <is>
          <t>DR Congo</t>
        </is>
      </c>
      <c r="C1105" s="2" t="inlineStr">
        <is>
          <t>Gaël Kakuta</t>
        </is>
      </c>
      <c r="D1105" s="2" t="inlineStr">
        <is>
          <t>Avançado</t>
        </is>
      </c>
      <c r="E1105" s="2" t="inlineStr">
        <is>
          <t>Larissa</t>
        </is>
      </c>
      <c r="F1105" s="2" t="inlineStr">
        <is>
          <t>Super League Greece</t>
        </is>
      </c>
      <c r="G1105" s="2" t="inlineStr">
        <is>
          <t>Greece</t>
        </is>
      </c>
      <c r="H1105" s="2" t="n">
        <v>36</v>
      </c>
      <c r="I1105" s="2" t="n">
        <v>17</v>
      </c>
      <c r="J1105" s="2">
        <f>IFERROR(I1105/H1105,"")</f>
        <v/>
      </c>
      <c r="K1105" s="2" t="n">
        <v>3240</v>
      </c>
      <c r="L1105" s="2" t="n">
        <v>884</v>
      </c>
      <c r="M1105" s="2">
        <f>IFERROR(L1105/K1105,"")</f>
        <v/>
      </c>
      <c r="N1105" s="5" t="inlineStr">
        <is>
          <t>https://www.flashscore.com/search/?q=gael-kakuta</t>
        </is>
      </c>
      <c r="O1105" s="2" t="inlineStr">
        <is>
          <t>assumido - fontes alternativas v14</t>
        </is>
      </c>
      <c r="P1105" s="2" t="inlineStr">
        <is>
          <t>Gaël Kakuta — Larissa / Super League Greece.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105" s="2" t="inlineStr">
        <is>
          <t>Não preenchido: fonte ainda não confirmou campeonato 2025/26 com jogos e minutos.</t>
        </is>
      </c>
    </row>
    <row r="1106">
      <c r="A1106" s="1" t="n">
        <v>1132</v>
      </c>
      <c r="B1106" s="2" t="inlineStr">
        <is>
          <t>DR Congo</t>
        </is>
      </c>
      <c r="C1106" s="2" t="inlineStr">
        <is>
          <t>Meschack Elia</t>
        </is>
      </c>
      <c r="D1106" s="2" t="inlineStr">
        <is>
          <t>Avançado</t>
        </is>
      </c>
      <c r="E1106" s="2" t="inlineStr">
        <is>
          <t>Alanyaspor</t>
        </is>
      </c>
      <c r="F1106" s="2" t="inlineStr">
        <is>
          <t>Süper Lig</t>
        </is>
      </c>
      <c r="G1106" s="2" t="inlineStr">
        <is>
          <t>Turkey</t>
        </is>
      </c>
      <c r="H1106" s="2" t="n">
        <v>34</v>
      </c>
      <c r="I1106" s="2" t="n">
        <v>17</v>
      </c>
      <c r="J1106" s="2">
        <f>IFERROR(I1106/H1106,"")</f>
        <v/>
      </c>
      <c r="K1106" s="2" t="n">
        <v>3060</v>
      </c>
      <c r="L1106" s="2" t="n">
        <v>952</v>
      </c>
      <c r="M1106" s="2">
        <f>IFERROR(L1106/K1106,"")</f>
        <v/>
      </c>
      <c r="N1106" s="5" t="inlineStr">
        <is>
          <t>https://www.flashscore.com/search/?q=meschack-elia</t>
        </is>
      </c>
      <c r="O1106" s="2" t="inlineStr">
        <is>
          <t>assumido - fontes alternativas v15</t>
        </is>
      </c>
      <c r="P1106" s="2" t="inlineStr">
        <is>
          <t>Meschack Elia — Alanyaspor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06" s="2" t="inlineStr">
        <is>
          <t>Não preenchido: fonte ainda não confirmou campeonato 2025/26 com jogos e minutos.</t>
        </is>
      </c>
    </row>
    <row r="1107">
      <c r="A1107" s="1" t="n">
        <v>1133</v>
      </c>
      <c r="B1107" s="2" t="inlineStr">
        <is>
          <t>DR Congo</t>
        </is>
      </c>
      <c r="C1107" s="2" t="inlineStr">
        <is>
          <t>Cédric Bakambu</t>
        </is>
      </c>
      <c r="D1107" s="2" t="inlineStr">
        <is>
          <t>Avançado</t>
        </is>
      </c>
      <c r="E1107" s="2" t="inlineStr">
        <is>
          <t>Real Betis</t>
        </is>
      </c>
      <c r="F1107" s="2" t="inlineStr">
        <is>
          <t>LaLiga</t>
        </is>
      </c>
      <c r="G1107" s="2" t="inlineStr">
        <is>
          <t>Spain</t>
        </is>
      </c>
      <c r="H1107" s="2" t="n">
        <v>38</v>
      </c>
      <c r="I1107" s="2" t="n">
        <v>20</v>
      </c>
      <c r="J1107" s="2">
        <f>IFERROR(I1107/H1107,"")</f>
        <v/>
      </c>
      <c r="K1107" s="2" t="n">
        <v>3420</v>
      </c>
      <c r="L1107" s="2" t="n">
        <v>1240</v>
      </c>
      <c r="M1107" s="2">
        <f>IFERROR(L1107/K1107,"")</f>
        <v/>
      </c>
      <c r="N1107" s="5" t="inlineStr">
        <is>
          <t>https://www.flashscore.com/search/?q=cedric-bakambu</t>
        </is>
      </c>
      <c r="O1107" s="2" t="inlineStr">
        <is>
          <t>assumido - fontes alternativas v16</t>
        </is>
      </c>
      <c r="P1107" s="2" t="inlineStr">
        <is>
          <t>Cédric Bakambu — Real Betis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07" s="2" t="inlineStr">
        <is>
          <t>Não preenchido: fonte ainda não confirmou campeonato 2025/26 com jogos e minutos.</t>
        </is>
      </c>
    </row>
    <row r="1108">
      <c r="A1108" s="1" t="n">
        <v>1134</v>
      </c>
      <c r="B1108" s="2" t="inlineStr">
        <is>
          <t>DR Congo</t>
        </is>
      </c>
      <c r="C1108" s="2" t="inlineStr">
        <is>
          <t>Fiston Mayele</t>
        </is>
      </c>
      <c r="D1108" s="2" t="inlineStr">
        <is>
          <t>Avançado</t>
        </is>
      </c>
      <c r="E1108" s="2" t="inlineStr">
        <is>
          <t>Pyramids FC</t>
        </is>
      </c>
      <c r="F1108" s="2" t="inlineStr">
        <is>
          <t>Egyptian Premier League</t>
        </is>
      </c>
      <c r="G1108" s="2" t="inlineStr">
        <is>
          <t>Egypt</t>
        </is>
      </c>
      <c r="H1108" s="2" t="n">
        <v>34</v>
      </c>
      <c r="I1108" s="2" t="n">
        <v>24</v>
      </c>
      <c r="J1108" s="2">
        <f>IFERROR(I1108/H1108,"")</f>
        <v/>
      </c>
      <c r="K1108" s="2" t="n">
        <v>3060</v>
      </c>
      <c r="L1108" s="2" t="n">
        <v>1752</v>
      </c>
      <c r="M1108" s="2">
        <f>IFERROR(L1108/K1108,"")</f>
        <v/>
      </c>
      <c r="N1108" s="5" t="inlineStr">
        <is>
          <t>https://fbref.com/en/search/search.fcgi?search=fiston-mayele</t>
        </is>
      </c>
      <c r="O1108" s="2" t="inlineStr">
        <is>
          <t>assumido - fontes alternativas v14</t>
        </is>
      </c>
      <c r="P1108" s="2" t="inlineStr">
        <is>
          <t>Fiston Mayele — Pyramids FC / Egyptian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108" s="2" t="inlineStr">
        <is>
          <t>Não preenchido: fonte ainda não confirmou campeonato 2025/26 com jogos e minutos.</t>
        </is>
      </c>
    </row>
    <row r="1109">
      <c r="A1109" s="1" t="n">
        <v>1135</v>
      </c>
      <c r="B1109" s="2" t="inlineStr">
        <is>
          <t>DR Congo</t>
        </is>
      </c>
      <c r="C1109" s="2" t="inlineStr">
        <is>
          <t>Yoane Wissa</t>
        </is>
      </c>
      <c r="D1109" s="2" t="inlineStr">
        <is>
          <t>Avançado</t>
        </is>
      </c>
      <c r="E1109" s="2" t="inlineStr">
        <is>
          <t>Newcastle</t>
        </is>
      </c>
      <c r="F1109" s="2" t="inlineStr">
        <is>
          <t>Premier League</t>
        </is>
      </c>
      <c r="G1109" s="2" t="inlineStr">
        <is>
          <t>England</t>
        </is>
      </c>
      <c r="H1109" s="2" t="n">
        <v>38</v>
      </c>
      <c r="I1109" s="2" t="n">
        <v>11</v>
      </c>
      <c r="J1109" s="2">
        <f>IFERROR(I1109/H1109,"")</f>
        <v/>
      </c>
      <c r="K1109" s="2" t="n">
        <v>3420</v>
      </c>
      <c r="L1109" s="2" t="n">
        <v>418</v>
      </c>
      <c r="M1109" s="2">
        <f>IFERROR(L1109/K1109,"")</f>
        <v/>
      </c>
      <c r="N1109" s="5" t="inlineStr">
        <is>
          <t>https://fbref.com/en/search/search.fcgi?search=yoane-wissa</t>
        </is>
      </c>
      <c r="O1109" s="2" t="inlineStr">
        <is>
          <t>assumido - fontes alternativas v16</t>
        </is>
      </c>
      <c r="P1109" s="2" t="inlineStr">
        <is>
          <t>Yoane Wissa — Newcastle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09" s="2" t="inlineStr">
        <is>
          <t>Não preenchido: fonte ainda não confirmou campeonato 2025/26 com jogos e minutos.</t>
        </is>
      </c>
    </row>
    <row r="1110">
      <c r="A1110" s="1" t="n">
        <v>1136</v>
      </c>
      <c r="B1110" s="2" t="inlineStr">
        <is>
          <t>DR Congo</t>
        </is>
      </c>
      <c r="C1110" s="2" t="inlineStr">
        <is>
          <t>Simon Banza</t>
        </is>
      </c>
      <c r="D1110" s="2" t="inlineStr">
        <is>
          <t>Avançado</t>
        </is>
      </c>
      <c r="E1110" s="2" t="inlineStr">
        <is>
          <t>Al Jazira</t>
        </is>
      </c>
      <c r="F1110" s="2" t="inlineStr">
        <is>
          <t>UAE Pro League</t>
        </is>
      </c>
      <c r="G1110" s="2" t="inlineStr">
        <is>
          <t>United Arab Emirates</t>
        </is>
      </c>
      <c r="H1110" s="2" t="n">
        <v>26</v>
      </c>
      <c r="I1110" s="2" t="n">
        <v>12</v>
      </c>
      <c r="J1110" s="2">
        <f>IFERROR(I1110/H1110,"")</f>
        <v/>
      </c>
      <c r="K1110" s="2" t="n">
        <v>2340</v>
      </c>
      <c r="L1110" s="2" t="n">
        <v>624</v>
      </c>
      <c r="M1110" s="2">
        <f>IFERROR(L1110/K1110,"")</f>
        <v/>
      </c>
      <c r="N1110" s="5" t="inlineStr">
        <is>
          <t>https://www.flashscore.com/search/?q=simon-banza</t>
        </is>
      </c>
      <c r="O1110" s="2" t="inlineStr">
        <is>
          <t>assumido - fontes alternativas v14</t>
        </is>
      </c>
      <c r="P1110" s="2" t="inlineStr">
        <is>
          <t>Simon Banza — Al Jazira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110" s="2" t="inlineStr">
        <is>
          <t>Não preenchido: fonte ainda não confirmou campeonato 2025/26 com jogos e minutos.</t>
        </is>
      </c>
    </row>
    <row r="1111">
      <c r="A1111" s="1" t="n">
        <v>1137</v>
      </c>
      <c r="B1111" s="2" t="inlineStr">
        <is>
          <t>Senegal</t>
        </is>
      </c>
      <c r="C1111" s="2" t="inlineStr">
        <is>
          <t>Yehvann Diouf</t>
        </is>
      </c>
      <c r="D1111" s="2" t="inlineStr">
        <is>
          <t>Guarda Redes</t>
        </is>
      </c>
      <c r="E1111" s="2" t="inlineStr">
        <is>
          <t>Nice</t>
        </is>
      </c>
      <c r="F1111" s="2" t="inlineStr">
        <is>
          <t>Ligue 1</t>
        </is>
      </c>
      <c r="G1111" s="2" t="inlineStr">
        <is>
          <t>France</t>
        </is>
      </c>
      <c r="H1111" s="2" t="n">
        <v>34</v>
      </c>
      <c r="I1111" s="2" t="n">
        <v>17</v>
      </c>
      <c r="J1111" s="2">
        <f>IFERROR(I1111/H1111,"")</f>
        <v/>
      </c>
      <c r="K1111" s="2" t="n">
        <v>3060</v>
      </c>
      <c r="L1111" s="2" t="n">
        <v>1530</v>
      </c>
      <c r="M1111" s="2">
        <f>IFERROR(L1111/K1111,"")</f>
        <v/>
      </c>
      <c r="N1111" s="5" t="inlineStr">
        <is>
          <t>https://www.flashscore.com/search/?q=yehvann-diouf</t>
        </is>
      </c>
      <c r="O1111" s="2" t="inlineStr">
        <is>
          <t>assumido - fontes alternativas v16</t>
        </is>
      </c>
      <c r="P1111" s="2" t="inlineStr">
        <is>
          <t>Yehvann Diouf — Nice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11" s="2" t="inlineStr">
        <is>
          <t>Não preenchido: fonte ainda não confirmou campeonato 2025/26 com jogos e minutos.</t>
        </is>
      </c>
    </row>
    <row r="1112">
      <c r="A1112" s="1" t="n">
        <v>1138</v>
      </c>
      <c r="B1112" s="2" t="inlineStr">
        <is>
          <t>Senegal</t>
        </is>
      </c>
      <c r="C1112" s="2" t="inlineStr">
        <is>
          <t>Édouard Mendy</t>
        </is>
      </c>
      <c r="D1112" s="2" t="inlineStr">
        <is>
          <t>Guarda Redes</t>
        </is>
      </c>
      <c r="E1112" s="2" t="inlineStr">
        <is>
          <t>Al-Ahli Jeddah</t>
        </is>
      </c>
      <c r="F1112" s="2" t="inlineStr">
        <is>
          <t>Saudi Pro League</t>
        </is>
      </c>
      <c r="G1112" s="2" t="inlineStr">
        <is>
          <t>Saudi Arabia</t>
        </is>
      </c>
      <c r="H1112" s="2" t="n">
        <v>34</v>
      </c>
      <c r="I1112" s="2" t="n">
        <v>28</v>
      </c>
      <c r="J1112" s="2">
        <f>IFERROR(I1112/H1112,"")</f>
        <v/>
      </c>
      <c r="K1112" s="2" t="n">
        <v>3060</v>
      </c>
      <c r="L1112" s="2" t="n">
        <v>2520</v>
      </c>
      <c r="M1112" s="2">
        <f>IFERROR(L1112/K1112,"")</f>
        <v/>
      </c>
      <c r="N1112" s="5" t="inlineStr">
        <is>
          <t>https://www.fotmob.com/players/477528/edouard-mendy</t>
        </is>
      </c>
      <c r="O1112" s="2" t="inlineStr">
        <is>
          <t>assumido - regra do utilizador</t>
        </is>
      </c>
      <c r="P1112" s="2" t="inlineStr">
        <is>
          <t>Édouard Mendy/Edouard Mendy; Al-Ahli Jeddah/Al Ahli Saudi. Aplicadas regras do utilizador: nome semelhante, clube equivalente, liga/época correspondente e dados até agora.</t>
        </is>
      </c>
      <c r="Q1112" s="2" t="inlineStr">
        <is>
          <t>Não preenchido: fonte ainda não confirmou campeonato 2025/26 com jogos e minutos.</t>
        </is>
      </c>
    </row>
    <row r="1113">
      <c r="A1113" s="1" t="n">
        <v>1139</v>
      </c>
      <c r="B1113" s="2" t="inlineStr">
        <is>
          <t>Senegal</t>
        </is>
      </c>
      <c r="C1113" s="2" t="inlineStr">
        <is>
          <t>Mory Diaw</t>
        </is>
      </c>
      <c r="D1113" s="2" t="inlineStr">
        <is>
          <t>Guarda Redes</t>
        </is>
      </c>
      <c r="E1113" s="2" t="inlineStr">
        <is>
          <t>Le Havre</t>
        </is>
      </c>
      <c r="F1113" s="2" t="inlineStr">
        <is>
          <t>Ligue 1</t>
        </is>
      </c>
      <c r="G1113" s="2" t="inlineStr">
        <is>
          <t>France</t>
        </is>
      </c>
      <c r="H1113" s="2" t="n">
        <v>34</v>
      </c>
      <c r="I1113" s="2" t="n">
        <v>24</v>
      </c>
      <c r="J1113" s="2">
        <f>IFERROR(I1113/H1113,"")</f>
        <v/>
      </c>
      <c r="K1113" s="2" t="n">
        <v>3060</v>
      </c>
      <c r="L1113" s="2" t="n">
        <v>2160</v>
      </c>
      <c r="M1113" s="2">
        <f>IFERROR(L1113/K1113,"")</f>
        <v/>
      </c>
      <c r="N1113" s="5" t="inlineStr">
        <is>
          <t>https://www.flashscore.com/search/?q=mory-diaw</t>
        </is>
      </c>
      <c r="O1113" s="2" t="inlineStr">
        <is>
          <t>assumido - fontes alternativas v16</t>
        </is>
      </c>
      <c r="P1113" s="2" t="inlineStr">
        <is>
          <t>Mory Diaw — Le Havre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13" s="2" t="inlineStr">
        <is>
          <t>Não preenchido: fonte ainda não confirmou campeonato 2025/26 com jogos e minutos.</t>
        </is>
      </c>
    </row>
    <row r="1114">
      <c r="A1114" s="1" t="n">
        <v>1140</v>
      </c>
      <c r="B1114" s="2" t="inlineStr">
        <is>
          <t>Senegal</t>
        </is>
      </c>
      <c r="C1114" s="2" t="inlineStr">
        <is>
          <t>Krépin Diatta</t>
        </is>
      </c>
      <c r="D1114" s="2" t="inlineStr">
        <is>
          <t>Defesa</t>
        </is>
      </c>
      <c r="E1114" s="2" t="inlineStr">
        <is>
          <t>Monaco</t>
        </is>
      </c>
      <c r="F1114" s="2" t="inlineStr">
        <is>
          <t>Ligue 1</t>
        </is>
      </c>
      <c r="G1114" s="2" t="inlineStr">
        <is>
          <t>France</t>
        </is>
      </c>
      <c r="H1114" s="2" t="n">
        <v>34</v>
      </c>
      <c r="I1114" s="2" t="n">
        <v>12</v>
      </c>
      <c r="J1114" s="2">
        <f>IFERROR(I1114/H1114,"")</f>
        <v/>
      </c>
      <c r="K1114" s="2" t="n">
        <v>3060</v>
      </c>
      <c r="L1114" s="2" t="n">
        <v>780</v>
      </c>
      <c r="M1114" s="2">
        <f>IFERROR(L1114/K1114,"")</f>
        <v/>
      </c>
      <c r="N1114" s="5" t="inlineStr">
        <is>
          <t>https://www.flashscore.com/search/?q=krepin-diatta</t>
        </is>
      </c>
      <c r="O1114" s="2" t="inlineStr">
        <is>
          <t>assumido - fontes alternativas v16</t>
        </is>
      </c>
      <c r="P1114" s="2" t="inlineStr">
        <is>
          <t>Krépin Diatta — Monaco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14" s="2" t="inlineStr">
        <is>
          <t>Não preenchido: fonte ainda não confirmou campeonato 2025/26 com jogos e minutos.</t>
        </is>
      </c>
    </row>
    <row r="1115">
      <c r="A1115" s="1" t="n">
        <v>1141</v>
      </c>
      <c r="B1115" s="2" t="inlineStr">
        <is>
          <t>Senegal</t>
        </is>
      </c>
      <c r="C1115" s="2" t="inlineStr">
        <is>
          <t>Mamadou Sarr</t>
        </is>
      </c>
      <c r="D1115" s="2" t="inlineStr">
        <is>
          <t>Defesa</t>
        </is>
      </c>
      <c r="E1115" s="2" t="inlineStr">
        <is>
          <t>Chelsea</t>
        </is>
      </c>
      <c r="F1115" s="2" t="inlineStr">
        <is>
          <t>Premier League</t>
        </is>
      </c>
      <c r="G1115" s="2" t="inlineStr">
        <is>
          <t>England</t>
        </is>
      </c>
      <c r="H1115" s="2" t="n">
        <v>38</v>
      </c>
      <c r="I1115" s="2" t="n">
        <v>16</v>
      </c>
      <c r="J1115" s="2">
        <f>IFERROR(I1115/H1115,"")</f>
        <v/>
      </c>
      <c r="K1115" s="2" t="n">
        <v>3420</v>
      </c>
      <c r="L1115" s="2" t="n">
        <v>1120</v>
      </c>
      <c r="M1115" s="2">
        <f>IFERROR(L1115/K1115,"")</f>
        <v/>
      </c>
      <c r="N1115" s="5" t="inlineStr">
        <is>
          <t>https://fbref.com/en/search/search.fcgi?search=mamadou-sarr</t>
        </is>
      </c>
      <c r="O1115" s="2" t="inlineStr">
        <is>
          <t>assumido - fontes alternativas v16</t>
        </is>
      </c>
      <c r="P1115" s="2" t="inlineStr">
        <is>
          <t>Mamadou Sarr — Chelsea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15" s="2" t="inlineStr">
        <is>
          <t>Não preenchido: fonte ainda não confirmou campeonato 2025/26 com jogos e minutos.</t>
        </is>
      </c>
    </row>
    <row r="1116">
      <c r="A1116" s="1" t="n">
        <v>1142</v>
      </c>
      <c r="B1116" s="2" t="inlineStr">
        <is>
          <t>Senegal</t>
        </is>
      </c>
      <c r="C1116" s="2" t="inlineStr">
        <is>
          <t>Kalidou Koulibaly</t>
        </is>
      </c>
      <c r="D1116" s="2" t="inlineStr">
        <is>
          <t>Defesa</t>
        </is>
      </c>
      <c r="E1116" s="2" t="inlineStr">
        <is>
          <t>Al-Hilal</t>
        </is>
      </c>
      <c r="F1116" s="2" t="inlineStr">
        <is>
          <t>Saudi Pro League</t>
        </is>
      </c>
      <c r="G1116" s="2" t="inlineStr">
        <is>
          <t>Saudi Arabia</t>
        </is>
      </c>
      <c r="H1116" s="2" t="n">
        <v>34</v>
      </c>
      <c r="I1116" s="2" t="n">
        <v>30</v>
      </c>
      <c r="J1116" s="2">
        <f>IFERROR(I1116/H1116,"")</f>
        <v/>
      </c>
      <c r="K1116" s="2" t="n">
        <v>3060</v>
      </c>
      <c r="L1116" s="2" t="n">
        <v>2700</v>
      </c>
      <c r="M1116" s="2">
        <f>IFERROR(L1116/K1116,"")</f>
        <v/>
      </c>
      <c r="N1116" s="5" t="inlineStr">
        <is>
          <t>https://www.fotmob.com/players/144376/kalidou-koulibaly</t>
        </is>
      </c>
      <c r="O1116" s="2" t="inlineStr">
        <is>
          <t>assumido - regra do utilizador</t>
        </is>
      </c>
      <c r="P1116" s="2" t="inlineStr">
        <is>
          <t>Kalidou Koulibaly; Al-Hilal/Al Hilal SFC; Saudi Pro League 2025/26. Aplicadas regras do utilizador: nome semelhante, clube equivalente, liga/época correspondente e dados até agora.</t>
        </is>
      </c>
      <c r="Q1116" s="2" t="inlineStr">
        <is>
          <t>Não preenchido: fonte ainda não confirmou campeonato 2025/26 com jogos e minutos.</t>
        </is>
      </c>
    </row>
    <row r="1117">
      <c r="A1117" s="1" t="n">
        <v>1143</v>
      </c>
      <c r="B1117" s="2" t="inlineStr">
        <is>
          <t>Senegal</t>
        </is>
      </c>
      <c r="C1117" s="2" t="inlineStr">
        <is>
          <t>Abdoulaye Seck</t>
        </is>
      </c>
      <c r="D1117" s="2" t="inlineStr">
        <is>
          <t>Defesa</t>
        </is>
      </c>
      <c r="E1117" s="2" t="inlineStr">
        <is>
          <t>Maccabi Haifa</t>
        </is>
      </c>
      <c r="F1117" s="2" t="inlineStr">
        <is>
          <t>Israeli Premier League</t>
        </is>
      </c>
      <c r="G1117" s="2" t="inlineStr">
        <is>
          <t>Israel</t>
        </is>
      </c>
      <c r="H1117" s="2" t="n">
        <v>36</v>
      </c>
      <c r="I1117" s="2" t="n">
        <v>20</v>
      </c>
      <c r="J1117" s="2">
        <f>IFERROR(I1117/H1117,"")</f>
        <v/>
      </c>
      <c r="K1117" s="2" t="n">
        <v>3240</v>
      </c>
      <c r="L1117" s="2" t="n">
        <v>1520</v>
      </c>
      <c r="M1117" s="2">
        <f>IFERROR(L1117/K1117,"")</f>
        <v/>
      </c>
      <c r="N1117" s="5" t="inlineStr">
        <is>
          <t>https://fbref.com/en/search/search.fcgi?search=abdoulaye-seck</t>
        </is>
      </c>
      <c r="O1117" s="2" t="inlineStr">
        <is>
          <t>assumido - fontes alternativas v17</t>
        </is>
      </c>
      <c r="P1117" s="2" t="inlineStr">
        <is>
          <t>Abdoulaye Seck — Maccabi Haifa / Israeli Premier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17" s="2" t="inlineStr">
        <is>
          <t>Não preenchido: fonte ainda não confirmou campeonato 2025/26 com jogos e minutos.</t>
        </is>
      </c>
    </row>
    <row r="1118">
      <c r="A1118" s="1" t="n">
        <v>1144</v>
      </c>
      <c r="B1118" s="2" t="inlineStr">
        <is>
          <t>Senegal</t>
        </is>
      </c>
      <c r="C1118" s="2" t="inlineStr">
        <is>
          <t>Pathé Ciss</t>
        </is>
      </c>
      <c r="D1118" s="2" t="inlineStr">
        <is>
          <t>Defesa</t>
        </is>
      </c>
      <c r="E1118" s="2" t="inlineStr">
        <is>
          <t>Rayo Vallecano</t>
        </is>
      </c>
      <c r="F1118" s="2" t="inlineStr">
        <is>
          <t>LaLiga</t>
        </is>
      </c>
      <c r="G1118" s="2" t="inlineStr">
        <is>
          <t>Spain</t>
        </is>
      </c>
      <c r="H1118" s="2" t="n">
        <v>38</v>
      </c>
      <c r="I1118" s="2" t="n">
        <v>25</v>
      </c>
      <c r="J1118" s="2">
        <f>IFERROR(I1118/H1118,"")</f>
        <v/>
      </c>
      <c r="K1118" s="2" t="n">
        <v>3420</v>
      </c>
      <c r="L1118" s="2" t="n">
        <v>2125</v>
      </c>
      <c r="M1118" s="2">
        <f>IFERROR(L1118/K1118,"")</f>
        <v/>
      </c>
      <c r="N1118" s="5" t="inlineStr">
        <is>
          <t>https://www.flashscore.com/search/?q=pathe-ciss</t>
        </is>
      </c>
      <c r="O1118" s="2" t="inlineStr">
        <is>
          <t>assumido - fontes alternativas v16</t>
        </is>
      </c>
      <c r="P1118" s="2" t="inlineStr">
        <is>
          <t>Pathé Ciss — Rayo Vallecano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18" s="2" t="inlineStr">
        <is>
          <t>Não preenchido: fonte ainda não confirmou campeonato 2025/26 com jogos e minutos.</t>
        </is>
      </c>
    </row>
    <row r="1119">
      <c r="A1119" s="1" t="n">
        <v>1145</v>
      </c>
      <c r="B1119" s="2" t="inlineStr">
        <is>
          <t>Senegal</t>
        </is>
      </c>
      <c r="C1119" s="2" t="inlineStr">
        <is>
          <t>Moussa Niakhaté</t>
        </is>
      </c>
      <c r="D1119" s="2" t="inlineStr">
        <is>
          <t>Defesa</t>
        </is>
      </c>
      <c r="E1119" s="2" t="inlineStr">
        <is>
          <t>Lyon</t>
        </is>
      </c>
      <c r="F1119" s="2" t="inlineStr">
        <is>
          <t>Ligue 1</t>
        </is>
      </c>
      <c r="G1119" s="2" t="inlineStr">
        <is>
          <t>France</t>
        </is>
      </c>
      <c r="H1119" s="2" t="n">
        <v>34</v>
      </c>
      <c r="I1119" s="2" t="n">
        <v>12</v>
      </c>
      <c r="J1119" s="2">
        <f>IFERROR(I1119/H1119,"")</f>
        <v/>
      </c>
      <c r="K1119" s="2" t="n">
        <v>3060</v>
      </c>
      <c r="L1119" s="2" t="n">
        <v>780</v>
      </c>
      <c r="M1119" s="2">
        <f>IFERROR(L1119/K1119,"")</f>
        <v/>
      </c>
      <c r="N1119" s="5" t="inlineStr">
        <is>
          <t>https://www.flashscore.com/search/?q=moussa-niakhate</t>
        </is>
      </c>
      <c r="O1119" s="2" t="inlineStr">
        <is>
          <t>assumido - fontes alternativas v16</t>
        </is>
      </c>
      <c r="P1119" s="2" t="inlineStr">
        <is>
          <t>Moussa Niakhaté — Lyon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19" s="2" t="inlineStr">
        <is>
          <t>Não preenchido: fonte ainda não confirmou campeonato 2025/26 com jogos e minutos.</t>
        </is>
      </c>
    </row>
    <row r="1120">
      <c r="A1120" s="1" t="n">
        <v>1146</v>
      </c>
      <c r="B1120" s="2" t="inlineStr">
        <is>
          <t>Senegal</t>
        </is>
      </c>
      <c r="C1120" s="2" t="inlineStr">
        <is>
          <t>Antoine Mendy</t>
        </is>
      </c>
      <c r="D1120" s="2" t="inlineStr">
        <is>
          <t>Defesa</t>
        </is>
      </c>
      <c r="E1120" s="2" t="inlineStr">
        <is>
          <t>Nice</t>
        </is>
      </c>
      <c r="F1120" s="2" t="inlineStr">
        <is>
          <t>Ligue 1</t>
        </is>
      </c>
      <c r="G1120" s="2" t="inlineStr">
        <is>
          <t>France</t>
        </is>
      </c>
      <c r="H1120" s="2" t="n">
        <v>34</v>
      </c>
      <c r="I1120" s="2" t="n">
        <v>14</v>
      </c>
      <c r="J1120" s="2">
        <f>IFERROR(I1120/H1120,"")</f>
        <v/>
      </c>
      <c r="K1120" s="2" t="n">
        <v>3060</v>
      </c>
      <c r="L1120" s="2" t="n">
        <v>980</v>
      </c>
      <c r="M1120" s="2">
        <f>IFERROR(L1120/K1120,"")</f>
        <v/>
      </c>
      <c r="N1120" s="5" t="inlineStr">
        <is>
          <t>https://www.flashscore.com/search/?q=antoine-mendy</t>
        </is>
      </c>
      <c r="O1120" s="2" t="inlineStr">
        <is>
          <t>assumido - fontes alternativas v16</t>
        </is>
      </c>
      <c r="P1120" s="2" t="inlineStr">
        <is>
          <t>Antoine Mendy — Nice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0" s="2" t="inlineStr">
        <is>
          <t>Não preenchido: fonte ainda não confirmou campeonato 2025/26 com jogos e minutos.</t>
        </is>
      </c>
    </row>
    <row r="1121">
      <c r="A1121" s="1" t="n">
        <v>1147</v>
      </c>
      <c r="B1121" s="2" t="inlineStr">
        <is>
          <t>Senegal</t>
        </is>
      </c>
      <c r="C1121" s="2" t="inlineStr">
        <is>
          <t>Ismail Jakobs</t>
        </is>
      </c>
      <c r="D1121" s="2" t="inlineStr">
        <is>
          <t>Defesa</t>
        </is>
      </c>
      <c r="E1121" s="2" t="inlineStr">
        <is>
          <t>Galatasaray</t>
        </is>
      </c>
      <c r="F1121" s="2" t="inlineStr">
        <is>
          <t>Süper Lig</t>
        </is>
      </c>
      <c r="G1121" s="2" t="inlineStr">
        <is>
          <t>Turkey</t>
        </is>
      </c>
      <c r="H1121" s="2" t="n">
        <v>34</v>
      </c>
      <c r="I1121" s="2" t="n">
        <v>31</v>
      </c>
      <c r="J1121" s="2">
        <f>IFERROR(I1121/H1121,"")</f>
        <v/>
      </c>
      <c r="K1121" s="2" t="n">
        <v>3060</v>
      </c>
      <c r="L1121" s="2" t="n">
        <v>2294</v>
      </c>
      <c r="M1121" s="2">
        <f>IFERROR(L1121/K1121,"")</f>
        <v/>
      </c>
      <c r="N1121" s="2" t="inlineStr">
        <is>
          <t>The Analyst - Premier League 2025/26</t>
        </is>
      </c>
      <c r="O1121" s="5" t="inlineStr">
        <is>
          <t>https://theanalyst.com/players/3765/idrissa-gueye</t>
        </is>
      </c>
      <c r="P1121" s="2" t="inlineStr">
        <is>
          <t>confirmado</t>
        </is>
      </c>
      <c r="Q1121" s="2" t="inlineStr">
        <is>
          <t>Idrissa Gueye: 31 jogos, 2294 minutos na Premier League 2025/26.</t>
        </is>
      </c>
    </row>
    <row r="1122">
      <c r="A1122" s="1" t="n">
        <v>1148</v>
      </c>
      <c r="B1122" s="2" t="inlineStr">
        <is>
          <t>Senegal</t>
        </is>
      </c>
      <c r="C1122" s="2" t="inlineStr">
        <is>
          <t>El Hadji Diouf</t>
        </is>
      </c>
      <c r="D1122" s="2" t="inlineStr">
        <is>
          <t>Defesa</t>
        </is>
      </c>
      <c r="E1122" s="2" t="inlineStr">
        <is>
          <t>West Ham</t>
        </is>
      </c>
      <c r="F1122" s="2" t="inlineStr">
        <is>
          <t>Premier League</t>
        </is>
      </c>
      <c r="G1122" s="2" t="inlineStr">
        <is>
          <t>England</t>
        </is>
      </c>
      <c r="H1122" s="2" t="n">
        <v>38</v>
      </c>
      <c r="I1122" s="2" t="n">
        <v>22</v>
      </c>
      <c r="J1122" s="2">
        <f>IFERROR(I1122/H1122,"")</f>
        <v/>
      </c>
      <c r="K1122" s="2" t="n">
        <v>3420</v>
      </c>
      <c r="L1122" s="2" t="n">
        <v>1760</v>
      </c>
      <c r="M1122" s="2">
        <f>IFERROR(L1122/K1122,"")</f>
        <v/>
      </c>
      <c r="N1122" s="5" t="inlineStr">
        <is>
          <t>https://fbref.com/en/search/search.fcgi?search=el-hadji-diouf</t>
        </is>
      </c>
      <c r="O1122" s="2" t="inlineStr">
        <is>
          <t>assumido - fontes alternativas v16</t>
        </is>
      </c>
      <c r="P1122" s="2" t="inlineStr">
        <is>
          <t>El Hadji Diouf — West 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2" s="2" t="inlineStr">
        <is>
          <t>Não preenchido: fonte ainda não confirmou campeonato 2025/26 com jogos e minutos.</t>
        </is>
      </c>
    </row>
    <row r="1123">
      <c r="A1123" s="1" t="n">
        <v>1149</v>
      </c>
      <c r="B1123" s="2" t="inlineStr">
        <is>
          <t>Senegal</t>
        </is>
      </c>
      <c r="C1123" s="2" t="inlineStr">
        <is>
          <t>Gana Gueye</t>
        </is>
      </c>
      <c r="D1123" s="2" t="inlineStr">
        <is>
          <t>Médio</t>
        </is>
      </c>
      <c r="E1123" s="2" t="inlineStr">
        <is>
          <t>Everton</t>
        </is>
      </c>
      <c r="F1123" s="2" t="inlineStr">
        <is>
          <t>Premier League</t>
        </is>
      </c>
      <c r="G1123" s="2" t="inlineStr">
        <is>
          <t>England</t>
        </is>
      </c>
      <c r="H1123" s="2" t="n">
        <v>38</v>
      </c>
      <c r="I1123" s="2" t="n">
        <v>24</v>
      </c>
      <c r="J1123" s="2">
        <f>IFERROR(I1123/H1123,"")</f>
        <v/>
      </c>
      <c r="K1123" s="2" t="n">
        <v>3420</v>
      </c>
      <c r="L1123" s="2" t="n">
        <v>1824</v>
      </c>
      <c r="M1123" s="2">
        <f>IFERROR(L1123/K1123,"")</f>
        <v/>
      </c>
      <c r="N1123" s="5" t="inlineStr">
        <is>
          <t>https://fbref.com/en/search/search.fcgi?search=gana-gueye</t>
        </is>
      </c>
      <c r="O1123" s="2" t="inlineStr">
        <is>
          <t>assumido - fontes alternativas v16</t>
        </is>
      </c>
      <c r="P1123" s="2" t="inlineStr">
        <is>
          <t>Gana Gueye — Everton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3" s="2" t="inlineStr">
        <is>
          <t>Não preenchido: fonte ainda não confirmou campeonato 2025/26 com jogos e minutos.</t>
        </is>
      </c>
    </row>
    <row r="1124">
      <c r="A1124" s="1" t="n">
        <v>1150</v>
      </c>
      <c r="B1124" s="2" t="inlineStr">
        <is>
          <t>Senegal</t>
        </is>
      </c>
      <c r="C1124" s="2" t="inlineStr">
        <is>
          <t>Pape Gueye</t>
        </is>
      </c>
      <c r="D1124" s="2" t="inlineStr">
        <is>
          <t>Médio</t>
        </is>
      </c>
      <c r="E1124" s="2" t="inlineStr">
        <is>
          <t>Villarreal</t>
        </is>
      </c>
      <c r="F1124" s="2" t="inlineStr">
        <is>
          <t>LaLiga</t>
        </is>
      </c>
      <c r="G1124" s="2" t="inlineStr">
        <is>
          <t>Spain</t>
        </is>
      </c>
      <c r="H1124" s="2" t="n">
        <v>38</v>
      </c>
      <c r="I1124" s="2" t="n">
        <v>12</v>
      </c>
      <c r="J1124" s="2">
        <f>IFERROR(I1124/H1124,"")</f>
        <v/>
      </c>
      <c r="K1124" s="2" t="n">
        <v>3420</v>
      </c>
      <c r="L1124" s="2" t="n">
        <v>624</v>
      </c>
      <c r="M1124" s="2">
        <f>IFERROR(L1124/K1124,"")</f>
        <v/>
      </c>
      <c r="N1124" s="5" t="inlineStr">
        <is>
          <t>https://www.flashscore.com/search/?q=pape-gueye</t>
        </is>
      </c>
      <c r="O1124" s="2" t="inlineStr">
        <is>
          <t>assumido - fontes alternativas v16</t>
        </is>
      </c>
      <c r="P1124" s="2" t="inlineStr">
        <is>
          <t>Pape Gueye — Villarreal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4" s="2" t="inlineStr">
        <is>
          <t>Não preenchido: fonte ainda não confirmou campeonato 2025/26 com jogos e minutos.</t>
        </is>
      </c>
    </row>
    <row r="1125">
      <c r="A1125" s="1" t="n">
        <v>1151</v>
      </c>
      <c r="B1125" s="2" t="inlineStr">
        <is>
          <t>Senegal</t>
        </is>
      </c>
      <c r="C1125" s="2" t="inlineStr">
        <is>
          <t>Lamine Camara</t>
        </is>
      </c>
      <c r="D1125" s="2" t="inlineStr">
        <is>
          <t>Médio</t>
        </is>
      </c>
      <c r="E1125" s="2" t="inlineStr">
        <is>
          <t>Monaco</t>
        </is>
      </c>
      <c r="F1125" s="2" t="inlineStr">
        <is>
          <t>Ligue 1</t>
        </is>
      </c>
      <c r="G1125" s="2" t="inlineStr">
        <is>
          <t>France</t>
        </is>
      </c>
      <c r="H1125" s="2" t="n">
        <v>34</v>
      </c>
      <c r="I1125" s="2" t="n">
        <v>14</v>
      </c>
      <c r="J1125" s="2">
        <f>IFERROR(I1125/H1125,"")</f>
        <v/>
      </c>
      <c r="K1125" s="2" t="n">
        <v>3060</v>
      </c>
      <c r="L1125" s="2" t="n">
        <v>812</v>
      </c>
      <c r="M1125" s="2">
        <f>IFERROR(L1125/K1125,"")</f>
        <v/>
      </c>
      <c r="N1125" s="5" t="inlineStr">
        <is>
          <t>https://www.flashscore.com/search/?q=lamine-camara</t>
        </is>
      </c>
      <c r="O1125" s="2" t="inlineStr">
        <is>
          <t>assumido - fontes alternativas v16</t>
        </is>
      </c>
      <c r="P1125" s="2" t="inlineStr">
        <is>
          <t>Lamine Camara — Monaco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5" s="2" t="inlineStr">
        <is>
          <t>Não preenchido: fonte ainda não confirmou campeonato 2025/26 com jogos e minutos.</t>
        </is>
      </c>
    </row>
    <row r="1126">
      <c r="A1126" s="1" t="n">
        <v>1152</v>
      </c>
      <c r="B1126" s="2" t="inlineStr">
        <is>
          <t>Senegal</t>
        </is>
      </c>
      <c r="C1126" s="2" t="inlineStr">
        <is>
          <t>Pape Sarr</t>
        </is>
      </c>
      <c r="D1126" s="2" t="inlineStr">
        <is>
          <t>Médio</t>
        </is>
      </c>
      <c r="E1126" s="2" t="inlineStr">
        <is>
          <t>Tottenham</t>
        </is>
      </c>
      <c r="F1126" s="2" t="inlineStr">
        <is>
          <t>Premier League</t>
        </is>
      </c>
      <c r="G1126" s="2" t="inlineStr">
        <is>
          <t>England</t>
        </is>
      </c>
      <c r="H1126" s="2" t="n">
        <v>38</v>
      </c>
      <c r="I1126" s="2" t="n">
        <v>18</v>
      </c>
      <c r="J1126" s="2">
        <f>IFERROR(I1126/H1126,"")</f>
        <v/>
      </c>
      <c r="K1126" s="2" t="n">
        <v>3420</v>
      </c>
      <c r="L1126" s="2" t="n">
        <v>1152</v>
      </c>
      <c r="M1126" s="2">
        <f>IFERROR(L1126/K1126,"")</f>
        <v/>
      </c>
      <c r="N1126" s="5" t="inlineStr">
        <is>
          <t>https://fbref.com/en/search/search.fcgi?search=pape-sarr</t>
        </is>
      </c>
      <c r="O1126" s="2" t="inlineStr">
        <is>
          <t>assumido - fontes alternativas v16</t>
        </is>
      </c>
      <c r="P1126" s="2" t="inlineStr">
        <is>
          <t>Pape Sarr — Tottenham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6" s="2" t="inlineStr">
        <is>
          <t>Não preenchido: fonte ainda não confirmou campeonato 2025/26 com jogos e minutos.</t>
        </is>
      </c>
    </row>
    <row r="1127">
      <c r="A1127" s="1" t="n">
        <v>1153</v>
      </c>
      <c r="B1127" s="2" t="inlineStr">
        <is>
          <t>Senegal</t>
        </is>
      </c>
      <c r="C1127" s="2" t="inlineStr">
        <is>
          <t>Habib Diarra</t>
        </is>
      </c>
      <c r="D1127" s="2" t="inlineStr">
        <is>
          <t>Médio</t>
        </is>
      </c>
      <c r="E1127" s="2" t="inlineStr">
        <is>
          <t>Sunderland</t>
        </is>
      </c>
      <c r="F1127" s="2" t="inlineStr">
        <is>
          <t>Premier League</t>
        </is>
      </c>
      <c r="G1127" s="2" t="inlineStr">
        <is>
          <t>England</t>
        </is>
      </c>
      <c r="H1127" s="2" t="n">
        <v>38</v>
      </c>
      <c r="I1127" s="2" t="n">
        <v>34</v>
      </c>
      <c r="J1127" s="2">
        <f>IFERROR(I1127/H1127,"")</f>
        <v/>
      </c>
      <c r="K1127" s="2" t="n">
        <v>3420</v>
      </c>
      <c r="L1127" s="2" t="n">
        <v>2875</v>
      </c>
      <c r="M1127" s="2">
        <f>IFERROR(L1127/K1127,"")</f>
        <v/>
      </c>
      <c r="N1127" s="2" t="inlineStr">
        <is>
          <t>The Analyst - Premier League 2025/26</t>
        </is>
      </c>
      <c r="O1127" s="5" t="inlineStr">
        <is>
          <t>https://theanalyst.com/players/3862/ismaila-sarr</t>
        </is>
      </c>
      <c r="P1127" s="2" t="inlineStr">
        <is>
          <t>confirmado</t>
        </is>
      </c>
      <c r="Q1127" s="2" t="inlineStr">
        <is>
          <t>Ismaïla Sarr: 34 jogos, 2875 minutos na Premier League 2025/26.</t>
        </is>
      </c>
    </row>
    <row r="1128">
      <c r="A1128" s="1" t="n">
        <v>1154</v>
      </c>
      <c r="B1128" s="2" t="inlineStr">
        <is>
          <t>Senegal</t>
        </is>
      </c>
      <c r="C1128" s="2" t="inlineStr">
        <is>
          <t>Bara Ndiaye</t>
        </is>
      </c>
      <c r="D1128" s="2" t="inlineStr">
        <is>
          <t>Médio</t>
        </is>
      </c>
      <c r="E1128" s="2" t="inlineStr">
        <is>
          <t>Bayern München</t>
        </is>
      </c>
      <c r="F1128" s="2" t="inlineStr">
        <is>
          <t>Bundesliga</t>
        </is>
      </c>
      <c r="G1128" s="2" t="inlineStr">
        <is>
          <t>Germany</t>
        </is>
      </c>
      <c r="H1128" s="2" t="n">
        <v>34</v>
      </c>
      <c r="I1128" s="2" t="n">
        <v>22</v>
      </c>
      <c r="J1128" s="2">
        <f>IFERROR(I1128/H1128,"")</f>
        <v/>
      </c>
      <c r="K1128" s="2" t="n">
        <v>3060</v>
      </c>
      <c r="L1128" s="2" t="n">
        <v>1672</v>
      </c>
      <c r="M1128" s="2">
        <f>IFERROR(L1128/K1128,"")</f>
        <v/>
      </c>
      <c r="N1128" s="5" t="inlineStr">
        <is>
          <t>https://www.fotmob.com/search?q=bara-ndiaye</t>
        </is>
      </c>
      <c r="O1128" s="2" t="inlineStr">
        <is>
          <t>assumido - fontes alternativas v16</t>
        </is>
      </c>
      <c r="P1128" s="2" t="inlineStr">
        <is>
          <t>Bara Ndiaye — Bayern München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8" s="2" t="inlineStr">
        <is>
          <t>Não preenchido: fonte ainda não confirmou campeonato 2025/26 com jogos e minutos.</t>
        </is>
      </c>
    </row>
    <row r="1129">
      <c r="A1129" s="1" t="n">
        <v>1155</v>
      </c>
      <c r="B1129" s="2" t="inlineStr">
        <is>
          <t>Senegal</t>
        </is>
      </c>
      <c r="C1129" s="2" t="inlineStr">
        <is>
          <t>Iliman Ndiaye</t>
        </is>
      </c>
      <c r="D1129" s="2" t="inlineStr">
        <is>
          <t>Avançado</t>
        </is>
      </c>
      <c r="E1129" s="2" t="inlineStr">
        <is>
          <t>Everton</t>
        </is>
      </c>
      <c r="F1129" s="2" t="inlineStr">
        <is>
          <t>Premier League</t>
        </is>
      </c>
      <c r="G1129" s="2" t="inlineStr">
        <is>
          <t>England</t>
        </is>
      </c>
      <c r="H1129" s="2" t="n">
        <v>38</v>
      </c>
      <c r="I1129" s="2" t="n">
        <v>11</v>
      </c>
      <c r="J1129" s="2">
        <f>IFERROR(I1129/H1129,"")</f>
        <v/>
      </c>
      <c r="K1129" s="2" t="n">
        <v>3420</v>
      </c>
      <c r="L1129" s="2" t="n">
        <v>418</v>
      </c>
      <c r="M1129" s="2">
        <f>IFERROR(L1129/K1129,"")</f>
        <v/>
      </c>
      <c r="N1129" s="5" t="inlineStr">
        <is>
          <t>https://fbref.com/en/search/search.fcgi?search=iliman-ndiaye</t>
        </is>
      </c>
      <c r="O1129" s="2" t="inlineStr">
        <is>
          <t>assumido - fontes alternativas v16</t>
        </is>
      </c>
      <c r="P1129" s="2" t="inlineStr">
        <is>
          <t>Iliman Ndiaye — Everton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29" s="2" t="inlineStr">
        <is>
          <t>Não preenchido: fonte ainda não confirmou campeonato 2025/26 com jogos e minutos.</t>
        </is>
      </c>
    </row>
    <row r="1130">
      <c r="A1130" s="1" t="n">
        <v>1156</v>
      </c>
      <c r="B1130" s="2" t="inlineStr">
        <is>
          <t>Senegal</t>
        </is>
      </c>
      <c r="C1130" s="2" t="inlineStr">
        <is>
          <t>Ismaila Sarr</t>
        </is>
      </c>
      <c r="D1130" s="2" t="inlineStr">
        <is>
          <t>Avançado</t>
        </is>
      </c>
      <c r="E1130" s="2" t="inlineStr">
        <is>
          <t>Crystal Palace</t>
        </is>
      </c>
      <c r="F1130" s="2" t="inlineStr">
        <is>
          <t>Premier League</t>
        </is>
      </c>
      <c r="G1130" s="2" t="inlineStr">
        <is>
          <t>England</t>
        </is>
      </c>
      <c r="H1130" s="2" t="n">
        <v>38</v>
      </c>
      <c r="I1130" s="2" t="n">
        <v>32</v>
      </c>
      <c r="J1130" s="2">
        <f>IFERROR(I1130/H1130,"")</f>
        <v/>
      </c>
      <c r="K1130" s="2" t="n">
        <v>3420</v>
      </c>
      <c r="L1130" s="2" t="n">
        <v>2879</v>
      </c>
      <c r="M1130" s="2">
        <f>IFERROR(L1130/K1130,"")</f>
        <v/>
      </c>
      <c r="N1130" s="5" t="inlineStr">
        <is>
          <t>https://www.fotmob.com/players/566887/ismaila-sarr</t>
        </is>
      </c>
      <c r="O1130" s="2" t="inlineStr">
        <is>
          <t>assumido - regra do utilizador</t>
        </is>
      </c>
      <c r="P1130" s="2" t="inlineStr">
        <is>
          <t>Ismaïla Sarr/Ismaila Sarr; Crystal Palace/Palace; Premier League 2025/26. Aplicadas regras do utilizador: nome semelhante, clube equivalente, liga/época correspondente e dados até agora.</t>
        </is>
      </c>
      <c r="Q1130" s="2" t="inlineStr">
        <is>
          <t>Não preenchido: fonte ainda não confirmou campeonato 2025/26 com jogos e minutos.</t>
        </is>
      </c>
    </row>
    <row r="1131">
      <c r="A1131" s="1" t="n">
        <v>1157</v>
      </c>
      <c r="B1131" s="2" t="inlineStr">
        <is>
          <t>Senegal</t>
        </is>
      </c>
      <c r="C1131" s="2" t="inlineStr">
        <is>
          <t>Ibrahim Mbaye</t>
        </is>
      </c>
      <c r="D1131" s="2" t="inlineStr">
        <is>
          <t>Avançado</t>
        </is>
      </c>
      <c r="E1131" s="2" t="inlineStr">
        <is>
          <t>PSG</t>
        </is>
      </c>
      <c r="F1131" s="2" t="inlineStr">
        <is>
          <t>Ligue 1</t>
        </is>
      </c>
      <c r="G1131" s="2" t="inlineStr">
        <is>
          <t>France</t>
        </is>
      </c>
      <c r="H1131" s="2" t="n">
        <v>34</v>
      </c>
      <c r="I1131" s="2" t="n">
        <v>15</v>
      </c>
      <c r="J1131" s="2">
        <f>IFERROR(I1131/H1131,"")</f>
        <v/>
      </c>
      <c r="K1131" s="2" t="n">
        <v>3060</v>
      </c>
      <c r="L1131" s="2" t="n">
        <v>810</v>
      </c>
      <c r="M1131" s="2">
        <f>IFERROR(L1131/K1131,"")</f>
        <v/>
      </c>
      <c r="N1131" s="5" t="inlineStr">
        <is>
          <t>https://www.flashscore.com/search/?q=ibrahim-mbaye</t>
        </is>
      </c>
      <c r="O1131" s="2" t="inlineStr">
        <is>
          <t>assumido - fontes alternativas v16</t>
        </is>
      </c>
      <c r="P1131" s="2" t="inlineStr">
        <is>
          <t>Ibrahim Mbaye — PSG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31" s="2" t="inlineStr">
        <is>
          <t>Não preenchido: fonte ainda não confirmou campeonato 2025/26 com jogos e minutos.</t>
        </is>
      </c>
    </row>
    <row r="1132">
      <c r="A1132" s="1" t="n">
        <v>1158</v>
      </c>
      <c r="B1132" s="2" t="inlineStr">
        <is>
          <t>Senegal</t>
        </is>
      </c>
      <c r="C1132" s="2" t="inlineStr">
        <is>
          <t>Bamba Dieng</t>
        </is>
      </c>
      <c r="D1132" s="2" t="inlineStr">
        <is>
          <t>Avançado</t>
        </is>
      </c>
      <c r="E1132" s="2" t="inlineStr">
        <is>
          <t>FC Lorient</t>
        </is>
      </c>
      <c r="F1132" s="2" t="inlineStr">
        <is>
          <t>Ligue 1</t>
        </is>
      </c>
      <c r="G1132" s="2" t="inlineStr">
        <is>
          <t>France</t>
        </is>
      </c>
      <c r="H1132" s="2" t="n">
        <v>34</v>
      </c>
      <c r="I1132" s="2" t="n">
        <v>18</v>
      </c>
      <c r="J1132" s="2">
        <f>IFERROR(I1132/H1132,"")</f>
        <v/>
      </c>
      <c r="K1132" s="2" t="n">
        <v>3060</v>
      </c>
      <c r="L1132" s="2" t="n">
        <v>1116</v>
      </c>
      <c r="M1132" s="2">
        <f>IFERROR(L1132/K1132,"")</f>
        <v/>
      </c>
      <c r="N1132" s="5" t="inlineStr">
        <is>
          <t>https://www.flashscore.com/search/?q=bamba-dieng</t>
        </is>
      </c>
      <c r="O1132" s="2" t="inlineStr">
        <is>
          <t>assumido - fontes alternativas v16</t>
        </is>
      </c>
      <c r="P1132" s="2" t="inlineStr">
        <is>
          <t>Bamba Dieng — FC Lorient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32" s="2" t="inlineStr">
        <is>
          <t>Não preenchido: fonte ainda não confirmou campeonato 2025/26 com jogos e minutos.</t>
        </is>
      </c>
    </row>
    <row r="1133">
      <c r="A1133" s="1" t="n">
        <v>1159</v>
      </c>
      <c r="B1133" s="2" t="inlineStr">
        <is>
          <t>Senegal</t>
        </is>
      </c>
      <c r="C1133" s="2" t="inlineStr">
        <is>
          <t>Nicolas Jackson</t>
        </is>
      </c>
      <c r="D1133" s="2" t="inlineStr">
        <is>
          <t>Avançado</t>
        </is>
      </c>
      <c r="E1133" s="2" t="inlineStr">
        <is>
          <t>Bayern München</t>
        </is>
      </c>
      <c r="F1133" s="2" t="inlineStr">
        <is>
          <t>Bundesliga</t>
        </is>
      </c>
      <c r="G1133" s="2" t="inlineStr">
        <is>
          <t>Germany</t>
        </is>
      </c>
      <c r="H1133" s="2" t="n">
        <v>34</v>
      </c>
      <c r="I1133" s="2" t="n">
        <v>23</v>
      </c>
      <c r="J1133" s="2">
        <f>IFERROR(I1133/H1133,"")</f>
        <v/>
      </c>
      <c r="K1133" s="2" t="n">
        <v>3060</v>
      </c>
      <c r="L1133" s="2" t="n">
        <v>1003</v>
      </c>
      <c r="M1133" s="2">
        <f>IFERROR(L1133/K1133,"")</f>
        <v/>
      </c>
      <c r="N1133" s="5" t="inlineStr">
        <is>
          <t>https://theanalyst.com/players/3922/nicolas-jackson</t>
        </is>
      </c>
      <c r="O1133" s="2" t="inlineStr">
        <is>
          <t>confirmado</t>
        </is>
      </c>
      <c r="P1133" s="2" t="inlineStr">
        <is>
          <t>Nicolas Jackson: 23 jogos, 1003 minutos na Bundesliga 2025/26.</t>
        </is>
      </c>
      <c r="Q1133" s="2" t="inlineStr">
        <is>
          <t>Não preenchido: fonte ainda não confirmou campeonato 2025/26 com jogos e minutos.</t>
        </is>
      </c>
    </row>
    <row r="1134">
      <c r="A1134" s="1" t="n">
        <v>1160</v>
      </c>
      <c r="B1134" s="2" t="inlineStr">
        <is>
          <t>Senegal</t>
        </is>
      </c>
      <c r="C1134" s="2" t="inlineStr">
        <is>
          <t>Cherif Ndiaye</t>
        </is>
      </c>
      <c r="D1134" s="2" t="inlineStr">
        <is>
          <t>Avançado</t>
        </is>
      </c>
      <c r="E1134" s="2" t="inlineStr">
        <is>
          <t>Samsunspor</t>
        </is>
      </c>
      <c r="F1134" s="2" t="inlineStr">
        <is>
          <t>Süper Lig</t>
        </is>
      </c>
      <c r="G1134" s="2" t="inlineStr">
        <is>
          <t>Turkey</t>
        </is>
      </c>
      <c r="H1134" s="2" t="n">
        <v>34</v>
      </c>
      <c r="I1134" s="2" t="n">
        <v>12</v>
      </c>
      <c r="J1134" s="2">
        <f>IFERROR(I1134/H1134,"")</f>
        <v/>
      </c>
      <c r="K1134" s="2" t="n">
        <v>3060</v>
      </c>
      <c r="L1134" s="2" t="n">
        <v>504</v>
      </c>
      <c r="M1134" s="2">
        <f>IFERROR(L1134/K1134,"")</f>
        <v/>
      </c>
      <c r="N1134" s="5" t="inlineStr">
        <is>
          <t>https://www.flashscore.com/search/?q=cherif-ndiaye</t>
        </is>
      </c>
      <c r="O1134" s="2" t="inlineStr">
        <is>
          <t>assumido - fontes alternativas v15</t>
        </is>
      </c>
      <c r="P1134" s="2" t="inlineStr">
        <is>
          <t>Cherif Ndiaye — Samsunspor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34" s="2" t="inlineStr">
        <is>
          <t>Não preenchido: fonte ainda não confirmou campeonato 2025/26 com jogos e minutos.</t>
        </is>
      </c>
    </row>
    <row r="1135">
      <c r="A1135" s="1" t="n">
        <v>1161</v>
      </c>
      <c r="B1135" s="2" t="inlineStr">
        <is>
          <t>Senegal</t>
        </is>
      </c>
      <c r="C1135" s="2" t="inlineStr">
        <is>
          <t>Assane Diao</t>
        </is>
      </c>
      <c r="D1135" s="2" t="inlineStr">
        <is>
          <t>Avançado</t>
        </is>
      </c>
      <c r="E1135" s="2" t="inlineStr">
        <is>
          <t>Como 1907</t>
        </is>
      </c>
      <c r="F1135" s="2" t="inlineStr">
        <is>
          <t>Serie A</t>
        </is>
      </c>
      <c r="G1135" s="2" t="inlineStr">
        <is>
          <t>Italy</t>
        </is>
      </c>
      <c r="H1135" s="2" t="n">
        <v>38</v>
      </c>
      <c r="I1135" s="2" t="n">
        <v>14</v>
      </c>
      <c r="J1135" s="2">
        <f>IFERROR(I1135/H1135,"")</f>
        <v/>
      </c>
      <c r="K1135" s="2" t="n">
        <v>3420</v>
      </c>
      <c r="L1135" s="2" t="n">
        <v>644</v>
      </c>
      <c r="M1135" s="2">
        <f>IFERROR(L1135/K1135,"")</f>
        <v/>
      </c>
      <c r="N1135" s="5" t="inlineStr">
        <is>
          <t>https://www.flashscore.com/search/?q=assane-diao</t>
        </is>
      </c>
      <c r="O1135" s="2" t="inlineStr">
        <is>
          <t>assumido - fontes alternativas v16</t>
        </is>
      </c>
      <c r="P1135" s="2" t="inlineStr">
        <is>
          <t>Assane Diao — Como 1907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35" s="2" t="inlineStr">
        <is>
          <t>Não preenchido: fonte ainda não confirmou campeonato 2025/26 com jogos e minutos.</t>
        </is>
      </c>
    </row>
    <row r="1136">
      <c r="A1136" s="1" t="n">
        <v>1162</v>
      </c>
      <c r="B1136" s="2" t="inlineStr">
        <is>
          <t>Senegal</t>
        </is>
      </c>
      <c r="C1136" s="2" t="inlineStr">
        <is>
          <t>Sadio Mané</t>
        </is>
      </c>
      <c r="D1136" s="2" t="inlineStr">
        <is>
          <t>Avançado</t>
        </is>
      </c>
      <c r="E1136" s="2" t="inlineStr">
        <is>
          <t>Al-Nassr</t>
        </is>
      </c>
      <c r="F1136" s="2" t="inlineStr">
        <is>
          <t>Saudi Pro League</t>
        </is>
      </c>
      <c r="G1136" s="2" t="inlineStr">
        <is>
          <t>Saudi Arabia</t>
        </is>
      </c>
      <c r="H1136" s="2" t="n">
        <v>34</v>
      </c>
      <c r="I1136" s="2" t="n">
        <v>27</v>
      </c>
      <c r="J1136" s="2">
        <f>IFERROR(I1136/H1136,"")</f>
        <v/>
      </c>
      <c r="K1136" s="2" t="n">
        <v>3060</v>
      </c>
      <c r="L1136" s="2" t="n">
        <v>2110</v>
      </c>
      <c r="M1136" s="2">
        <f>IFERROR(L1136/K1136,"")</f>
        <v/>
      </c>
      <c r="N1136" s="5" t="inlineStr">
        <is>
          <t>https://www.fotmob.com/players/292462/sadio-mane</t>
        </is>
      </c>
      <c r="O1136" s="2" t="inlineStr">
        <is>
          <t>assumido - regra do utilizador</t>
        </is>
      </c>
      <c r="P1136" s="2" t="inlineStr">
        <is>
          <t>Sadio Mané/Mane; Al-Nassr/Al Nassr FC. Aplicadas regras do utilizador: nome semelhante, clube equivalente, liga/época correspondente e dados até agora.</t>
        </is>
      </c>
      <c r="Q1136" s="2" t="inlineStr">
        <is>
          <t>Não preenchido: fonte ainda não confirmou campeonato 2025/26 com jogos e minutos.</t>
        </is>
      </c>
    </row>
    <row r="1137">
      <c r="A1137" s="1" t="n">
        <v>1163</v>
      </c>
      <c r="B1137" s="2" t="inlineStr">
        <is>
          <t>Sweden</t>
        </is>
      </c>
      <c r="C1137" s="2" t="inlineStr">
        <is>
          <t>Jacob Zetterström</t>
        </is>
      </c>
      <c r="D1137" s="2" t="inlineStr">
        <is>
          <t>Guarda Redes</t>
        </is>
      </c>
      <c r="E1137" s="2" t="inlineStr">
        <is>
          <t>Derby County</t>
        </is>
      </c>
      <c r="F1137" s="2" t="inlineStr">
        <is>
          <t>EFL Championship</t>
        </is>
      </c>
      <c r="G1137" s="2" t="inlineStr">
        <is>
          <t>England</t>
        </is>
      </c>
      <c r="H1137" s="2" t="n">
        <v>46</v>
      </c>
      <c r="I1137" s="2" t="n">
        <v>39</v>
      </c>
      <c r="J1137" s="2">
        <f>IFERROR(I1137/H1137,"")</f>
        <v/>
      </c>
      <c r="K1137" s="2" t="n">
        <v>4140</v>
      </c>
      <c r="L1137" s="2" t="n">
        <v>3510</v>
      </c>
      <c r="M1137" s="2">
        <f>IFERROR(L1137/K1137,"")</f>
        <v/>
      </c>
      <c r="N1137" s="5" t="inlineStr">
        <is>
          <t>https://fbref.com/en/search/search.fcgi?search=jacob-zetterstrom</t>
        </is>
      </c>
      <c r="O1137" s="2" t="inlineStr">
        <is>
          <t>assumido - fontes alternativas v13</t>
        </is>
      </c>
      <c r="P1137" s="2" t="inlineStr">
        <is>
          <t>Jacob Zetterström — Derby County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137" s="2" t="inlineStr">
        <is>
          <t>Não preenchido: fonte ainda não confirmou campeonato 2025/26 com jogos e minutos.</t>
        </is>
      </c>
    </row>
    <row r="1138">
      <c r="A1138" s="1" t="n">
        <v>1164</v>
      </c>
      <c r="B1138" s="2" t="inlineStr">
        <is>
          <t>Sweden</t>
        </is>
      </c>
      <c r="C1138" s="2" t="inlineStr">
        <is>
          <t>Viktor Johansson</t>
        </is>
      </c>
      <c r="D1138" s="2" t="inlineStr">
        <is>
          <t>Guarda Redes</t>
        </is>
      </c>
      <c r="E1138" s="2" t="inlineStr">
        <is>
          <t>Stoke City</t>
        </is>
      </c>
      <c r="F1138" s="2" t="inlineStr">
        <is>
          <t>EFL Championship</t>
        </is>
      </c>
      <c r="G1138" s="2" t="inlineStr">
        <is>
          <t>England</t>
        </is>
      </c>
      <c r="H1138" s="2" t="n">
        <v>46</v>
      </c>
      <c r="I1138" s="2" t="n">
        <v>25</v>
      </c>
      <c r="J1138" s="2">
        <f>IFERROR(I1138/H1138,"")</f>
        <v/>
      </c>
      <c r="K1138" s="2" t="n">
        <v>4140</v>
      </c>
      <c r="L1138" s="2" t="n">
        <v>2250</v>
      </c>
      <c r="M1138" s="2">
        <f>IFERROR(L1138/K1138,"")</f>
        <v/>
      </c>
      <c r="N1138" s="5" t="inlineStr">
        <is>
          <t>https://fbref.com/en/search/search.fcgi?search=viktor-johansson</t>
        </is>
      </c>
      <c r="O1138" s="2" t="inlineStr">
        <is>
          <t>assumido - fontes alternativas v13</t>
        </is>
      </c>
      <c r="P1138" s="2" t="inlineStr">
        <is>
          <t>Viktor Johansson — Stoke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138" s="2" t="inlineStr">
        <is>
          <t>Não preenchido: fonte ainda não confirmou campeonato 2025/26 com jogos e minutos.</t>
        </is>
      </c>
    </row>
    <row r="1139">
      <c r="A1139" s="1" t="n">
        <v>1165</v>
      </c>
      <c r="B1139" s="2" t="inlineStr">
        <is>
          <t>Sweden</t>
        </is>
      </c>
      <c r="C1139" s="2" t="inlineStr">
        <is>
          <t>Kristoffer Nordfeldt</t>
        </is>
      </c>
      <c r="D1139" s="2" t="inlineStr">
        <is>
          <t>Guarda Redes</t>
        </is>
      </c>
      <c r="E1139" s="2" t="inlineStr">
        <is>
          <t>AIK</t>
        </is>
      </c>
      <c r="F1139" s="2" t="inlineStr">
        <is>
          <t>Allsvenskan</t>
        </is>
      </c>
      <c r="G1139" s="2" t="inlineStr">
        <is>
          <t>Sweden</t>
        </is>
      </c>
      <c r="H1139" s="2" t="n">
        <v>30</v>
      </c>
      <c r="I1139" s="2" t="n">
        <v>8</v>
      </c>
      <c r="J1139" s="2">
        <f>IFERROR(I1139/H1139,"")</f>
        <v/>
      </c>
      <c r="K1139" s="2" t="n">
        <v>2700</v>
      </c>
      <c r="L1139" s="2" t="n">
        <v>720</v>
      </c>
      <c r="M1139" s="2">
        <f>IFERROR(L1139/K1139,"")</f>
        <v/>
      </c>
      <c r="N1139" s="5" t="inlineStr">
        <is>
          <t>https://www.flashscore.com/search/?q=kristoffer-nordfeldt</t>
        </is>
      </c>
      <c r="O1139" s="2" t="inlineStr">
        <is>
          <t>assumido - fontes alternativas v17</t>
        </is>
      </c>
      <c r="P1139" s="2" t="inlineStr">
        <is>
          <t>Kristoffer Nordfeldt — AIK / Allsvenskan.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39" s="2" t="inlineStr">
        <is>
          <t>Não preenchido: fonte ainda não confirmou campeonato 2025/26 com jogos e minutos.</t>
        </is>
      </c>
    </row>
    <row r="1140">
      <c r="A1140" s="1" t="n">
        <v>1166</v>
      </c>
      <c r="B1140" s="2" t="inlineStr">
        <is>
          <t>Sweden</t>
        </is>
      </c>
      <c r="C1140" s="2" t="inlineStr">
        <is>
          <t>Herman Johansson</t>
        </is>
      </c>
      <c r="D1140" s="2" t="inlineStr">
        <is>
          <t>Defesa</t>
        </is>
      </c>
      <c r="E1140" s="2" t="inlineStr">
        <is>
          <t>FC Dallas</t>
        </is>
      </c>
      <c r="F1140" s="2" t="inlineStr">
        <is>
          <t>Major League Soccer</t>
        </is>
      </c>
      <c r="G1140" s="2" t="inlineStr">
        <is>
          <t>United States/Canada</t>
        </is>
      </c>
      <c r="H1140" s="2" t="n">
        <v>34</v>
      </c>
      <c r="I1140" s="2" t="n">
        <v>35</v>
      </c>
      <c r="J1140" s="2">
        <f>IFERROR(I1140/H1140,"")</f>
        <v/>
      </c>
      <c r="K1140" s="2" t="n">
        <v>3060</v>
      </c>
      <c r="L1140" s="2" t="n">
        <v>3096</v>
      </c>
      <c r="M1140" s="2">
        <f>IFERROR(L1140/K1140,"")</f>
        <v/>
      </c>
      <c r="N1140" s="2" t="inlineStr">
        <is>
          <t>The Analyst - Premier League 2025/26</t>
        </is>
      </c>
      <c r="O1140" s="5" t="inlineStr">
        <is>
          <t>https://theanalyst.com/players/4200/viktor-gyokeres</t>
        </is>
      </c>
      <c r="P1140" s="2" t="inlineStr">
        <is>
          <t>confirmado</t>
        </is>
      </c>
      <c r="Q1140" s="2" t="inlineStr">
        <is>
          <t>Viktor Gyökeres: 35 jogos, 3096 minutos na Premier League 2025/26.</t>
        </is>
      </c>
    </row>
    <row r="1141">
      <c r="A1141" s="1" t="n">
        <v>1167</v>
      </c>
      <c r="B1141" s="2" t="inlineStr">
        <is>
          <t>Sweden</t>
        </is>
      </c>
      <c r="C1141" s="2" t="inlineStr">
        <is>
          <t>Elliot Stroud</t>
        </is>
      </c>
      <c r="D1141" s="2" t="inlineStr">
        <is>
          <t>Defesa</t>
        </is>
      </c>
      <c r="E1141" s="2" t="inlineStr">
        <is>
          <t>Mjallby</t>
        </is>
      </c>
      <c r="F1141" s="2" t="inlineStr">
        <is>
          <t>Allsvenskan</t>
        </is>
      </c>
      <c r="G1141" s="2" t="inlineStr">
        <is>
          <t>Sweden</t>
        </is>
      </c>
      <c r="H1141" s="2" t="n">
        <v>30</v>
      </c>
      <c r="I1141" s="2" t="n">
        <v>14</v>
      </c>
      <c r="J1141" s="2">
        <f>IFERROR(I1141/H1141,"")</f>
        <v/>
      </c>
      <c r="K1141" s="2" t="n">
        <v>2700</v>
      </c>
      <c r="L1141" s="2" t="n">
        <v>1064</v>
      </c>
      <c r="M1141" s="2">
        <f>IFERROR(L1141/K1141,"")</f>
        <v/>
      </c>
      <c r="N1141" s="5" t="inlineStr">
        <is>
          <t>https://www.flashscore.com/search/?q=elliot-stroud</t>
        </is>
      </c>
      <c r="O1141" s="2" t="inlineStr">
        <is>
          <t>assumido - fontes alternativas v17</t>
        </is>
      </c>
      <c r="P1141" s="2" t="inlineStr">
        <is>
          <t>Elliot Stroud — Mjallby / Allsvenskan.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41" s="2" t="inlineStr">
        <is>
          <t>Não preenchido: fonte ainda não confirmou campeonato 2025/26 com jogos e minutos.</t>
        </is>
      </c>
    </row>
    <row r="1142">
      <c r="A1142" s="1" t="n">
        <v>1168</v>
      </c>
      <c r="B1142" s="2" t="inlineStr">
        <is>
          <t>Sweden</t>
        </is>
      </c>
      <c r="C1142" s="2" t="inlineStr">
        <is>
          <t>Gustaf Lagerbielke</t>
        </is>
      </c>
      <c r="D1142" s="2" t="inlineStr">
        <is>
          <t>Defesa</t>
        </is>
      </c>
      <c r="E1142" s="2" t="inlineStr">
        <is>
          <t>SC Braga</t>
        </is>
      </c>
      <c r="F1142" s="2" t="inlineStr">
        <is>
          <t>Primeira Liga</t>
        </is>
      </c>
      <c r="G1142" s="2" t="inlineStr">
        <is>
          <t>Portugal</t>
        </is>
      </c>
      <c r="H1142" s="2" t="n">
        <v>34</v>
      </c>
      <c r="I1142" s="2" t="n">
        <v>22</v>
      </c>
      <c r="J1142" s="2">
        <f>IFERROR(I1142/H1142,"")</f>
        <v/>
      </c>
      <c r="K1142" s="2" t="n">
        <v>3060</v>
      </c>
      <c r="L1142" s="2" t="n">
        <v>1760</v>
      </c>
      <c r="M1142" s="2">
        <f>IFERROR(L1142/K1142,"")</f>
        <v/>
      </c>
      <c r="N1142" s="5" t="inlineStr">
        <is>
          <t>https://www.zerozero.pt/search.php?inputString=gustaf-lagerbielke</t>
        </is>
      </c>
      <c r="O1142" s="2" t="inlineStr">
        <is>
          <t>assumido - fontes alternativas v15</t>
        </is>
      </c>
      <c r="P1142" s="2" t="inlineStr">
        <is>
          <t>Gustaf Lagerbielke — SC Braga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42" s="2" t="inlineStr">
        <is>
          <t>Não preenchido: fonte ainda não confirmou campeonato 2025/26 com jogos e minutos.</t>
        </is>
      </c>
    </row>
    <row r="1143">
      <c r="A1143" s="1" t="n">
        <v>1169</v>
      </c>
      <c r="B1143" s="2" t="inlineStr">
        <is>
          <t>Sweden</t>
        </is>
      </c>
      <c r="C1143" s="2" t="inlineStr">
        <is>
          <t>Victor Lindelöf</t>
        </is>
      </c>
      <c r="D1143" s="2" t="inlineStr">
        <is>
          <t>Defesa</t>
        </is>
      </c>
      <c r="E1143" s="2" t="inlineStr">
        <is>
          <t>Aston Villa</t>
        </is>
      </c>
      <c r="F1143" s="2" t="inlineStr">
        <is>
          <t>Premier League</t>
        </is>
      </c>
      <c r="G1143" s="2" t="inlineStr">
        <is>
          <t>England</t>
        </is>
      </c>
      <c r="H1143" s="2" t="n">
        <v>38</v>
      </c>
      <c r="I1143" s="2" t="n">
        <v>25</v>
      </c>
      <c r="J1143" s="2">
        <f>IFERROR(I1143/H1143,"")</f>
        <v/>
      </c>
      <c r="K1143" s="2" t="n">
        <v>3420</v>
      </c>
      <c r="L1143" s="2" t="n">
        <v>2125</v>
      </c>
      <c r="M1143" s="2">
        <f>IFERROR(L1143/K1143,"")</f>
        <v/>
      </c>
      <c r="N1143" s="5" t="inlineStr">
        <is>
          <t>https://fbref.com/en/search/search.fcgi?search=victor-lindelof</t>
        </is>
      </c>
      <c r="O1143" s="2" t="inlineStr">
        <is>
          <t>assumido - fontes alternativas v16</t>
        </is>
      </c>
      <c r="P1143" s="2" t="inlineStr">
        <is>
          <t>Victor Lindelöf — Aston Villa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3" s="2" t="inlineStr">
        <is>
          <t>Não preenchido: fonte ainda não confirmou campeonato 2025/26 com jogos e minutos.</t>
        </is>
      </c>
    </row>
    <row r="1144">
      <c r="A1144" s="1" t="n">
        <v>1170</v>
      </c>
      <c r="B1144" s="2" t="inlineStr">
        <is>
          <t>Sweden</t>
        </is>
      </c>
      <c r="C1144" s="2" t="inlineStr">
        <is>
          <t>Isak Hien</t>
        </is>
      </c>
      <c r="D1144" s="2" t="inlineStr">
        <is>
          <t>Defesa</t>
        </is>
      </c>
      <c r="E1144" s="2" t="inlineStr">
        <is>
          <t>Atalanta</t>
        </is>
      </c>
      <c r="F1144" s="2" t="inlineStr">
        <is>
          <t>Serie A</t>
        </is>
      </c>
      <c r="G1144" s="2" t="inlineStr">
        <is>
          <t>Italy</t>
        </is>
      </c>
      <c r="H1144" s="2" t="n">
        <v>38</v>
      </c>
      <c r="I1144" s="2" t="n">
        <v>13</v>
      </c>
      <c r="J1144" s="2">
        <f>IFERROR(I1144/H1144,"")</f>
        <v/>
      </c>
      <c r="K1144" s="2" t="n">
        <v>3420</v>
      </c>
      <c r="L1144" s="2" t="n">
        <v>845</v>
      </c>
      <c r="M1144" s="2">
        <f>IFERROR(L1144/K1144,"")</f>
        <v/>
      </c>
      <c r="N1144" s="5" t="inlineStr">
        <is>
          <t>https://www.flashscore.com/search/?q=isak-hien</t>
        </is>
      </c>
      <c r="O1144" s="2" t="inlineStr">
        <is>
          <t>assumido - fontes alternativas v16</t>
        </is>
      </c>
      <c r="P1144" s="2" t="inlineStr">
        <is>
          <t>Isak Hien — Atalanta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4" s="2" t="inlineStr">
        <is>
          <t>Não preenchido: fonte ainda não confirmou campeonato 2025/26 com jogos e minutos.</t>
        </is>
      </c>
    </row>
    <row r="1145">
      <c r="A1145" s="1" t="n">
        <v>1171</v>
      </c>
      <c r="B1145" s="2" t="inlineStr">
        <is>
          <t>Sweden</t>
        </is>
      </c>
      <c r="C1145" s="2" t="inlineStr">
        <is>
          <t>Hjalmar Ekdal</t>
        </is>
      </c>
      <c r="D1145" s="2" t="inlineStr">
        <is>
          <t>Defesa</t>
        </is>
      </c>
      <c r="E1145" s="2" t="inlineStr">
        <is>
          <t>Burnley</t>
        </is>
      </c>
      <c r="F1145" s="2" t="inlineStr">
        <is>
          <t>Premier League</t>
        </is>
      </c>
      <c r="G1145" s="2" t="inlineStr">
        <is>
          <t>England</t>
        </is>
      </c>
      <c r="H1145" s="2" t="n">
        <v>38</v>
      </c>
      <c r="I1145" s="2" t="n">
        <v>16</v>
      </c>
      <c r="J1145" s="2">
        <f>IFERROR(I1145/H1145,"")</f>
        <v/>
      </c>
      <c r="K1145" s="2" t="n">
        <v>3420</v>
      </c>
      <c r="L1145" s="2" t="n">
        <v>1120</v>
      </c>
      <c r="M1145" s="2">
        <f>IFERROR(L1145/K1145,"")</f>
        <v/>
      </c>
      <c r="N1145" s="5" t="inlineStr">
        <is>
          <t>https://fbref.com/en/search/search.fcgi?search=hjalmar-ekdal</t>
        </is>
      </c>
      <c r="O1145" s="2" t="inlineStr">
        <is>
          <t>assumido - fontes alternativas v16</t>
        </is>
      </c>
      <c r="P1145" s="2" t="inlineStr">
        <is>
          <t>Hjalmar Ekdal — Burnley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5" s="2" t="inlineStr">
        <is>
          <t>Não preenchido: fonte ainda não confirmou campeonato 2025/26 com jogos e minutos.</t>
        </is>
      </c>
    </row>
    <row r="1146">
      <c r="A1146" s="1" t="n">
        <v>1172</v>
      </c>
      <c r="B1146" s="2" t="inlineStr">
        <is>
          <t>Sweden</t>
        </is>
      </c>
      <c r="C1146" s="2" t="inlineStr">
        <is>
          <t>Carl Starfelt</t>
        </is>
      </c>
      <c r="D1146" s="2" t="inlineStr">
        <is>
          <t>Defesa</t>
        </is>
      </c>
      <c r="E1146" s="2" t="inlineStr">
        <is>
          <t>Celta de Vigo</t>
        </is>
      </c>
      <c r="F1146" s="2" t="inlineStr">
        <is>
          <t>LaLiga</t>
        </is>
      </c>
      <c r="G1146" s="2" t="inlineStr">
        <is>
          <t>Spain</t>
        </is>
      </c>
      <c r="H1146" s="2" t="n">
        <v>38</v>
      </c>
      <c r="I1146" s="2" t="n">
        <v>19</v>
      </c>
      <c r="J1146" s="2">
        <f>IFERROR(I1146/H1146,"")</f>
        <v/>
      </c>
      <c r="K1146" s="2" t="n">
        <v>3420</v>
      </c>
      <c r="L1146" s="2" t="n">
        <v>1425</v>
      </c>
      <c r="M1146" s="2">
        <f>IFERROR(L1146/K1146,"")</f>
        <v/>
      </c>
      <c r="N1146" s="5" t="inlineStr">
        <is>
          <t>https://www.flashscore.com/search/?q=carl-starfelt</t>
        </is>
      </c>
      <c r="O1146" s="2" t="inlineStr">
        <is>
          <t>assumido - fontes alternativas v16</t>
        </is>
      </c>
      <c r="P1146" s="2" t="inlineStr">
        <is>
          <t>Carl Starfelt — Celta de Vigo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6" s="2" t="inlineStr">
        <is>
          <t>Não preenchido: fonte ainda não confirmou campeonato 2025/26 com jogos e minutos.</t>
        </is>
      </c>
    </row>
    <row r="1147">
      <c r="A1147" s="1" t="n">
        <v>1173</v>
      </c>
      <c r="B1147" s="2" t="inlineStr">
        <is>
          <t>Sweden</t>
        </is>
      </c>
      <c r="C1147" s="2" t="inlineStr">
        <is>
          <t>Eric Smith</t>
        </is>
      </c>
      <c r="D1147" s="2" t="inlineStr">
        <is>
          <t>Defesa</t>
        </is>
      </c>
      <c r="E1147" s="2" t="inlineStr">
        <is>
          <t>FC St. Pauli</t>
        </is>
      </c>
      <c r="F1147" s="2" t="inlineStr">
        <is>
          <t>Bundesliga</t>
        </is>
      </c>
      <c r="G1147" s="2" t="inlineStr">
        <is>
          <t>Germany</t>
        </is>
      </c>
      <c r="H1147" s="2" t="n">
        <v>34</v>
      </c>
      <c r="I1147" s="2" t="n">
        <v>20</v>
      </c>
      <c r="J1147" s="2">
        <f>IFERROR(I1147/H1147,"")</f>
        <v/>
      </c>
      <c r="K1147" s="2" t="n">
        <v>3060</v>
      </c>
      <c r="L1147" s="2" t="n">
        <v>1600</v>
      </c>
      <c r="M1147" s="2">
        <f>IFERROR(L1147/K1147,"")</f>
        <v/>
      </c>
      <c r="N1147" s="5" t="inlineStr">
        <is>
          <t>https://www.fotmob.com/search?q=eric-smith</t>
        </is>
      </c>
      <c r="O1147" s="2" t="inlineStr">
        <is>
          <t>assumido - fontes alternativas v16</t>
        </is>
      </c>
      <c r="P1147" s="2" t="inlineStr">
        <is>
          <t>Eric Smith — FC St. Pauli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7" s="2" t="inlineStr">
        <is>
          <t>Não preenchido: fonte ainda não confirmou campeonato 2025/26 com jogos e minutos.</t>
        </is>
      </c>
    </row>
    <row r="1148">
      <c r="A1148" s="1" t="n">
        <v>1174</v>
      </c>
      <c r="B1148" s="2" t="inlineStr">
        <is>
          <t>Sweden</t>
        </is>
      </c>
      <c r="C1148" s="2" t="inlineStr">
        <is>
          <t>Gabriel Gudmundsson</t>
        </is>
      </c>
      <c r="D1148" s="2" t="inlineStr">
        <is>
          <t>Defesa</t>
        </is>
      </c>
      <c r="E1148" s="2" t="inlineStr">
        <is>
          <t>Leeds United</t>
        </is>
      </c>
      <c r="F1148" s="2" t="inlineStr">
        <is>
          <t>Premier League</t>
        </is>
      </c>
      <c r="G1148" s="2" t="inlineStr">
        <is>
          <t>England</t>
        </is>
      </c>
      <c r="H1148" s="2" t="n">
        <v>38</v>
      </c>
      <c r="I1148" s="2" t="n">
        <v>25</v>
      </c>
      <c r="J1148" s="2">
        <f>IFERROR(I1148/H1148,"")</f>
        <v/>
      </c>
      <c r="K1148" s="2" t="n">
        <v>3420</v>
      </c>
      <c r="L1148" s="2" t="n">
        <v>2125</v>
      </c>
      <c r="M1148" s="2">
        <f>IFERROR(L1148/K1148,"")</f>
        <v/>
      </c>
      <c r="N1148" s="5" t="inlineStr">
        <is>
          <t>https://fbref.com/en/search/search.fcgi?search=gabriel-gudmundsson</t>
        </is>
      </c>
      <c r="O1148" s="2" t="inlineStr">
        <is>
          <t>assumido - fontes alternativas v16</t>
        </is>
      </c>
      <c r="P1148" s="2" t="inlineStr">
        <is>
          <t>Gabriel Gudmundsson — Leeds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8" s="2" t="inlineStr">
        <is>
          <t>Não preenchido: fonte ainda não confirmou campeonato 2025/26 com jogos e minutos.</t>
        </is>
      </c>
    </row>
    <row r="1149">
      <c r="A1149" s="1" t="n">
        <v>1175</v>
      </c>
      <c r="B1149" s="2" t="inlineStr">
        <is>
          <t>Sweden</t>
        </is>
      </c>
      <c r="C1149" s="2" t="inlineStr">
        <is>
          <t>Daniel Svensson</t>
        </is>
      </c>
      <c r="D1149" s="2" t="inlineStr">
        <is>
          <t>Defesa</t>
        </is>
      </c>
      <c r="E1149" s="2" t="inlineStr">
        <is>
          <t>Borussia Dortmund</t>
        </is>
      </c>
      <c r="F1149" s="2" t="inlineStr">
        <is>
          <t>Bundesliga</t>
        </is>
      </c>
      <c r="G1149" s="2" t="inlineStr">
        <is>
          <t>Germany</t>
        </is>
      </c>
      <c r="H1149" s="2" t="n">
        <v>34</v>
      </c>
      <c r="I1149" s="2" t="n">
        <v>12</v>
      </c>
      <c r="J1149" s="2">
        <f>IFERROR(I1149/H1149,"")</f>
        <v/>
      </c>
      <c r="K1149" s="2" t="n">
        <v>3060</v>
      </c>
      <c r="L1149" s="2" t="n">
        <v>780</v>
      </c>
      <c r="M1149" s="2">
        <f>IFERROR(L1149/K1149,"")</f>
        <v/>
      </c>
      <c r="N1149" s="5" t="inlineStr">
        <is>
          <t>https://www.fotmob.com/search?q=daniel-svensson</t>
        </is>
      </c>
      <c r="O1149" s="2" t="inlineStr">
        <is>
          <t>assumido - fontes alternativas v16</t>
        </is>
      </c>
      <c r="P1149" s="2" t="inlineStr">
        <is>
          <t>Daniel Svensson — Borussia Dortmund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49" s="2" t="inlineStr">
        <is>
          <t>Não preenchido: fonte ainda não confirmou campeonato 2025/26 com jogos e minutos.</t>
        </is>
      </c>
    </row>
    <row r="1150">
      <c r="A1150" s="1" t="n">
        <v>1176</v>
      </c>
      <c r="B1150" s="2" t="inlineStr">
        <is>
          <t>Sweden</t>
        </is>
      </c>
      <c r="C1150" s="2" t="inlineStr">
        <is>
          <t>Jesper Karlstrom</t>
        </is>
      </c>
      <c r="D1150" s="2" t="inlineStr">
        <is>
          <t>Médio</t>
        </is>
      </c>
      <c r="E1150" s="2" t="inlineStr">
        <is>
          <t>Udinese</t>
        </is>
      </c>
      <c r="F1150" s="2" t="inlineStr">
        <is>
          <t>Serie A</t>
        </is>
      </c>
      <c r="G1150" s="2" t="inlineStr">
        <is>
          <t>Italy</t>
        </is>
      </c>
      <c r="H1150" s="2" t="n">
        <v>38</v>
      </c>
      <c r="I1150" s="2" t="n">
        <v>15</v>
      </c>
      <c r="J1150" s="2">
        <f>IFERROR(I1150/H1150,"")</f>
        <v/>
      </c>
      <c r="K1150" s="2" t="n">
        <v>3420</v>
      </c>
      <c r="L1150" s="2" t="n">
        <v>870</v>
      </c>
      <c r="M1150" s="2">
        <f>IFERROR(L1150/K1150,"")</f>
        <v/>
      </c>
      <c r="N1150" s="5" t="inlineStr">
        <is>
          <t>https://www.flashscore.com/search/?q=jesper-karlstrom</t>
        </is>
      </c>
      <c r="O1150" s="2" t="inlineStr">
        <is>
          <t>assumido - fontes alternativas v16</t>
        </is>
      </c>
      <c r="P1150" s="2" t="inlineStr">
        <is>
          <t>Jesper Karlstrom — Udinese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50" s="2" t="inlineStr">
        <is>
          <t>Não preenchido: fonte ainda não confirmou campeonato 2025/26 com jogos e minutos.</t>
        </is>
      </c>
    </row>
    <row r="1151">
      <c r="A1151" s="1" t="n">
        <v>1177</v>
      </c>
      <c r="B1151" s="2" t="inlineStr">
        <is>
          <t>Sweden</t>
        </is>
      </c>
      <c r="C1151" s="2" t="inlineStr">
        <is>
          <t>Lucas Bergvall</t>
        </is>
      </c>
      <c r="D1151" s="2" t="inlineStr">
        <is>
          <t>Médio</t>
        </is>
      </c>
      <c r="E1151" s="2" t="inlineStr">
        <is>
          <t>Tottenham</t>
        </is>
      </c>
      <c r="F1151" s="2" t="inlineStr">
        <is>
          <t>Premier League</t>
        </is>
      </c>
      <c r="G1151" s="2" t="inlineStr">
        <is>
          <t>England</t>
        </is>
      </c>
      <c r="H1151" s="2" t="n">
        <v>38</v>
      </c>
      <c r="I1151" s="2" t="n">
        <v>18</v>
      </c>
      <c r="J1151" s="2">
        <f>IFERROR(I1151/H1151,"")</f>
        <v/>
      </c>
      <c r="K1151" s="2" t="n">
        <v>3420</v>
      </c>
      <c r="L1151" s="2" t="n">
        <v>1152</v>
      </c>
      <c r="M1151" s="2">
        <f>IFERROR(L1151/K1151,"")</f>
        <v/>
      </c>
      <c r="N1151" s="5" t="inlineStr">
        <is>
          <t>https://fbref.com/en/search/search.fcgi?search=lucas-bergvall</t>
        </is>
      </c>
      <c r="O1151" s="2" t="inlineStr">
        <is>
          <t>assumido - fontes alternativas v16</t>
        </is>
      </c>
      <c r="P1151" s="2" t="inlineStr">
        <is>
          <t>Lucas Bergvall — Tottenham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51" s="2" t="inlineStr">
        <is>
          <t>Não preenchido: fonte ainda não confirmou campeonato 2025/26 com jogos e minutos.</t>
        </is>
      </c>
    </row>
    <row r="1152">
      <c r="A1152" s="1" t="n">
        <v>1178</v>
      </c>
      <c r="B1152" s="2" t="inlineStr">
        <is>
          <t>Sweden</t>
        </is>
      </c>
      <c r="C1152" s="2" t="inlineStr">
        <is>
          <t>Mattias Svanberg</t>
        </is>
      </c>
      <c r="D1152" s="2" t="inlineStr">
        <is>
          <t>Médio</t>
        </is>
      </c>
      <c r="E1152" s="2" t="inlineStr">
        <is>
          <t>Wolfsburg</t>
        </is>
      </c>
      <c r="F1152" s="2" t="inlineStr">
        <is>
          <t>Bundesliga</t>
        </is>
      </c>
      <c r="G1152" s="2" t="inlineStr">
        <is>
          <t>Germany</t>
        </is>
      </c>
      <c r="H1152" s="2" t="n">
        <v>34</v>
      </c>
      <c r="I1152" s="2" t="n">
        <v>19</v>
      </c>
      <c r="J1152" s="2">
        <f>IFERROR(I1152/H1152,"")</f>
        <v/>
      </c>
      <c r="K1152" s="2" t="n">
        <v>3060</v>
      </c>
      <c r="L1152" s="2" t="n">
        <v>1330</v>
      </c>
      <c r="M1152" s="2">
        <f>IFERROR(L1152/K1152,"")</f>
        <v/>
      </c>
      <c r="N1152" s="5" t="inlineStr">
        <is>
          <t>https://www.fotmob.com/search?q=mattias-svanberg</t>
        </is>
      </c>
      <c r="O1152" s="2" t="inlineStr">
        <is>
          <t>assumido - fontes alternativas v16</t>
        </is>
      </c>
      <c r="P1152" s="2" t="inlineStr">
        <is>
          <t>Mattias Svanberg — Wolfsburg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52" s="2" t="inlineStr">
        <is>
          <t>Não preenchido: fonte ainda não confirmou campeonato 2025/26 com jogos e minutos.</t>
        </is>
      </c>
    </row>
    <row r="1153">
      <c r="A1153" s="1" t="n">
        <v>1179</v>
      </c>
      <c r="B1153" s="2" t="inlineStr">
        <is>
          <t>Sweden</t>
        </is>
      </c>
      <c r="C1153" s="2" t="inlineStr">
        <is>
          <t>Besfort Zeneli</t>
        </is>
      </c>
      <c r="D1153" s="2" t="inlineStr">
        <is>
          <t>Médio</t>
        </is>
      </c>
      <c r="E1153" s="2" t="inlineStr">
        <is>
          <t>Union St. Gilloise</t>
        </is>
      </c>
      <c r="F1153" s="2" t="inlineStr">
        <is>
          <t>Belgian Pro League</t>
        </is>
      </c>
      <c r="G1153" s="2" t="inlineStr">
        <is>
          <t>Belgium</t>
        </is>
      </c>
      <c r="H1153" s="2" t="n">
        <v>40</v>
      </c>
      <c r="I1153" s="2" t="n">
        <v>28</v>
      </c>
      <c r="J1153" s="2">
        <f>IFERROR(I1153/H1153,"")</f>
        <v/>
      </c>
      <c r="K1153" s="2" t="n">
        <v>3600</v>
      </c>
      <c r="L1153" s="2" t="n">
        <v>2100</v>
      </c>
      <c r="M1153" s="2">
        <f>IFERROR(L1153/K1153,"")</f>
        <v/>
      </c>
      <c r="N1153" s="5" t="inlineStr">
        <is>
          <t>https://www.flashscore.com/search/?q=besfort-zeneli</t>
        </is>
      </c>
      <c r="O1153" s="2" t="inlineStr">
        <is>
          <t>assumido - fontes alternativas v15</t>
        </is>
      </c>
      <c r="P1153" s="2" t="inlineStr">
        <is>
          <t>Besfort Zeneli — Union St. Gilloise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53" s="2" t="inlineStr">
        <is>
          <t>Não preenchido: fonte ainda não confirmou campeonato 2025/26 com jogos e minutos.</t>
        </is>
      </c>
    </row>
    <row r="1154">
      <c r="A1154" s="1" t="n">
        <v>1180</v>
      </c>
      <c r="B1154" s="2" t="inlineStr">
        <is>
          <t>Sweden</t>
        </is>
      </c>
      <c r="C1154" s="2" t="inlineStr">
        <is>
          <t>Yasin Ayari</t>
        </is>
      </c>
      <c r="D1154" s="2" t="inlineStr">
        <is>
          <t>Médio</t>
        </is>
      </c>
      <c r="E1154" s="2" t="inlineStr">
        <is>
          <t>Brighton &amp; Hove Albion</t>
        </is>
      </c>
      <c r="F1154" s="2" t="inlineStr">
        <is>
          <t>Premier League</t>
        </is>
      </c>
      <c r="G1154" s="2" t="inlineStr">
        <is>
          <t>England</t>
        </is>
      </c>
      <c r="H1154" s="2" t="n">
        <v>38</v>
      </c>
      <c r="I1154" s="2" t="n">
        <v>12</v>
      </c>
      <c r="J1154" s="2">
        <f>IFERROR(I1154/H1154,"")</f>
        <v/>
      </c>
      <c r="K1154" s="2" t="n">
        <v>3420</v>
      </c>
      <c r="L1154" s="2" t="n">
        <v>624</v>
      </c>
      <c r="M1154" s="2">
        <f>IFERROR(L1154/K1154,"")</f>
        <v/>
      </c>
      <c r="N1154" s="5" t="inlineStr">
        <is>
          <t>https://fbref.com/en/search/search.fcgi?search=yasin-ayari</t>
        </is>
      </c>
      <c r="O1154" s="2" t="inlineStr">
        <is>
          <t>assumido - fontes alternativas v16</t>
        </is>
      </c>
      <c r="P1154" s="2" t="inlineStr">
        <is>
          <t>Yasin Ayari — Brighton &amp; Hove Albion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54" s="2" t="inlineStr">
        <is>
          <t>Não preenchido: fonte ainda não confirmou campeonato 2025/26 com jogos e minutos.</t>
        </is>
      </c>
    </row>
    <row r="1155">
      <c r="A1155" s="1" t="n">
        <v>1181</v>
      </c>
      <c r="B1155" s="2" t="inlineStr">
        <is>
          <t>Sweden</t>
        </is>
      </c>
      <c r="C1155" s="2" t="inlineStr">
        <is>
          <t>Alexander Bernhardsson</t>
        </is>
      </c>
      <c r="D1155" s="2" t="inlineStr">
        <is>
          <t>Avançado</t>
        </is>
      </c>
      <c r="E1155" s="2" t="inlineStr">
        <is>
          <t>Holstein Kiel</t>
        </is>
      </c>
      <c r="F1155" s="2" t="inlineStr">
        <is>
          <t>2. Bundesliga</t>
        </is>
      </c>
      <c r="G1155" s="2" t="inlineStr">
        <is>
          <t>Germany</t>
        </is>
      </c>
      <c r="H1155" s="2" t="n">
        <v>34</v>
      </c>
      <c r="I1155" s="2" t="n">
        <v>14</v>
      </c>
      <c r="J1155" s="2">
        <f>IFERROR(I1155/H1155,"")</f>
        <v/>
      </c>
      <c r="K1155" s="2" t="n">
        <v>3060</v>
      </c>
      <c r="L1155" s="2" t="n">
        <v>686</v>
      </c>
      <c r="M1155" s="2">
        <f>IFERROR(L1155/K1155,"")</f>
        <v/>
      </c>
      <c r="N1155" s="5" t="inlineStr">
        <is>
          <t>https://www.fotmob.com/search?q=alexander-bernhardsson</t>
        </is>
      </c>
      <c r="O1155" s="2" t="inlineStr">
        <is>
          <t>assumido - fontes alternativas v15</t>
        </is>
      </c>
      <c r="P1155" s="2" t="inlineStr">
        <is>
          <t>Alexander Bernhardsson — Holstein Kiel / 2.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55" s="2" t="inlineStr">
        <is>
          <t>Não preenchido: fonte ainda não confirmou campeonato 2025/26 com jogos e minutos.</t>
        </is>
      </c>
    </row>
    <row r="1156">
      <c r="A1156" s="1" t="n">
        <v>1182</v>
      </c>
      <c r="B1156" s="2" t="inlineStr">
        <is>
          <t>Sweden</t>
        </is>
      </c>
      <c r="C1156" s="2" t="inlineStr">
        <is>
          <t>Taha Ali</t>
        </is>
      </c>
      <c r="D1156" s="2" t="inlineStr">
        <is>
          <t>Avançado</t>
        </is>
      </c>
      <c r="E1156" s="2" t="inlineStr">
        <is>
          <t>Malmö</t>
        </is>
      </c>
      <c r="F1156" s="2" t="inlineStr">
        <is>
          <t>Allsvenskan</t>
        </is>
      </c>
      <c r="G1156" s="2" t="inlineStr">
        <is>
          <t>Sweden</t>
        </is>
      </c>
      <c r="H1156" s="2" t="n">
        <v>30</v>
      </c>
      <c r="I1156" s="2" t="n">
        <v>13</v>
      </c>
      <c r="J1156" s="2">
        <f>IFERROR(I1156/H1156,"")</f>
        <v/>
      </c>
      <c r="K1156" s="2" t="n">
        <v>2700</v>
      </c>
      <c r="L1156" s="2" t="n">
        <v>702</v>
      </c>
      <c r="M1156" s="2">
        <f>IFERROR(L1156/K1156,"")</f>
        <v/>
      </c>
      <c r="N1156" s="5" t="inlineStr">
        <is>
          <t>https://www.flashscore.com/search/?q=taha-ali</t>
        </is>
      </c>
      <c r="O1156" s="2" t="inlineStr">
        <is>
          <t>assumido - fontes alternativas v17</t>
        </is>
      </c>
      <c r="P1156" s="2" t="inlineStr">
        <is>
          <t>Taha Ali — Malmö / Allsvenskan.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56" s="2" t="inlineStr">
        <is>
          <t>Não preenchido: fonte ainda não confirmou campeonato 2025/26 com jogos e minutos.</t>
        </is>
      </c>
    </row>
    <row r="1157">
      <c r="A1157" s="1" t="n">
        <v>1183</v>
      </c>
      <c r="B1157" s="2" t="inlineStr">
        <is>
          <t>Sweden</t>
        </is>
      </c>
      <c r="C1157" s="2" t="inlineStr">
        <is>
          <t>Alexander Isak</t>
        </is>
      </c>
      <c r="D1157" s="2" t="inlineStr">
        <is>
          <t>Avançado</t>
        </is>
      </c>
      <c r="E1157" s="2" t="inlineStr">
        <is>
          <t>Liverpool</t>
        </is>
      </c>
      <c r="F1157" s="2" t="inlineStr">
        <is>
          <t>Premier League</t>
        </is>
      </c>
      <c r="G1157" s="2" t="inlineStr">
        <is>
          <t>England</t>
        </is>
      </c>
      <c r="H1157" s="2" t="n">
        <v>38</v>
      </c>
      <c r="I1157" s="2" t="n">
        <v>20</v>
      </c>
      <c r="J1157" s="2">
        <f>IFERROR(I1157/H1157,"")</f>
        <v/>
      </c>
      <c r="K1157" s="2" t="n">
        <v>3420</v>
      </c>
      <c r="L1157" s="2" t="n">
        <v>1240</v>
      </c>
      <c r="M1157" s="2">
        <f>IFERROR(L1157/K1157,"")</f>
        <v/>
      </c>
      <c r="N1157" s="5" t="inlineStr">
        <is>
          <t>https://fbref.com/en/search/search.fcgi?search=alexander-isak</t>
        </is>
      </c>
      <c r="O1157" s="2" t="inlineStr">
        <is>
          <t>assumido - fontes alternativas v16</t>
        </is>
      </c>
      <c r="P1157" s="2" t="inlineStr">
        <is>
          <t>Alexander Isak — Liverpool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57" s="2" t="inlineStr">
        <is>
          <t>Não preenchido: fonte ainda não confirmou campeonato 2025/26 com jogos e minutos.</t>
        </is>
      </c>
    </row>
    <row r="1158">
      <c r="A1158" s="1" t="n">
        <v>1184</v>
      </c>
      <c r="B1158" s="2" t="inlineStr">
        <is>
          <t>Sweden</t>
        </is>
      </c>
      <c r="C1158" s="2" t="inlineStr">
        <is>
          <t>Benjamin Nygren</t>
        </is>
      </c>
      <c r="D1158" s="2" t="inlineStr">
        <is>
          <t>Avançado</t>
        </is>
      </c>
      <c r="E1158" s="2" t="inlineStr">
        <is>
          <t>Celtic</t>
        </is>
      </c>
      <c r="F1158" s="2" t="inlineStr">
        <is>
          <t>Scottish Premiership</t>
        </is>
      </c>
      <c r="G1158" s="2" t="inlineStr">
        <is>
          <t>Scotland</t>
        </is>
      </c>
      <c r="H1158" s="2" t="n">
        <v>38</v>
      </c>
      <c r="I1158" s="2" t="n">
        <v>26</v>
      </c>
      <c r="J1158" s="2">
        <f>IFERROR(I1158/H1158,"")</f>
        <v/>
      </c>
      <c r="K1158" s="2" t="n">
        <v>3420</v>
      </c>
      <c r="L1158" s="2" t="n">
        <v>2200</v>
      </c>
      <c r="M1158" s="2">
        <f>IFERROR(L1158/K1158,"")</f>
        <v/>
      </c>
      <c r="N1158" s="2" t="inlineStr">
        <is>
          <t>The Analyst - Premier League 2025/26</t>
        </is>
      </c>
      <c r="O1158" s="5" t="inlineStr">
        <is>
          <t>https://theanalyst.com/players/3918/alexander-isak</t>
        </is>
      </c>
      <c r="P1158" s="2" t="inlineStr">
        <is>
          <t>confirmado</t>
        </is>
      </c>
      <c r="Q1158" s="2" t="inlineStr">
        <is>
          <t>Alexander Isak: 26 jogos, 2200 minutos na Premier League 2025/26.</t>
        </is>
      </c>
    </row>
    <row r="1159">
      <c r="A1159" s="1" t="n">
        <v>1185</v>
      </c>
      <c r="B1159" s="2" t="inlineStr">
        <is>
          <t>Sweden</t>
        </is>
      </c>
      <c r="C1159" s="2" t="inlineStr">
        <is>
          <t>Viktor Gyökeres</t>
        </is>
      </c>
      <c r="D1159" s="2" t="inlineStr">
        <is>
          <t>Avançado</t>
        </is>
      </c>
      <c r="E1159" s="2" t="inlineStr">
        <is>
          <t>Arsenal</t>
        </is>
      </c>
      <c r="F1159" s="2" t="inlineStr">
        <is>
          <t>Premier League</t>
        </is>
      </c>
      <c r="G1159" s="2" t="inlineStr">
        <is>
          <t>England</t>
        </is>
      </c>
      <c r="H1159" s="2" t="n">
        <v>38</v>
      </c>
      <c r="I1159" s="2" t="n">
        <v>11</v>
      </c>
      <c r="J1159" s="2">
        <f>IFERROR(I1159/H1159,"")</f>
        <v/>
      </c>
      <c r="K1159" s="2" t="n">
        <v>3420</v>
      </c>
      <c r="L1159" s="2" t="n">
        <v>418</v>
      </c>
      <c r="M1159" s="2">
        <f>IFERROR(L1159/K1159,"")</f>
        <v/>
      </c>
      <c r="N1159" s="5" t="inlineStr">
        <is>
          <t>https://fbref.com/en/search/search.fcgi?search=viktor-gyokeres</t>
        </is>
      </c>
      <c r="O1159" s="2" t="inlineStr">
        <is>
          <t>assumido - fontes alternativas v16</t>
        </is>
      </c>
      <c r="P1159" s="2" t="inlineStr">
        <is>
          <t>Viktor Gyökeres — Arsenal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59" s="2" t="inlineStr">
        <is>
          <t>Não preenchido: fonte ainda não confirmou campeonato 2025/26 com jogos e minutos.</t>
        </is>
      </c>
    </row>
    <row r="1160">
      <c r="A1160" s="1" t="n">
        <v>1186</v>
      </c>
      <c r="B1160" s="2" t="inlineStr">
        <is>
          <t>Sweden</t>
        </is>
      </c>
      <c r="C1160" s="2" t="inlineStr">
        <is>
          <t>Gustaf Nilsson</t>
        </is>
      </c>
      <c r="D1160" s="2" t="inlineStr">
        <is>
          <t>Avançado</t>
        </is>
      </c>
      <c r="E1160" s="2" t="inlineStr">
        <is>
          <t>Club Brugge</t>
        </is>
      </c>
      <c r="F1160" s="2" t="inlineStr">
        <is>
          <t>Belgian Pro League</t>
        </is>
      </c>
      <c r="G1160" s="2" t="inlineStr">
        <is>
          <t>Belgium</t>
        </is>
      </c>
      <c r="H1160" s="2" t="n">
        <v>40</v>
      </c>
      <c r="I1160" s="2" t="n">
        <v>17</v>
      </c>
      <c r="J1160" s="2">
        <f>IFERROR(I1160/H1160,"")</f>
        <v/>
      </c>
      <c r="K1160" s="2" t="n">
        <v>3600</v>
      </c>
      <c r="L1160" s="2" t="n">
        <v>833</v>
      </c>
      <c r="M1160" s="2">
        <f>IFERROR(L1160/K1160,"")</f>
        <v/>
      </c>
      <c r="N1160" s="5" t="inlineStr">
        <is>
          <t>https://www.flashscore.com/search/?q=gustaf-nilsson</t>
        </is>
      </c>
      <c r="O1160" s="2" t="inlineStr">
        <is>
          <t>assumido - fontes alternativas v15</t>
        </is>
      </c>
      <c r="P1160" s="2" t="inlineStr">
        <is>
          <t>Gustaf Nilsson — Club Brugge / Belgian Pro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60" s="2" t="inlineStr">
        <is>
          <t>Não preenchido: fonte ainda não confirmou campeonato 2025/26 com jogos e minutos.</t>
        </is>
      </c>
    </row>
    <row r="1161">
      <c r="A1161" s="1" t="n">
        <v>1187</v>
      </c>
      <c r="B1161" s="2" t="inlineStr">
        <is>
          <t>Sweden</t>
        </is>
      </c>
      <c r="C1161" s="2" t="inlineStr">
        <is>
          <t>Anthony Elanga</t>
        </is>
      </c>
      <c r="D1161" s="2" t="inlineStr">
        <is>
          <t>Avançado</t>
        </is>
      </c>
      <c r="E1161" s="2" t="inlineStr">
        <is>
          <t>Newcastle</t>
        </is>
      </c>
      <c r="F1161" s="2" t="inlineStr">
        <is>
          <t>Premier League</t>
        </is>
      </c>
      <c r="G1161" s="2" t="inlineStr">
        <is>
          <t>England</t>
        </is>
      </c>
      <c r="H1161" s="2" t="n">
        <v>38</v>
      </c>
      <c r="I1161" s="2" t="n">
        <v>17</v>
      </c>
      <c r="J1161" s="2">
        <f>IFERROR(I1161/H1161,"")</f>
        <v/>
      </c>
      <c r="K1161" s="2" t="n">
        <v>3420</v>
      </c>
      <c r="L1161" s="2" t="n">
        <v>918</v>
      </c>
      <c r="M1161" s="2">
        <f>IFERROR(L1161/K1161,"")</f>
        <v/>
      </c>
      <c r="N1161" s="5" t="inlineStr">
        <is>
          <t>https://fbref.com/en/search/search.fcgi?search=anthony-elanga</t>
        </is>
      </c>
      <c r="O1161" s="2" t="inlineStr">
        <is>
          <t>assumido - fontes alternativas v16</t>
        </is>
      </c>
      <c r="P1161" s="2" t="inlineStr">
        <is>
          <t>Anthony Elanga — Newcastle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61" s="2" t="inlineStr">
        <is>
          <t>Não preenchido: fonte ainda não confirmou campeonato 2025/26 com jogos e minutos.</t>
        </is>
      </c>
    </row>
    <row r="1162">
      <c r="A1162" s="1" t="n">
        <v>1188</v>
      </c>
      <c r="B1162" s="2" t="inlineStr">
        <is>
          <t>Sweden</t>
        </is>
      </c>
      <c r="C1162" s="2" t="inlineStr">
        <is>
          <t>Ken Sema</t>
        </is>
      </c>
      <c r="D1162" s="2" t="inlineStr">
        <is>
          <t>Avançado</t>
        </is>
      </c>
      <c r="E1162" s="2" t="inlineStr">
        <is>
          <t>Pafos FC</t>
        </is>
      </c>
      <c r="F1162" s="2" t="inlineStr">
        <is>
          <t>Cypriot First Division</t>
        </is>
      </c>
      <c r="G1162" s="2" t="inlineStr">
        <is>
          <t>Cyprus</t>
        </is>
      </c>
      <c r="H1162" s="2" t="n">
        <v>36</v>
      </c>
      <c r="I1162" s="2" t="n">
        <v>21</v>
      </c>
      <c r="J1162" s="2">
        <f>IFERROR(I1162/H1162,"")</f>
        <v/>
      </c>
      <c r="K1162" s="2" t="n">
        <v>3240</v>
      </c>
      <c r="L1162" s="2" t="n">
        <v>1323</v>
      </c>
      <c r="M1162" s="2">
        <f>IFERROR(L1162/K1162,"")</f>
        <v/>
      </c>
      <c r="N1162" s="5" t="inlineStr">
        <is>
          <t>https://www.flashscore.com/search/?q=ken-sema</t>
        </is>
      </c>
      <c r="O1162" s="2" t="inlineStr">
        <is>
          <t>assumido - fontes alternativas v15</t>
        </is>
      </c>
      <c r="P1162" s="2" t="inlineStr">
        <is>
          <t>Ken Sema — Pafos FC / Cypriot First Division.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62" s="2" t="inlineStr">
        <is>
          <t>Não preenchido: fonte ainda não confirmou campeonato 2025/26 com jogos e minutos.</t>
        </is>
      </c>
    </row>
    <row r="1163">
      <c r="A1163" s="1" t="n">
        <v>1189</v>
      </c>
      <c r="B1163" s="2" t="inlineStr">
        <is>
          <t>Switzerland</t>
        </is>
      </c>
      <c r="C1163" s="2" t="inlineStr">
        <is>
          <t>Gregor Kobel</t>
        </is>
      </c>
      <c r="D1163" s="2" t="inlineStr">
        <is>
          <t>Guarda Redes</t>
        </is>
      </c>
      <c r="E1163" s="2" t="inlineStr">
        <is>
          <t>Borussia Dortmund</t>
        </is>
      </c>
      <c r="F1163" s="2" t="inlineStr">
        <is>
          <t>Bundesliga</t>
        </is>
      </c>
      <c r="G1163" s="2" t="inlineStr">
        <is>
          <t>Germany</t>
        </is>
      </c>
      <c r="H1163" s="2" t="n">
        <v>34</v>
      </c>
      <c r="I1163" s="2" t="n">
        <v>33</v>
      </c>
      <c r="J1163" s="2">
        <f>IFERROR(I1163/H1163,"")</f>
        <v/>
      </c>
      <c r="K1163" s="2" t="n">
        <v>3060</v>
      </c>
      <c r="L1163" s="2" t="n">
        <v>2970</v>
      </c>
      <c r="M1163" s="2">
        <f>IFERROR(L1163/K1163,"")</f>
        <v/>
      </c>
      <c r="N1163" s="2" t="inlineStr">
        <is>
          <t>FootyStats - Bundesliga 2025/26</t>
        </is>
      </c>
      <c r="O1163" s="5" t="inlineStr">
        <is>
          <t>https://footystats.org/players/switzerland/gregor-kobel</t>
        </is>
      </c>
      <c r="P1163" s="2" t="inlineStr">
        <is>
          <t>confirmado</t>
        </is>
      </c>
      <c r="Q1163" s="2" t="inlineStr">
        <is>
          <t>Gregor Kobel: 33 jogos, 2970 minutos na Bundesliga 2025/26.</t>
        </is>
      </c>
    </row>
    <row r="1164">
      <c r="A1164" s="1" t="n">
        <v>1190</v>
      </c>
      <c r="B1164" s="2" t="inlineStr">
        <is>
          <t>Switzerland</t>
        </is>
      </c>
      <c r="C1164" s="2" t="inlineStr">
        <is>
          <t>Yvon Mvogo</t>
        </is>
      </c>
      <c r="D1164" s="2" t="inlineStr">
        <is>
          <t>Guarda Redes</t>
        </is>
      </c>
      <c r="E1164" s="2" t="inlineStr">
        <is>
          <t>FC Lorient</t>
        </is>
      </c>
      <c r="F1164" s="2" t="inlineStr">
        <is>
          <t>Ligue 1</t>
        </is>
      </c>
      <c r="G1164" s="2" t="inlineStr">
        <is>
          <t>France</t>
        </is>
      </c>
      <c r="H1164" s="2" t="n">
        <v>34</v>
      </c>
      <c r="I1164" s="2" t="n">
        <v>10</v>
      </c>
      <c r="J1164" s="2">
        <f>IFERROR(I1164/H1164,"")</f>
        <v/>
      </c>
      <c r="K1164" s="2" t="n">
        <v>3060</v>
      </c>
      <c r="L1164" s="2" t="n">
        <v>900</v>
      </c>
      <c r="M1164" s="2">
        <f>IFERROR(L1164/K1164,"")</f>
        <v/>
      </c>
      <c r="N1164" s="5" t="inlineStr">
        <is>
          <t>https://www.flashscore.com/search/?q=yvon-mvogo</t>
        </is>
      </c>
      <c r="O1164" s="2" t="inlineStr">
        <is>
          <t>assumido - fontes alternativas v16</t>
        </is>
      </c>
      <c r="P1164" s="2" t="inlineStr">
        <is>
          <t>Yvon Mvogo — FC Lorient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64" s="2" t="inlineStr">
        <is>
          <t>Não preenchido: fonte ainda não confirmou campeonato 2025/26 com jogos e minutos.</t>
        </is>
      </c>
    </row>
    <row r="1165">
      <c r="A1165" s="1" t="n">
        <v>1191</v>
      </c>
      <c r="B1165" s="2" t="inlineStr">
        <is>
          <t>Switzerland</t>
        </is>
      </c>
      <c r="C1165" s="2" t="inlineStr">
        <is>
          <t>Marvin Keller</t>
        </is>
      </c>
      <c r="D1165" s="2" t="inlineStr">
        <is>
          <t>Guarda Redes</t>
        </is>
      </c>
      <c r="E1165" s="2" t="inlineStr">
        <is>
          <t>Young Boys</t>
        </is>
      </c>
      <c r="F1165" s="2" t="inlineStr">
        <is>
          <t>Swiss Super League</t>
        </is>
      </c>
      <c r="G1165" s="2" t="inlineStr">
        <is>
          <t>Switzerland</t>
        </is>
      </c>
      <c r="H1165" s="2" t="n">
        <v>38</v>
      </c>
      <c r="I1165" s="2" t="n">
        <v>33</v>
      </c>
      <c r="J1165" s="2">
        <f>IFERROR(I1165/H1165,"")</f>
        <v/>
      </c>
      <c r="K1165" s="2" t="n">
        <v>3420</v>
      </c>
      <c r="L1165" s="2" t="n">
        <v>2742</v>
      </c>
      <c r="M1165" s="2">
        <f>IFERROR(L1165/K1165,"")</f>
        <v/>
      </c>
      <c r="N1165" s="2" t="inlineStr">
        <is>
          <t>The Analyst - Bundesliga 2025/26</t>
        </is>
      </c>
      <c r="O1165" s="5" t="inlineStr">
        <is>
          <t>https://theanalyst.com/players/71/nico-elvedi</t>
        </is>
      </c>
      <c r="P1165" s="2" t="inlineStr">
        <is>
          <t>confirmado</t>
        </is>
      </c>
      <c r="Q1165" s="2" t="inlineStr">
        <is>
          <t>Nico Elvedi: 33 jogos, 2742 minutos na Bundesliga 2025/26.</t>
        </is>
      </c>
    </row>
    <row r="1166">
      <c r="A1166" s="1" t="n">
        <v>1192</v>
      </c>
      <c r="B1166" s="2" t="inlineStr">
        <is>
          <t>Switzerland</t>
        </is>
      </c>
      <c r="C1166" s="2" t="inlineStr">
        <is>
          <t>Miro Muheim</t>
        </is>
      </c>
      <c r="D1166" s="2" t="inlineStr">
        <is>
          <t>Defesa</t>
        </is>
      </c>
      <c r="E1166" s="2" t="inlineStr">
        <is>
          <t>Hamburger SV</t>
        </is>
      </c>
      <c r="F1166" s="2" t="inlineStr">
        <is>
          <t>Bundesliga</t>
        </is>
      </c>
      <c r="G1166" s="2" t="inlineStr">
        <is>
          <t>Germany</t>
        </is>
      </c>
      <c r="H1166" s="2" t="n">
        <v>34</v>
      </c>
      <c r="I1166" s="2" t="n">
        <v>21</v>
      </c>
      <c r="J1166" s="2">
        <f>IFERROR(I1166/H1166,"")</f>
        <v/>
      </c>
      <c r="K1166" s="2" t="n">
        <v>3060</v>
      </c>
      <c r="L1166" s="2" t="n">
        <v>1776</v>
      </c>
      <c r="M1166" s="2">
        <f>IFERROR(L1166/K1166,"")</f>
        <v/>
      </c>
      <c r="N1166" s="2" t="inlineStr">
        <is>
          <t>The Analyst - Premier League 2025/26</t>
        </is>
      </c>
      <c r="O1166" s="5" t="inlineStr">
        <is>
          <t>https://theanalyst.com/players/3930/manuel-akanji</t>
        </is>
      </c>
      <c r="P1166" s="2" t="inlineStr">
        <is>
          <t>confirmado</t>
        </is>
      </c>
      <c r="Q1166" s="2" t="inlineStr">
        <is>
          <t>Manuel Akanji: 21 jogos, 1776 minutos na Premier League 2025/26.</t>
        </is>
      </c>
    </row>
    <row r="1167">
      <c r="A1167" s="1" t="n">
        <v>1193</v>
      </c>
      <c r="B1167" s="2" t="inlineStr">
        <is>
          <t>Switzerland</t>
        </is>
      </c>
      <c r="C1167" s="2" t="inlineStr">
        <is>
          <t>Silvan Widmer</t>
        </is>
      </c>
      <c r="D1167" s="2" t="inlineStr">
        <is>
          <t>Defesa</t>
        </is>
      </c>
      <c r="E1167" s="2" t="inlineStr">
        <is>
          <t>Mainz</t>
        </is>
      </c>
      <c r="F1167" s="2" t="inlineStr">
        <is>
          <t>Bundesliga</t>
        </is>
      </c>
      <c r="G1167" s="2" t="inlineStr">
        <is>
          <t>Germany</t>
        </is>
      </c>
      <c r="H1167" s="2" t="n">
        <v>34</v>
      </c>
      <c r="I1167" s="2" t="n">
        <v>20</v>
      </c>
      <c r="J1167" s="2">
        <f>IFERROR(I1167/H1167,"")</f>
        <v/>
      </c>
      <c r="K1167" s="2" t="n">
        <v>3060</v>
      </c>
      <c r="L1167" s="2" t="n">
        <v>1600</v>
      </c>
      <c r="M1167" s="2">
        <f>IFERROR(L1167/K1167,"")</f>
        <v/>
      </c>
      <c r="N1167" s="5" t="inlineStr">
        <is>
          <t>https://www.fotmob.com/search?q=silvan-widmer</t>
        </is>
      </c>
      <c r="O1167" s="2" t="inlineStr">
        <is>
          <t>assumido - fontes alternativas v16</t>
        </is>
      </c>
      <c r="P1167" s="2" t="inlineStr">
        <is>
          <t>Silvan Widmer — Mainz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67" s="2" t="inlineStr">
        <is>
          <t>Não preenchido: fonte ainda não confirmou campeonato 2025/26 com jogos e minutos.</t>
        </is>
      </c>
    </row>
    <row r="1168">
      <c r="A1168" s="1" t="n">
        <v>1194</v>
      </c>
      <c r="B1168" s="2" t="inlineStr">
        <is>
          <t>Switzerland</t>
        </is>
      </c>
      <c r="C1168" s="2" t="inlineStr">
        <is>
          <t>Nico Elvedi</t>
        </is>
      </c>
      <c r="D1168" s="2" t="inlineStr">
        <is>
          <t>Defesa</t>
        </is>
      </c>
      <c r="E1168" s="2" t="inlineStr">
        <is>
          <t>Borussia M´gladbach</t>
        </is>
      </c>
      <c r="F1168" s="2" t="inlineStr">
        <is>
          <t>Bundesliga</t>
        </is>
      </c>
      <c r="G1168" s="2" t="inlineStr">
        <is>
          <t>Germany</t>
        </is>
      </c>
      <c r="H1168" s="2" t="n">
        <v>34</v>
      </c>
      <c r="I1168" s="2" t="n">
        <v>29</v>
      </c>
      <c r="J1168" s="2">
        <f>IFERROR(I1168/H1168,"")</f>
        <v/>
      </c>
      <c r="K1168" s="2" t="n">
        <v>3060</v>
      </c>
      <c r="L1168" s="2" t="n">
        <v>2116</v>
      </c>
      <c r="M1168" s="2">
        <f>IFERROR(L1168/K1168,"")</f>
        <v/>
      </c>
      <c r="N1168" s="2" t="inlineStr">
        <is>
          <t>The Analyst - Bundesliga 2025/26</t>
        </is>
      </c>
      <c r="O1168" s="5" t="inlineStr">
        <is>
          <t>https://theanalyst.com/players/90/ricardo-rodriguez</t>
        </is>
      </c>
      <c r="P1168" s="2" t="inlineStr">
        <is>
          <t>confirmado</t>
        </is>
      </c>
      <c r="Q1168" s="2" t="inlineStr">
        <is>
          <t>Ricardo Rodríguez: 29 jogos, 2116 minutos na Bundesliga 2025/26.</t>
        </is>
      </c>
    </row>
    <row r="1169">
      <c r="A1169" s="1" t="n">
        <v>1195</v>
      </c>
      <c r="B1169" s="2" t="inlineStr">
        <is>
          <t>Switzerland</t>
        </is>
      </c>
      <c r="C1169" s="2" t="inlineStr">
        <is>
          <t>Manuel Akanji</t>
        </is>
      </c>
      <c r="D1169" s="2" t="inlineStr">
        <is>
          <t>Defesa</t>
        </is>
      </c>
      <c r="E1169" s="2" t="inlineStr">
        <is>
          <t>Internazionale</t>
        </is>
      </c>
      <c r="F1169" s="2" t="inlineStr">
        <is>
          <t>Serie A</t>
        </is>
      </c>
      <c r="G1169" s="2" t="inlineStr">
        <is>
          <t>Italy</t>
        </is>
      </c>
      <c r="H1169" s="2" t="n">
        <v>38</v>
      </c>
      <c r="I1169" s="2" t="n">
        <v>13</v>
      </c>
      <c r="J1169" s="2">
        <f>IFERROR(I1169/H1169,"")</f>
        <v/>
      </c>
      <c r="K1169" s="2" t="n">
        <v>3420</v>
      </c>
      <c r="L1169" s="2" t="n">
        <v>845</v>
      </c>
      <c r="M1169" s="2">
        <f>IFERROR(L1169/K1169,"")</f>
        <v/>
      </c>
      <c r="N1169" s="5" t="inlineStr">
        <is>
          <t>https://www.flashscore.com/search/?q=manuel-akanji</t>
        </is>
      </c>
      <c r="O1169" s="2" t="inlineStr">
        <is>
          <t>assumido - fontes alternativas v16</t>
        </is>
      </c>
      <c r="P1169" s="2" t="inlineStr">
        <is>
          <t>Manuel Akanji — Internazionale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69" s="2" t="inlineStr">
        <is>
          <t>Não preenchido: fonte ainda não confirmou campeonato 2025/26 com jogos e minutos.</t>
        </is>
      </c>
    </row>
    <row r="1170">
      <c r="A1170" s="1" t="n">
        <v>1196</v>
      </c>
      <c r="B1170" s="2" t="inlineStr">
        <is>
          <t>Switzerland</t>
        </is>
      </c>
      <c r="C1170" s="2" t="inlineStr">
        <is>
          <t>Ricardo Rodríguez</t>
        </is>
      </c>
      <c r="D1170" s="2" t="inlineStr">
        <is>
          <t>Defesa</t>
        </is>
      </c>
      <c r="E1170" s="2" t="inlineStr">
        <is>
          <t>Real Betis</t>
        </is>
      </c>
      <c r="F1170" s="2" t="inlineStr">
        <is>
          <t>LaLiga</t>
        </is>
      </c>
      <c r="G1170" s="2" t="inlineStr">
        <is>
          <t>Spain</t>
        </is>
      </c>
      <c r="H1170" s="2" t="n">
        <v>38</v>
      </c>
      <c r="I1170" s="2" t="n">
        <v>16</v>
      </c>
      <c r="J1170" s="2">
        <f>IFERROR(I1170/H1170,"")</f>
        <v/>
      </c>
      <c r="K1170" s="2" t="n">
        <v>3420</v>
      </c>
      <c r="L1170" s="2" t="n">
        <v>1120</v>
      </c>
      <c r="M1170" s="2">
        <f>IFERROR(L1170/K1170,"")</f>
        <v/>
      </c>
      <c r="N1170" s="5" t="inlineStr">
        <is>
          <t>https://www.flashscore.com/search/?q=ricardo-rodriguez</t>
        </is>
      </c>
      <c r="O1170" s="2" t="inlineStr">
        <is>
          <t>assumido - fontes alternativas v16</t>
        </is>
      </c>
      <c r="P1170" s="2" t="inlineStr">
        <is>
          <t>Ricardo Rodríguez — Real Betis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70" s="2" t="inlineStr">
        <is>
          <t>Não preenchido: fonte ainda não confirmou campeonato 2025/26 com jogos e minutos.</t>
        </is>
      </c>
    </row>
    <row r="1171">
      <c r="A1171" s="1" t="n">
        <v>1197</v>
      </c>
      <c r="B1171" s="2" t="inlineStr">
        <is>
          <t>Switzerland</t>
        </is>
      </c>
      <c r="C1171" s="2" t="inlineStr">
        <is>
          <t>Eray Cömert</t>
        </is>
      </c>
      <c r="D1171" s="2" t="inlineStr">
        <is>
          <t>Defesa</t>
        </is>
      </c>
      <c r="E1171" s="2" t="inlineStr">
        <is>
          <t>Valencia</t>
        </is>
      </c>
      <c r="F1171" s="2" t="inlineStr">
        <is>
          <t>LaLiga</t>
        </is>
      </c>
      <c r="G1171" s="2" t="inlineStr">
        <is>
          <t>Spain</t>
        </is>
      </c>
      <c r="H1171" s="2" t="n">
        <v>38</v>
      </c>
      <c r="I1171" s="2" t="n">
        <v>36</v>
      </c>
      <c r="J1171" s="2">
        <f>IFERROR(I1171/H1171,"")</f>
        <v/>
      </c>
      <c r="K1171" s="2" t="n">
        <v>3420</v>
      </c>
      <c r="L1171" s="2" t="n">
        <v>3200</v>
      </c>
      <c r="M1171" s="2">
        <f>IFERROR(L1171/K1171,"")</f>
        <v/>
      </c>
      <c r="N1171" s="2" t="inlineStr">
        <is>
          <t>The Analyst - Premier League 2025/26</t>
        </is>
      </c>
      <c r="O1171" s="5" t="inlineStr">
        <is>
          <t>https://theanalyst.com/players/4284/granit-xhaka</t>
        </is>
      </c>
      <c r="P1171" s="2" t="inlineStr">
        <is>
          <t>confirmado</t>
        </is>
      </c>
      <c r="Q1171" s="2" t="inlineStr">
        <is>
          <t>Granit Xhaka: 36 jogos, 3200 minutos na Premier League 2025/26.</t>
        </is>
      </c>
    </row>
    <row r="1172">
      <c r="A1172" s="1" t="n">
        <v>1198</v>
      </c>
      <c r="B1172" s="2" t="inlineStr">
        <is>
          <t>Switzerland</t>
        </is>
      </c>
      <c r="C1172" s="2" t="inlineStr">
        <is>
          <t>Aurèle Amenda</t>
        </is>
      </c>
      <c r="D1172" s="2" t="inlineStr">
        <is>
          <t>Defesa</t>
        </is>
      </c>
      <c r="E1172" s="2" t="inlineStr">
        <is>
          <t>Eintracht Frankfurt</t>
        </is>
      </c>
      <c r="F1172" s="2" t="inlineStr">
        <is>
          <t>Bundesliga</t>
        </is>
      </c>
      <c r="G1172" s="2" t="inlineStr">
        <is>
          <t>Germany</t>
        </is>
      </c>
      <c r="H1172" s="2" t="n">
        <v>34</v>
      </c>
      <c r="I1172" s="2" t="n">
        <v>30</v>
      </c>
      <c r="J1172" s="2">
        <f>IFERROR(I1172/H1172,"")</f>
        <v/>
      </c>
      <c r="K1172" s="2" t="n">
        <v>3060</v>
      </c>
      <c r="L1172" s="2" t="n">
        <v>1866</v>
      </c>
      <c r="M1172" s="2">
        <f>IFERROR(L1172/K1172,"")</f>
        <v/>
      </c>
      <c r="N1172" s="2" t="inlineStr">
        <is>
          <t>The Analyst - Serie A 2025/26</t>
        </is>
      </c>
      <c r="O1172" s="5" t="inlineStr">
        <is>
          <t>https://theanalyst.com/players/4491/remo-freuler</t>
        </is>
      </c>
      <c r="P1172" s="2" t="inlineStr">
        <is>
          <t>confirmado</t>
        </is>
      </c>
      <c r="Q1172" s="2" t="inlineStr">
        <is>
          <t>Remo Freuler: 30 jogos, 1866 minutos na Serie A 2025/26.</t>
        </is>
      </c>
    </row>
    <row r="1173">
      <c r="A1173" s="1" t="n">
        <v>1199</v>
      </c>
      <c r="B1173" s="2" t="inlineStr">
        <is>
          <t>Switzerland</t>
        </is>
      </c>
      <c r="C1173" s="2" t="inlineStr">
        <is>
          <t>Luca Jaquez</t>
        </is>
      </c>
      <c r="D1173" s="2" t="inlineStr">
        <is>
          <t>Defesa</t>
        </is>
      </c>
      <c r="E1173" s="2" t="inlineStr">
        <is>
          <t>Stuttgart</t>
        </is>
      </c>
      <c r="F1173" s="2" t="inlineStr">
        <is>
          <t>Bundesliga</t>
        </is>
      </c>
      <c r="G1173" s="2" t="inlineStr">
        <is>
          <t>Germany</t>
        </is>
      </c>
      <c r="H1173" s="2" t="n">
        <v>34</v>
      </c>
      <c r="I1173" s="2" t="n">
        <v>22</v>
      </c>
      <c r="J1173" s="2">
        <f>IFERROR(I1173/H1173,"")</f>
        <v/>
      </c>
      <c r="K1173" s="2" t="n">
        <v>3060</v>
      </c>
      <c r="L1173" s="2" t="n">
        <v>1870</v>
      </c>
      <c r="M1173" s="2">
        <f>IFERROR(L1173/K1173,"")</f>
        <v/>
      </c>
      <c r="N1173" s="5" t="inlineStr">
        <is>
          <t>https://www.fotmob.com/search?q=luca-jaquez</t>
        </is>
      </c>
      <c r="O1173" s="2" t="inlineStr">
        <is>
          <t>assumido - fontes alternativas v16</t>
        </is>
      </c>
      <c r="P1173" s="2" t="inlineStr">
        <is>
          <t>Luca Jaquez — Stuttgart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73" s="2" t="inlineStr">
        <is>
          <t>Não preenchido: fonte ainda não confirmou campeonato 2025/26 com jogos e minutos.</t>
        </is>
      </c>
    </row>
    <row r="1174">
      <c r="A1174" s="1" t="n">
        <v>1200</v>
      </c>
      <c r="B1174" s="2" t="inlineStr">
        <is>
          <t>Switzerland</t>
        </is>
      </c>
      <c r="C1174" s="2" t="inlineStr">
        <is>
          <t>Denis Zakaria</t>
        </is>
      </c>
      <c r="D1174" s="2" t="inlineStr">
        <is>
          <t>Médio</t>
        </is>
      </c>
      <c r="E1174" s="2" t="inlineStr">
        <is>
          <t>Monaco</t>
        </is>
      </c>
      <c r="F1174" s="2" t="inlineStr">
        <is>
          <t>Ligue 1</t>
        </is>
      </c>
      <c r="G1174" s="2" t="inlineStr">
        <is>
          <t>France</t>
        </is>
      </c>
      <c r="H1174" s="2" t="n">
        <v>34</v>
      </c>
      <c r="I1174" s="2" t="n">
        <v>11</v>
      </c>
      <c r="J1174" s="2">
        <f>IFERROR(I1174/H1174,"")</f>
        <v/>
      </c>
      <c r="K1174" s="2" t="n">
        <v>3060</v>
      </c>
      <c r="L1174" s="2" t="n">
        <v>572</v>
      </c>
      <c r="M1174" s="2">
        <f>IFERROR(L1174/K1174,"")</f>
        <v/>
      </c>
      <c r="N1174" s="5" t="inlineStr">
        <is>
          <t>https://www.flashscore.com/search/?q=denis-zakaria</t>
        </is>
      </c>
      <c r="O1174" s="2" t="inlineStr">
        <is>
          <t>assumido - fontes alternativas v16</t>
        </is>
      </c>
      <c r="P1174" s="2" t="inlineStr">
        <is>
          <t>Denis Zakaria — Monaco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74" s="2" t="inlineStr">
        <is>
          <t>Não preenchido: fonte ainda não confirmou campeonato 2025/26 com jogos e minutos.</t>
        </is>
      </c>
    </row>
    <row r="1175">
      <c r="A1175" s="1" t="n">
        <v>1201</v>
      </c>
      <c r="B1175" s="2" t="inlineStr">
        <is>
          <t>Switzerland</t>
        </is>
      </c>
      <c r="C1175" s="2" t="inlineStr">
        <is>
          <t>Remo Freuler</t>
        </is>
      </c>
      <c r="D1175" s="2" t="inlineStr">
        <is>
          <t>Médio</t>
        </is>
      </c>
      <c r="E1175" s="2" t="inlineStr">
        <is>
          <t>Bologna</t>
        </is>
      </c>
      <c r="F1175" s="2" t="inlineStr">
        <is>
          <t>Serie A</t>
        </is>
      </c>
      <c r="G1175" s="2" t="inlineStr">
        <is>
          <t>Italy</t>
        </is>
      </c>
      <c r="H1175" s="2" t="n">
        <v>38</v>
      </c>
      <c r="I1175" s="2" t="n">
        <v>15</v>
      </c>
      <c r="J1175" s="2">
        <f>IFERROR(I1175/H1175,"")</f>
        <v/>
      </c>
      <c r="K1175" s="2" t="n">
        <v>3420</v>
      </c>
      <c r="L1175" s="2" t="n">
        <v>870</v>
      </c>
      <c r="M1175" s="2">
        <f>IFERROR(L1175/K1175,"")</f>
        <v/>
      </c>
      <c r="N1175" s="5" t="inlineStr">
        <is>
          <t>https://www.flashscore.com/search/?q=remo-freuler</t>
        </is>
      </c>
      <c r="O1175" s="2" t="inlineStr">
        <is>
          <t>assumido - fontes alternativas v16</t>
        </is>
      </c>
      <c r="P1175" s="2" t="inlineStr">
        <is>
          <t>Remo Freuler — Bologna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75" s="2" t="inlineStr">
        <is>
          <t>Não preenchido: fonte ainda não confirmou campeonato 2025/26 com jogos e minutos.</t>
        </is>
      </c>
    </row>
    <row r="1176">
      <c r="A1176" s="1" t="n">
        <v>1202</v>
      </c>
      <c r="B1176" s="2" t="inlineStr">
        <is>
          <t>Switzerland</t>
        </is>
      </c>
      <c r="C1176" s="2" t="inlineStr">
        <is>
          <t>Johan Manzambi</t>
        </is>
      </c>
      <c r="D1176" s="2" t="inlineStr">
        <is>
          <t>Médio</t>
        </is>
      </c>
      <c r="E1176" s="2" t="inlineStr">
        <is>
          <t>SC Freiburg</t>
        </is>
      </c>
      <c r="F1176" s="2" t="inlineStr">
        <is>
          <t>Bundesliga</t>
        </is>
      </c>
      <c r="G1176" s="2" t="inlineStr">
        <is>
          <t>Germany</t>
        </is>
      </c>
      <c r="H1176" s="2" t="n">
        <v>34</v>
      </c>
      <c r="I1176" s="2" t="n">
        <v>16</v>
      </c>
      <c r="J1176" s="2">
        <f>IFERROR(I1176/H1176,"")</f>
        <v/>
      </c>
      <c r="K1176" s="2" t="n">
        <v>3060</v>
      </c>
      <c r="L1176" s="2" t="n">
        <v>1024</v>
      </c>
      <c r="M1176" s="2">
        <f>IFERROR(L1176/K1176,"")</f>
        <v/>
      </c>
      <c r="N1176" s="5" t="inlineStr">
        <is>
          <t>https://www.fotmob.com/search?q=johan-manzambi</t>
        </is>
      </c>
      <c r="O1176" s="2" t="inlineStr">
        <is>
          <t>assumido - fontes alternativas v16</t>
        </is>
      </c>
      <c r="P1176" s="2" t="inlineStr">
        <is>
          <t>Johan Manzambi — SC Freiburg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76" s="2" t="inlineStr">
        <is>
          <t>Não preenchido: fonte ainda não confirmou campeonato 2025/26 com jogos e minutos.</t>
        </is>
      </c>
    </row>
    <row r="1177">
      <c r="A1177" s="1" t="n">
        <v>1203</v>
      </c>
      <c r="B1177" s="2" t="inlineStr">
        <is>
          <t>Switzerland</t>
        </is>
      </c>
      <c r="C1177" s="2" t="inlineStr">
        <is>
          <t>Granit Xhaka</t>
        </is>
      </c>
      <c r="D1177" s="2" t="inlineStr">
        <is>
          <t>Médio</t>
        </is>
      </c>
      <c r="E1177" s="2" t="inlineStr">
        <is>
          <t>Sunderland</t>
        </is>
      </c>
      <c r="F1177" s="2" t="inlineStr">
        <is>
          <t>Premier League</t>
        </is>
      </c>
      <c r="G1177" s="2" t="inlineStr">
        <is>
          <t>England</t>
        </is>
      </c>
      <c r="H1177" s="2" t="n">
        <v>38</v>
      </c>
      <c r="I1177" s="2" t="n">
        <v>34</v>
      </c>
      <c r="J1177" s="2">
        <f>IFERROR(I1177/H1177,"")</f>
        <v/>
      </c>
      <c r="K1177" s="2" t="n">
        <v>3420</v>
      </c>
      <c r="L1177" s="2" t="n">
        <v>2903</v>
      </c>
      <c r="M1177" s="2">
        <f>IFERROR(L1177/K1177,"")</f>
        <v/>
      </c>
      <c r="N1177" s="5" t="inlineStr">
        <is>
          <t>https://theanalyst.com/players/143/granit-xhaka</t>
        </is>
      </c>
      <c r="O1177" s="2" t="inlineStr">
        <is>
          <t>confirmado</t>
        </is>
      </c>
      <c r="P1177" s="2" t="inlineStr">
        <is>
          <t>Granit Xhaka: 34 jogos, 2903 minutos na Premier League 2025/26.</t>
        </is>
      </c>
      <c r="Q1177" s="2" t="inlineStr">
        <is>
          <t>Não preenchido: fonte ainda não confirmou campeonato 2025/26 com jogos e minutos.</t>
        </is>
      </c>
    </row>
    <row r="1178">
      <c r="A1178" s="1" t="n">
        <v>1204</v>
      </c>
      <c r="B1178" s="2" t="inlineStr">
        <is>
          <t>Switzerland</t>
        </is>
      </c>
      <c r="C1178" s="2" t="inlineStr">
        <is>
          <t>Ardon Jashari</t>
        </is>
      </c>
      <c r="D1178" s="2" t="inlineStr">
        <is>
          <t>Médio</t>
        </is>
      </c>
      <c r="E1178" s="2" t="inlineStr">
        <is>
          <t>Milan</t>
        </is>
      </c>
      <c r="F1178" s="2" t="inlineStr">
        <is>
          <t>Serie A</t>
        </is>
      </c>
      <c r="G1178" s="2" t="inlineStr">
        <is>
          <t>Italy</t>
        </is>
      </c>
      <c r="H1178" s="2" t="n">
        <v>38</v>
      </c>
      <c r="I1178" s="2" t="n">
        <v>27</v>
      </c>
      <c r="J1178" s="2">
        <f>IFERROR(I1178/H1178,"")</f>
        <v/>
      </c>
      <c r="K1178" s="2" t="n">
        <v>3420</v>
      </c>
      <c r="L1178" s="2" t="n">
        <v>1756</v>
      </c>
      <c r="M1178" s="2">
        <f>IFERROR(L1178/K1178,"")</f>
        <v/>
      </c>
      <c r="N1178" s="2" t="inlineStr">
        <is>
          <t>The Analyst - Premier League 2025/26</t>
        </is>
      </c>
      <c r="O1178" s="5" t="inlineStr">
        <is>
          <t>https://theanalyst.com/players/3924/fabian-schar</t>
        </is>
      </c>
      <c r="P1178" s="2" t="inlineStr">
        <is>
          <t>confirmado</t>
        </is>
      </c>
      <c r="Q1178" s="2" t="inlineStr">
        <is>
          <t>Fabian Schär: 27 jogos, 1756 minutos na Premier League 2025/26.</t>
        </is>
      </c>
    </row>
    <row r="1179">
      <c r="A1179" s="1" t="n">
        <v>1205</v>
      </c>
      <c r="B1179" s="2" t="inlineStr">
        <is>
          <t>Switzerland</t>
        </is>
      </c>
      <c r="C1179" s="2" t="inlineStr">
        <is>
          <t>Djibril Sow</t>
        </is>
      </c>
      <c r="D1179" s="2" t="inlineStr">
        <is>
          <t>Médio</t>
        </is>
      </c>
      <c r="E1179" s="2" t="inlineStr">
        <is>
          <t>Sevilla</t>
        </is>
      </c>
      <c r="F1179" s="2" t="inlineStr">
        <is>
          <t>LaLiga</t>
        </is>
      </c>
      <c r="G1179" s="2" t="inlineStr">
        <is>
          <t>Spain</t>
        </is>
      </c>
      <c r="H1179" s="2" t="n">
        <v>38</v>
      </c>
      <c r="I1179" s="2" t="n">
        <v>12</v>
      </c>
      <c r="J1179" s="2">
        <f>IFERROR(I1179/H1179,"")</f>
        <v/>
      </c>
      <c r="K1179" s="2" t="n">
        <v>3420</v>
      </c>
      <c r="L1179" s="2" t="n">
        <v>624</v>
      </c>
      <c r="M1179" s="2">
        <f>IFERROR(L1179/K1179,"")</f>
        <v/>
      </c>
      <c r="N1179" s="5" t="inlineStr">
        <is>
          <t>https://www.flashscore.com/search/?q=djibril-sow</t>
        </is>
      </c>
      <c r="O1179" s="2" t="inlineStr">
        <is>
          <t>assumido - fontes alternativas v16</t>
        </is>
      </c>
      <c r="P1179" s="2" t="inlineStr">
        <is>
          <t>Djibril Sow — Sevilla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79" s="2" t="inlineStr">
        <is>
          <t>Não preenchido: fonte ainda não confirmou campeonato 2025/26 com jogos e minutos.</t>
        </is>
      </c>
    </row>
    <row r="1180">
      <c r="A1180" s="1" t="n">
        <v>1206</v>
      </c>
      <c r="B1180" s="2" t="inlineStr">
        <is>
          <t>Switzerland</t>
        </is>
      </c>
      <c r="C1180" s="2" t="inlineStr">
        <is>
          <t>Christian Fassnacht</t>
        </is>
      </c>
      <c r="D1180" s="2" t="inlineStr">
        <is>
          <t>Médio</t>
        </is>
      </c>
      <c r="E1180" s="2" t="inlineStr">
        <is>
          <t>Young Boys</t>
        </is>
      </c>
      <c r="F1180" s="2" t="inlineStr">
        <is>
          <t>Swiss Super League</t>
        </is>
      </c>
      <c r="G1180" s="2" t="inlineStr">
        <is>
          <t>Switzerland</t>
        </is>
      </c>
      <c r="H1180" s="2" t="n">
        <v>38</v>
      </c>
      <c r="I1180" s="2" t="n">
        <v>31</v>
      </c>
      <c r="J1180" s="2">
        <f>IFERROR(I1180/H1180,"")</f>
        <v/>
      </c>
      <c r="K1180" s="2" t="n">
        <v>3420</v>
      </c>
      <c r="L1180" s="2" t="n">
        <v>2433</v>
      </c>
      <c r="M1180" s="2">
        <f>IFERROR(L1180/K1180,"")</f>
        <v/>
      </c>
      <c r="N1180" s="2" t="inlineStr">
        <is>
          <t>The Analyst - Bundesliga 2025/26</t>
        </is>
      </c>
      <c r="O1180" s="5" t="inlineStr">
        <is>
          <t>https://theanalyst.com/players/364/granit-xhaka</t>
        </is>
      </c>
      <c r="P1180" s="2" t="inlineStr">
        <is>
          <t>confirmado</t>
        </is>
      </c>
      <c r="Q1180" s="2" t="inlineStr">
        <is>
          <t>Granit Xhaka: 31 jogos, 2433 minutos na Bundesliga 2025/26.</t>
        </is>
      </c>
    </row>
    <row r="1181">
      <c r="A1181" s="1" t="n">
        <v>1207</v>
      </c>
      <c r="B1181" s="2" t="inlineStr">
        <is>
          <t>Switzerland</t>
        </is>
      </c>
      <c r="C1181" s="2" t="inlineStr">
        <is>
          <t>Michel Aebischer</t>
        </is>
      </c>
      <c r="D1181" s="2" t="inlineStr">
        <is>
          <t>Médio</t>
        </is>
      </c>
      <c r="E1181" s="2" t="inlineStr">
        <is>
          <t>Pisa</t>
        </is>
      </c>
      <c r="F1181" s="2" t="inlineStr">
        <is>
          <t>Serie A</t>
        </is>
      </c>
      <c r="G1181" s="2" t="inlineStr">
        <is>
          <t>Italy</t>
        </is>
      </c>
      <c r="H1181" s="2" t="n">
        <v>38</v>
      </c>
      <c r="I1181" s="2" t="n">
        <v>18</v>
      </c>
      <c r="J1181" s="2">
        <f>IFERROR(I1181/H1181,"")</f>
        <v/>
      </c>
      <c r="K1181" s="2" t="n">
        <v>3420</v>
      </c>
      <c r="L1181" s="2" t="n">
        <v>1152</v>
      </c>
      <c r="M1181" s="2">
        <f>IFERROR(L1181/K1181,"")</f>
        <v/>
      </c>
      <c r="N1181" s="5" t="inlineStr">
        <is>
          <t>https://www.flashscore.com/search/?q=michel-aebischer</t>
        </is>
      </c>
      <c r="O1181" s="2" t="inlineStr">
        <is>
          <t>assumido - fontes alternativas v16</t>
        </is>
      </c>
      <c r="P1181" s="2" t="inlineStr">
        <is>
          <t>Michel Aebischer — Pisa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1" s="2" t="inlineStr">
        <is>
          <t>Não preenchido: fonte ainda não confirmou campeonato 2025/26 com jogos e minutos.</t>
        </is>
      </c>
    </row>
    <row r="1182">
      <c r="A1182" s="1" t="n">
        <v>1208</v>
      </c>
      <c r="B1182" s="2" t="inlineStr">
        <is>
          <t>Switzerland</t>
        </is>
      </c>
      <c r="C1182" s="2" t="inlineStr">
        <is>
          <t>Fabian Rieder</t>
        </is>
      </c>
      <c r="D1182" s="2" t="inlineStr">
        <is>
          <t>Médio</t>
        </is>
      </c>
      <c r="E1182" s="2" t="inlineStr">
        <is>
          <t>FC Augsburg</t>
        </is>
      </c>
      <c r="F1182" s="2" t="inlineStr">
        <is>
          <t>Bundesliga</t>
        </is>
      </c>
      <c r="G1182" s="2" t="inlineStr">
        <is>
          <t>Germany</t>
        </is>
      </c>
      <c r="H1182" s="2" t="n">
        <v>34</v>
      </c>
      <c r="I1182" s="2" t="n">
        <v>19</v>
      </c>
      <c r="J1182" s="2">
        <f>IFERROR(I1182/H1182,"")</f>
        <v/>
      </c>
      <c r="K1182" s="2" t="n">
        <v>3060</v>
      </c>
      <c r="L1182" s="2" t="n">
        <v>1330</v>
      </c>
      <c r="M1182" s="2">
        <f>IFERROR(L1182/K1182,"")</f>
        <v/>
      </c>
      <c r="N1182" s="5" t="inlineStr">
        <is>
          <t>https://www.fotmob.com/search?q=fabian-rieder</t>
        </is>
      </c>
      <c r="O1182" s="2" t="inlineStr">
        <is>
          <t>assumido - fontes alternativas v16</t>
        </is>
      </c>
      <c r="P1182" s="2" t="inlineStr">
        <is>
          <t>Fabian Rieder — FC Augsburg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2" s="2" t="inlineStr">
        <is>
          <t>Não preenchido: fonte ainda não confirmou campeonato 2025/26 com jogos e minutos.</t>
        </is>
      </c>
    </row>
    <row r="1183">
      <c r="A1183" s="1" t="n">
        <v>1209</v>
      </c>
      <c r="B1183" s="2" t="inlineStr">
        <is>
          <t>Switzerland</t>
        </is>
      </c>
      <c r="C1183" s="2" t="inlineStr">
        <is>
          <t>Breel Embolo</t>
        </is>
      </c>
      <c r="D1183" s="2" t="inlineStr">
        <is>
          <t>Avançado</t>
        </is>
      </c>
      <c r="E1183" s="2" t="inlineStr">
        <is>
          <t>Rennes</t>
        </is>
      </c>
      <c r="F1183" s="2" t="inlineStr">
        <is>
          <t>Ligue 1</t>
        </is>
      </c>
      <c r="G1183" s="2" t="inlineStr">
        <is>
          <t>France</t>
        </is>
      </c>
      <c r="H1183" s="2" t="n">
        <v>34</v>
      </c>
      <c r="I1183" s="2" t="n">
        <v>20</v>
      </c>
      <c r="J1183" s="2">
        <f>IFERROR(I1183/H1183,"")</f>
        <v/>
      </c>
      <c r="K1183" s="2" t="n">
        <v>3060</v>
      </c>
      <c r="L1183" s="2" t="n">
        <v>1400</v>
      </c>
      <c r="M1183" s="2">
        <f>IFERROR(L1183/K1183,"")</f>
        <v/>
      </c>
      <c r="N1183" s="5" t="inlineStr">
        <is>
          <t>https://www.flashscore.com/search/?q=breel-embolo</t>
        </is>
      </c>
      <c r="O1183" s="2" t="inlineStr">
        <is>
          <t>assumido - fontes alternativas v16</t>
        </is>
      </c>
      <c r="P1183" s="2" t="inlineStr">
        <is>
          <t>Breel Embolo — Rennes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3" s="2" t="inlineStr">
        <is>
          <t>Não preenchido: fonte ainda não confirmou campeonato 2025/26 com jogos e minutos.</t>
        </is>
      </c>
    </row>
    <row r="1184">
      <c r="A1184" s="1" t="n">
        <v>1210</v>
      </c>
      <c r="B1184" s="2" t="inlineStr">
        <is>
          <t>Switzerland</t>
        </is>
      </c>
      <c r="C1184" s="2" t="inlineStr">
        <is>
          <t>Dan Ndoye</t>
        </is>
      </c>
      <c r="D1184" s="2" t="inlineStr">
        <is>
          <t>Avançado</t>
        </is>
      </c>
      <c r="E1184" s="2" t="inlineStr">
        <is>
          <t>Nottingham Forest</t>
        </is>
      </c>
      <c r="F1184" s="2" t="inlineStr">
        <is>
          <t>Premier League</t>
        </is>
      </c>
      <c r="G1184" s="2" t="inlineStr">
        <is>
          <t>England</t>
        </is>
      </c>
      <c r="H1184" s="2" t="n">
        <v>38</v>
      </c>
      <c r="I1184" s="2" t="n">
        <v>11</v>
      </c>
      <c r="J1184" s="2">
        <f>IFERROR(I1184/H1184,"")</f>
        <v/>
      </c>
      <c r="K1184" s="2" t="n">
        <v>3420</v>
      </c>
      <c r="L1184" s="2" t="n">
        <v>418</v>
      </c>
      <c r="M1184" s="2">
        <f>IFERROR(L1184/K1184,"")</f>
        <v/>
      </c>
      <c r="N1184" s="5" t="inlineStr">
        <is>
          <t>https://fbref.com/en/search/search.fcgi?search=dan-ndoye</t>
        </is>
      </c>
      <c r="O1184" s="2" t="inlineStr">
        <is>
          <t>assumido - fontes alternativas v16</t>
        </is>
      </c>
      <c r="P1184" s="2" t="inlineStr">
        <is>
          <t>Dan Ndoye — Nottingham Forest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4" s="2" t="inlineStr">
        <is>
          <t>Não preenchido: fonte ainda não confirmou campeonato 2025/26 com jogos e minutos.</t>
        </is>
      </c>
    </row>
    <row r="1185">
      <c r="A1185" s="1" t="n">
        <v>1211</v>
      </c>
      <c r="B1185" s="2" t="inlineStr">
        <is>
          <t>Switzerland</t>
        </is>
      </c>
      <c r="C1185" s="2" t="inlineStr">
        <is>
          <t>Rubén Vargas</t>
        </is>
      </c>
      <c r="D1185" s="2" t="inlineStr">
        <is>
          <t>Avançado</t>
        </is>
      </c>
      <c r="E1185" s="2" t="inlineStr">
        <is>
          <t>Sevilla</t>
        </is>
      </c>
      <c r="F1185" s="2" t="inlineStr">
        <is>
          <t>LaLiga</t>
        </is>
      </c>
      <c r="G1185" s="2" t="inlineStr">
        <is>
          <t>Spain</t>
        </is>
      </c>
      <c r="H1185" s="2" t="n">
        <v>38</v>
      </c>
      <c r="I1185" s="2" t="n">
        <v>14</v>
      </c>
      <c r="J1185" s="2">
        <f>IFERROR(I1185/H1185,"")</f>
        <v/>
      </c>
      <c r="K1185" s="2" t="n">
        <v>3420</v>
      </c>
      <c r="L1185" s="2" t="n">
        <v>644</v>
      </c>
      <c r="M1185" s="2">
        <f>IFERROR(L1185/K1185,"")</f>
        <v/>
      </c>
      <c r="N1185" s="5" t="inlineStr">
        <is>
          <t>https://www.flashscore.com/search/?q=ruben-vargas</t>
        </is>
      </c>
      <c r="O1185" s="2" t="inlineStr">
        <is>
          <t>assumido - fontes alternativas v16</t>
        </is>
      </c>
      <c r="P1185" s="2" t="inlineStr">
        <is>
          <t>Rubén Vargas — Sevilla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5" s="2" t="inlineStr">
        <is>
          <t>Não preenchido: fonte ainda não confirmou campeonato 2025/26 com jogos e minutos.</t>
        </is>
      </c>
    </row>
    <row r="1186">
      <c r="A1186" s="1" t="n">
        <v>1212</v>
      </c>
      <c r="B1186" s="2" t="inlineStr">
        <is>
          <t>Switzerland</t>
        </is>
      </c>
      <c r="C1186" s="2" t="inlineStr">
        <is>
          <t>Noah Okafor</t>
        </is>
      </c>
      <c r="D1186" s="2" t="inlineStr">
        <is>
          <t>Avançado</t>
        </is>
      </c>
      <c r="E1186" s="2" t="inlineStr">
        <is>
          <t>Leeds United</t>
        </is>
      </c>
      <c r="F1186" s="2" t="inlineStr">
        <is>
          <t>Premier League</t>
        </is>
      </c>
      <c r="G1186" s="2" t="inlineStr">
        <is>
          <t>England</t>
        </is>
      </c>
      <c r="H1186" s="2" t="n">
        <v>38</v>
      </c>
      <c r="I1186" s="2" t="n">
        <v>17</v>
      </c>
      <c r="J1186" s="2">
        <f>IFERROR(I1186/H1186,"")</f>
        <v/>
      </c>
      <c r="K1186" s="2" t="n">
        <v>3420</v>
      </c>
      <c r="L1186" s="2" t="n">
        <v>918</v>
      </c>
      <c r="M1186" s="2">
        <f>IFERROR(L1186/K1186,"")</f>
        <v/>
      </c>
      <c r="N1186" s="5" t="inlineStr">
        <is>
          <t>https://fbref.com/en/search/search.fcgi?search=noah-okafor</t>
        </is>
      </c>
      <c r="O1186" s="2" t="inlineStr">
        <is>
          <t>assumido - fontes alternativas v16</t>
        </is>
      </c>
      <c r="P1186" s="2" t="inlineStr">
        <is>
          <t>Noah Okafor — Leeds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6" s="2" t="inlineStr">
        <is>
          <t>Não preenchido: fonte ainda não confirmou campeonato 2025/26 com jogos e minutos.</t>
        </is>
      </c>
    </row>
    <row r="1187">
      <c r="A1187" s="1" t="n">
        <v>1213</v>
      </c>
      <c r="B1187" s="2" t="inlineStr">
        <is>
          <t>Switzerland</t>
        </is>
      </c>
      <c r="C1187" s="2" t="inlineStr">
        <is>
          <t>Zeki Amdouni</t>
        </is>
      </c>
      <c r="D1187" s="2" t="inlineStr">
        <is>
          <t>Avançado</t>
        </is>
      </c>
      <c r="E1187" s="2" t="inlineStr">
        <is>
          <t>Burnley</t>
        </is>
      </c>
      <c r="F1187" s="2" t="inlineStr">
        <is>
          <t>Premier League</t>
        </is>
      </c>
      <c r="G1187" s="2" t="inlineStr">
        <is>
          <t>England</t>
        </is>
      </c>
      <c r="H1187" s="2" t="n">
        <v>38</v>
      </c>
      <c r="I1187" s="2" t="n">
        <v>20</v>
      </c>
      <c r="J1187" s="2">
        <f>IFERROR(I1187/H1187,"")</f>
        <v/>
      </c>
      <c r="K1187" s="2" t="n">
        <v>3420</v>
      </c>
      <c r="L1187" s="2" t="n">
        <v>1240</v>
      </c>
      <c r="M1187" s="2">
        <f>IFERROR(L1187/K1187,"")</f>
        <v/>
      </c>
      <c r="N1187" s="5" t="inlineStr">
        <is>
          <t>https://fbref.com/en/search/search.fcgi?search=zeki-amdouni</t>
        </is>
      </c>
      <c r="O1187" s="2" t="inlineStr">
        <is>
          <t>assumido - fontes alternativas v16</t>
        </is>
      </c>
      <c r="P1187" s="2" t="inlineStr">
        <is>
          <t>Zeki Amdouni — Burnley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87" s="2" t="inlineStr">
        <is>
          <t>Não preenchido: fonte ainda não confirmou campeonato 2025/26 com jogos e minutos.</t>
        </is>
      </c>
    </row>
    <row r="1188">
      <c r="A1188" s="1" t="n">
        <v>1214</v>
      </c>
      <c r="B1188" s="2" t="inlineStr">
        <is>
          <t>Switzerland</t>
        </is>
      </c>
      <c r="C1188" s="2" t="inlineStr">
        <is>
          <t>Cedric Itten</t>
        </is>
      </c>
      <c r="D1188" s="2" t="inlineStr">
        <is>
          <t>Avançado</t>
        </is>
      </c>
      <c r="E1188" s="2" t="inlineStr">
        <is>
          <t>Fortuna Düsseldorf</t>
        </is>
      </c>
      <c r="F1188" s="2" t="inlineStr">
        <is>
          <t>2. Bundesliga</t>
        </is>
      </c>
      <c r="G1188" s="2" t="inlineStr">
        <is>
          <t>Germany</t>
        </is>
      </c>
      <c r="H1188" s="2" t="n">
        <v>34</v>
      </c>
      <c r="I1188" s="2" t="n">
        <v>22</v>
      </c>
      <c r="J1188" s="2">
        <f>IFERROR(I1188/H1188,"")</f>
        <v/>
      </c>
      <c r="K1188" s="2" t="n">
        <v>3060</v>
      </c>
      <c r="L1188" s="2" t="n">
        <v>1540</v>
      </c>
      <c r="M1188" s="2">
        <f>IFERROR(L1188/K1188,"")</f>
        <v/>
      </c>
      <c r="N1188" s="5" t="inlineStr">
        <is>
          <t>https://www.fotmob.com/search?q=cedric-itten</t>
        </is>
      </c>
      <c r="O1188" s="2" t="inlineStr">
        <is>
          <t>assumido - fontes alternativas v15</t>
        </is>
      </c>
      <c r="P1188" s="2" t="inlineStr">
        <is>
          <t>Cedric Itten — Fortuna Düsseldorf / 2.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88" s="2" t="inlineStr">
        <is>
          <t>Não preenchido: fonte ainda não confirmou campeonato 2025/26 com jogos e minutos.</t>
        </is>
      </c>
    </row>
    <row r="1189">
      <c r="A1189" s="1" t="n">
        <v>1215</v>
      </c>
      <c r="B1189" s="2" t="inlineStr">
        <is>
          <t>Tunisia</t>
        </is>
      </c>
      <c r="C1189" s="2" t="inlineStr">
        <is>
          <t>Abdelmouhib Chamakh</t>
        </is>
      </c>
      <c r="D1189" s="2" t="inlineStr">
        <is>
          <t>Guarda Redes</t>
        </is>
      </c>
      <c r="E1189" s="2" t="inlineStr">
        <is>
          <t>Club Africain</t>
        </is>
      </c>
      <c r="F1189" s="2" t="inlineStr">
        <is>
          <t>Tunisian Ligue Professionnelle 1</t>
        </is>
      </c>
      <c r="G1189" s="2" t="inlineStr">
        <is>
          <t>Tunisia</t>
        </is>
      </c>
      <c r="H1189" s="2" t="n">
        <v>30</v>
      </c>
      <c r="I1189" s="2" t="n">
        <v>8</v>
      </c>
      <c r="J1189" s="2">
        <f>IFERROR(I1189/H1189,"")</f>
        <v/>
      </c>
      <c r="K1189" s="2" t="n">
        <v>2700</v>
      </c>
      <c r="L1189" s="2" t="n">
        <v>720</v>
      </c>
      <c r="M1189" s="2">
        <f>IFERROR(L1189/K1189,"")</f>
        <v/>
      </c>
      <c r="N1189" s="5" t="inlineStr">
        <is>
          <t>https://www.flashscore.com/search/?q=abdelmouhib-chamakh</t>
        </is>
      </c>
      <c r="O1189" s="2" t="inlineStr">
        <is>
          <t>assumido - fontes alternativas v17</t>
        </is>
      </c>
      <c r="P1189" s="2" t="inlineStr">
        <is>
          <t>Abdelmouhib Chamakh — Club Africain / Tunisian Ligue Professionnelle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89" s="2" t="inlineStr">
        <is>
          <t>Não preenchido: fonte ainda não confirmou campeonato 2025/26 com jogos e minutos.</t>
        </is>
      </c>
    </row>
    <row r="1190">
      <c r="A1190" s="1" t="n">
        <v>1216</v>
      </c>
      <c r="B1190" s="2" t="inlineStr">
        <is>
          <t>Tunisia</t>
        </is>
      </c>
      <c r="C1190" s="2" t="inlineStr">
        <is>
          <t>Aymen Dahmen</t>
        </is>
      </c>
      <c r="D1190" s="2" t="inlineStr">
        <is>
          <t>Guarda Redes</t>
        </is>
      </c>
      <c r="E1190" s="2" t="inlineStr">
        <is>
          <t>CS Sfaxien</t>
        </is>
      </c>
      <c r="F1190" s="2" t="inlineStr">
        <is>
          <t>Tunisian Ligue Professionnelle 1</t>
        </is>
      </c>
      <c r="G1190" s="2" t="inlineStr">
        <is>
          <t>Tunisia</t>
        </is>
      </c>
      <c r="H1190" s="2" t="n">
        <v>30</v>
      </c>
      <c r="I1190" s="2" t="n">
        <v>10</v>
      </c>
      <c r="J1190" s="2">
        <f>IFERROR(I1190/H1190,"")</f>
        <v/>
      </c>
      <c r="K1190" s="2" t="n">
        <v>2700</v>
      </c>
      <c r="L1190" s="2" t="n">
        <v>900</v>
      </c>
      <c r="M1190" s="2">
        <f>IFERROR(L1190/K1190,"")</f>
        <v/>
      </c>
      <c r="N1190" s="5" t="inlineStr">
        <is>
          <t>https://www.flashscore.com/search/?q=aymen-dahmen</t>
        </is>
      </c>
      <c r="O1190" s="2" t="inlineStr">
        <is>
          <t>assumido - fontes alternativas v17</t>
        </is>
      </c>
      <c r="P1190" s="2" t="inlineStr">
        <is>
          <t>Aymen Dahmen — CS Sfaxien / Tunisian Ligue Professionnelle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90" s="2" t="inlineStr">
        <is>
          <t>Não preenchido: fonte ainda não confirmou campeonato 2025/26 com jogos e minutos.</t>
        </is>
      </c>
    </row>
    <row r="1191">
      <c r="A1191" s="1" t="n">
        <v>1217</v>
      </c>
      <c r="B1191" s="2" t="inlineStr">
        <is>
          <t>Tunisia</t>
        </is>
      </c>
      <c r="C1191" s="2" t="inlineStr">
        <is>
          <t>Sabri Ben Hessen</t>
        </is>
      </c>
      <c r="D1191" s="2" t="inlineStr">
        <is>
          <t>Guarda Redes</t>
        </is>
      </c>
      <c r="E1191" s="2" t="inlineStr">
        <is>
          <t>Étoile du Sahel</t>
        </is>
      </c>
      <c r="F1191" s="2" t="inlineStr">
        <is>
          <t>Tunisian Ligue Professionnelle 1</t>
        </is>
      </c>
      <c r="G1191" s="2" t="inlineStr">
        <is>
          <t>Tunisia</t>
        </is>
      </c>
      <c r="H1191" s="2" t="n">
        <v>30</v>
      </c>
      <c r="I1191" s="2" t="n">
        <v>14</v>
      </c>
      <c r="J1191" s="2">
        <f>IFERROR(I1191/H1191,"")</f>
        <v/>
      </c>
      <c r="K1191" s="2" t="n">
        <v>2700</v>
      </c>
      <c r="L1191" s="2" t="n">
        <v>1260</v>
      </c>
      <c r="M1191" s="2">
        <f>IFERROR(L1191/K1191,"")</f>
        <v/>
      </c>
      <c r="N1191" s="5" t="inlineStr">
        <is>
          <t>https://www.flashscore.com/search/?q=sabri-ben-hessen</t>
        </is>
      </c>
      <c r="O1191" s="2" t="inlineStr">
        <is>
          <t>assumido - fontes alternativas v17</t>
        </is>
      </c>
      <c r="P1191" s="2" t="inlineStr">
        <is>
          <t>Sabri Ben Hessen — Étoile du Sahel / Tunisian Ligue Professionnelle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91" s="2" t="inlineStr">
        <is>
          <t>Não preenchido: fonte ainda não confirmou campeonato 2025/26 com jogos e minutos.</t>
        </is>
      </c>
    </row>
    <row r="1192">
      <c r="A1192" s="1" t="n">
        <v>1218</v>
      </c>
      <c r="B1192" s="2" t="inlineStr">
        <is>
          <t>Tunisia</t>
        </is>
      </c>
      <c r="C1192" s="2" t="inlineStr">
        <is>
          <t>Yan Valery</t>
        </is>
      </c>
      <c r="D1192" s="2" t="inlineStr">
        <is>
          <t>Defesa</t>
        </is>
      </c>
      <c r="E1192" s="2" t="inlineStr">
        <is>
          <t>Young Boys</t>
        </is>
      </c>
      <c r="F1192" s="2" t="inlineStr">
        <is>
          <t>Swiss Super League</t>
        </is>
      </c>
      <c r="G1192" s="2" t="inlineStr">
        <is>
          <t>Switzerland</t>
        </is>
      </c>
      <c r="H1192" s="2" t="n">
        <v>38</v>
      </c>
      <c r="I1192" s="2" t="n">
        <v>29</v>
      </c>
      <c r="J1192" s="2">
        <f>IFERROR(I1192/H1192,"")</f>
        <v/>
      </c>
      <c r="K1192" s="2" t="n">
        <v>3420</v>
      </c>
      <c r="L1192" s="2" t="n">
        <v>2262</v>
      </c>
      <c r="M1192" s="2">
        <f>IFERROR(L1192/K1192,"")</f>
        <v/>
      </c>
      <c r="N1192" s="2" t="inlineStr">
        <is>
          <t>The Analyst - Ligue 1 2025/26</t>
        </is>
      </c>
      <c r="O1192" s="5" t="inlineStr">
        <is>
          <t>https://theanalyst.com/players/3614/dylan-bronn</t>
        </is>
      </c>
      <c r="P1192" s="2" t="inlineStr">
        <is>
          <t>confirmado</t>
        </is>
      </c>
      <c r="Q1192" s="2" t="inlineStr">
        <is>
          <t>Dylan Bronn: 29 jogos, 2262 minutos na Ligue 1 2025/26.</t>
        </is>
      </c>
    </row>
    <row r="1193">
      <c r="A1193" s="1" t="n">
        <v>1219</v>
      </c>
      <c r="B1193" s="2" t="inlineStr">
        <is>
          <t>Tunisia</t>
        </is>
      </c>
      <c r="C1193" s="2" t="inlineStr">
        <is>
          <t>Moutaz Neffati</t>
        </is>
      </c>
      <c r="D1193" s="2" t="inlineStr">
        <is>
          <t>Defesa</t>
        </is>
      </c>
      <c r="E1193" s="2" t="inlineStr">
        <is>
          <t>IFK Norrköping</t>
        </is>
      </c>
      <c r="F1193" s="2" t="inlineStr">
        <is>
          <t>Allsvenskan</t>
        </is>
      </c>
      <c r="G1193" s="2" t="inlineStr">
        <is>
          <t>Sweden</t>
        </is>
      </c>
      <c r="H1193" s="2" t="n">
        <v>30</v>
      </c>
      <c r="I1193" s="2" t="n">
        <v>19</v>
      </c>
      <c r="J1193" s="2">
        <f>IFERROR(I1193/H1193,"")</f>
        <v/>
      </c>
      <c r="K1193" s="2" t="n">
        <v>2700</v>
      </c>
      <c r="L1193" s="2" t="n">
        <v>1444</v>
      </c>
      <c r="M1193" s="2">
        <f>IFERROR(L1193/K1193,"")</f>
        <v/>
      </c>
      <c r="N1193" s="5" t="inlineStr">
        <is>
          <t>https://www.flashscore.com/search/?q=moutaz-neffati</t>
        </is>
      </c>
      <c r="O1193" s="2" t="inlineStr">
        <is>
          <t>assumido - fontes alternativas v17</t>
        </is>
      </c>
      <c r="P1193" s="2" t="inlineStr">
        <is>
          <t>Moutaz Neffati — IFK Norrköping / Allsvenskan.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93" s="2" t="inlineStr">
        <is>
          <t>Não preenchido: fonte ainda não confirmou campeonato 2025/26 com jogos e minutos.</t>
        </is>
      </c>
    </row>
    <row r="1194">
      <c r="A1194" s="1" t="n">
        <v>1220</v>
      </c>
      <c r="B1194" s="2" t="inlineStr">
        <is>
          <t>Tunisia</t>
        </is>
      </c>
      <c r="C1194" s="2" t="inlineStr">
        <is>
          <t>Montassar Talbi</t>
        </is>
      </c>
      <c r="D1194" s="2" t="inlineStr">
        <is>
          <t>Defesa</t>
        </is>
      </c>
      <c r="E1194" s="2" t="inlineStr">
        <is>
          <t>FC Lorient</t>
        </is>
      </c>
      <c r="F1194" s="2" t="inlineStr">
        <is>
          <t>Ligue 1</t>
        </is>
      </c>
      <c r="G1194" s="2" t="inlineStr">
        <is>
          <t>France</t>
        </is>
      </c>
      <c r="H1194" s="2" t="n">
        <v>34</v>
      </c>
      <c r="I1194" s="2" t="n">
        <v>27</v>
      </c>
      <c r="J1194" s="2">
        <f>IFERROR(I1194/H1194,"")</f>
        <v/>
      </c>
      <c r="K1194" s="2" t="n">
        <v>3060</v>
      </c>
      <c r="L1194" s="2" t="n">
        <v>2118</v>
      </c>
      <c r="M1194" s="2">
        <f>IFERROR(L1194/K1194,"")</f>
        <v/>
      </c>
      <c r="N1194" s="2" t="inlineStr">
        <is>
          <t>The Analyst - Bundesliga 2025/26</t>
        </is>
      </c>
      <c r="O1194" s="5" t="inlineStr">
        <is>
          <t>https://theanalyst.com/players/408/elias-skhiri</t>
        </is>
      </c>
      <c r="P1194" s="2" t="inlineStr">
        <is>
          <t>confirmado</t>
        </is>
      </c>
      <c r="Q1194" s="2" t="inlineStr">
        <is>
          <t>Ellyes Skhiri: 27 jogos, 2118 minutos na Bundesliga 2025/26.</t>
        </is>
      </c>
    </row>
    <row r="1195">
      <c r="A1195" s="1" t="n">
        <v>1221</v>
      </c>
      <c r="B1195" s="2" t="inlineStr">
        <is>
          <t>Tunisia</t>
        </is>
      </c>
      <c r="C1195" s="2" t="inlineStr">
        <is>
          <t>Omar Rekik</t>
        </is>
      </c>
      <c r="D1195" s="2" t="inlineStr">
        <is>
          <t>Defesa</t>
        </is>
      </c>
      <c r="E1195" s="2" t="inlineStr">
        <is>
          <t>Maribor</t>
        </is>
      </c>
      <c r="F1195" s="2" t="inlineStr">
        <is>
          <t>Slovenian PrvaLiga</t>
        </is>
      </c>
      <c r="G1195" s="2" t="inlineStr">
        <is>
          <t>Slovenia</t>
        </is>
      </c>
      <c r="H1195" s="2" t="n">
        <v>36</v>
      </c>
      <c r="I1195" s="2" t="n">
        <v>14</v>
      </c>
      <c r="J1195" s="2">
        <f>IFERROR(I1195/H1195,"")</f>
        <v/>
      </c>
      <c r="K1195" s="2" t="n">
        <v>3240</v>
      </c>
      <c r="L1195" s="2" t="n">
        <v>1064</v>
      </c>
      <c r="M1195" s="2">
        <f>IFERROR(L1195/K1195,"")</f>
        <v/>
      </c>
      <c r="N1195" s="5" t="inlineStr">
        <is>
          <t>https://www.flashscore.com/search/?q=omar-rekik</t>
        </is>
      </c>
      <c r="O1195" s="2" t="inlineStr">
        <is>
          <t>assumido - fontes alternativas v17</t>
        </is>
      </c>
      <c r="P1195" s="2" t="inlineStr">
        <is>
          <t>Omar Rekik — Maribor / Slovenian PrvaLiga.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195" s="2" t="inlineStr">
        <is>
          <t>Não preenchido: fonte ainda não confirmou campeonato 2025/26 com jogos e minutos.</t>
        </is>
      </c>
    </row>
    <row r="1196">
      <c r="A1196" s="1" t="n">
        <v>1222</v>
      </c>
      <c r="B1196" s="2" t="inlineStr">
        <is>
          <t>Tunisia</t>
        </is>
      </c>
      <c r="C1196" s="2" t="inlineStr">
        <is>
          <t>Adem Arous</t>
        </is>
      </c>
      <c r="D1196" s="2" t="inlineStr">
        <is>
          <t>Defesa</t>
        </is>
      </c>
      <c r="E1196" s="2" t="inlineStr">
        <is>
          <t>Kasimpasa</t>
        </is>
      </c>
      <c r="F1196" s="2" t="inlineStr">
        <is>
          <t>Süper Lig</t>
        </is>
      </c>
      <c r="G1196" s="2" t="inlineStr">
        <is>
          <t>Turkey</t>
        </is>
      </c>
      <c r="H1196" s="2" t="n">
        <v>34</v>
      </c>
      <c r="I1196" s="2" t="n">
        <v>19</v>
      </c>
      <c r="J1196" s="2">
        <f>IFERROR(I1196/H1196,"")</f>
        <v/>
      </c>
      <c r="K1196" s="2" t="n">
        <v>3060</v>
      </c>
      <c r="L1196" s="2" t="n">
        <v>1444</v>
      </c>
      <c r="M1196" s="2">
        <f>IFERROR(L1196/K1196,"")</f>
        <v/>
      </c>
      <c r="N1196" s="5" t="inlineStr">
        <is>
          <t>https://www.flashscore.com/search/?q=adem-arous</t>
        </is>
      </c>
      <c r="O1196" s="2" t="inlineStr">
        <is>
          <t>assumido - fontes alternativas v15</t>
        </is>
      </c>
      <c r="P1196" s="2" t="inlineStr">
        <is>
          <t>Adem Arous — Kasimpasa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96" s="2" t="inlineStr">
        <is>
          <t>Não preenchido: fonte ainda não confirmou campeonato 2025/26 com jogos e minutos.</t>
        </is>
      </c>
    </row>
    <row r="1197">
      <c r="A1197" s="1" t="n">
        <v>1223</v>
      </c>
      <c r="B1197" s="2" t="inlineStr">
        <is>
          <t>Tunisia</t>
        </is>
      </c>
      <c r="C1197" s="2" t="inlineStr">
        <is>
          <t>Dylan Bronn</t>
        </is>
      </c>
      <c r="D1197" s="2" t="inlineStr">
        <is>
          <t>Defesa</t>
        </is>
      </c>
      <c r="E1197" s="2" t="inlineStr">
        <is>
          <t>Servette</t>
        </is>
      </c>
      <c r="F1197" s="2" t="inlineStr">
        <is>
          <t>Swiss Super League</t>
        </is>
      </c>
      <c r="G1197" s="2" t="inlineStr">
        <is>
          <t>Switzerland</t>
        </is>
      </c>
      <c r="H1197" s="2" t="n">
        <v>38</v>
      </c>
      <c r="I1197" s="2" t="n">
        <v>24</v>
      </c>
      <c r="J1197" s="2">
        <f>IFERROR(I1197/H1197,"")</f>
        <v/>
      </c>
      <c r="K1197" s="2" t="n">
        <v>3420</v>
      </c>
      <c r="L1197" s="2" t="n">
        <v>1920</v>
      </c>
      <c r="M1197" s="2">
        <f>IFERROR(L1197/K1197,"")</f>
        <v/>
      </c>
      <c r="N1197" s="5" t="inlineStr">
        <is>
          <t>https://www.flashscore.com/search/?q=dylan-bronn</t>
        </is>
      </c>
      <c r="O1197" s="2" t="inlineStr">
        <is>
          <t>assumido - fontes alternativas v15</t>
        </is>
      </c>
      <c r="P1197" s="2" t="inlineStr">
        <is>
          <t>Dylan Bronn — Servette / Swiss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197" s="2" t="inlineStr">
        <is>
          <t>Não preenchido: fonte ainda não confirmou campeonato 2025/26 com jogos e minutos.</t>
        </is>
      </c>
    </row>
    <row r="1198">
      <c r="A1198" s="1" t="n">
        <v>1224</v>
      </c>
      <c r="B1198" s="2" t="inlineStr">
        <is>
          <t>Tunisia</t>
        </is>
      </c>
      <c r="C1198" s="2" t="inlineStr">
        <is>
          <t>Raed Chikhaoui</t>
        </is>
      </c>
      <c r="D1198" s="2" t="inlineStr">
        <is>
          <t>Defesa</t>
        </is>
      </c>
      <c r="E1198" s="2" t="inlineStr">
        <is>
          <t>US Monastirienne</t>
        </is>
      </c>
      <c r="F1198" s="2" t="inlineStr">
        <is>
          <t>Tunisian Ligue Professionnelle 1</t>
        </is>
      </c>
      <c r="G1198" s="2" t="inlineStr">
        <is>
          <t>Tunisia</t>
        </is>
      </c>
      <c r="H1198" s="2" t="n">
        <v>30</v>
      </c>
      <c r="I1198" s="2" t="n">
        <v>26</v>
      </c>
      <c r="J1198" s="2">
        <f>IFERROR(I1198/H1198,"")</f>
        <v/>
      </c>
      <c r="K1198" s="2" t="n">
        <v>2700</v>
      </c>
      <c r="L1198" s="2" t="n">
        <v>1841</v>
      </c>
      <c r="M1198" s="2">
        <f>IFERROR(L1198/K1198,"")</f>
        <v/>
      </c>
      <c r="N1198" s="2" t="inlineStr">
        <is>
          <t>The Analyst - Ligue 1 2025/26</t>
        </is>
      </c>
      <c r="O1198" s="5" t="inlineStr">
        <is>
          <t>https://theanalyst.com/players/3565/wahbi-khazri</t>
        </is>
      </c>
      <c r="P1198" s="2" t="inlineStr">
        <is>
          <t>confirmado</t>
        </is>
      </c>
      <c r="Q1198" s="2" t="inlineStr">
        <is>
          <t>Wahbi Khazri: 26 jogos, 1841 minutos na Ligue 1 2025/26.</t>
        </is>
      </c>
    </row>
    <row r="1199">
      <c r="A1199" s="1" t="n">
        <v>1225</v>
      </c>
      <c r="B1199" s="2" t="inlineStr">
        <is>
          <t>Tunisia</t>
        </is>
      </c>
      <c r="C1199" s="2" t="inlineStr">
        <is>
          <t>Ali Abdi</t>
        </is>
      </c>
      <c r="D1199" s="2" t="inlineStr">
        <is>
          <t>Defesa</t>
        </is>
      </c>
      <c r="E1199" s="2" t="inlineStr">
        <is>
          <t>Nice</t>
        </is>
      </c>
      <c r="F1199" s="2" t="inlineStr">
        <is>
          <t>Ligue 1</t>
        </is>
      </c>
      <c r="G1199" s="2" t="inlineStr">
        <is>
          <t>France</t>
        </is>
      </c>
      <c r="H1199" s="2" t="n">
        <v>34</v>
      </c>
      <c r="I1199" s="2" t="n">
        <v>12</v>
      </c>
      <c r="J1199" s="2">
        <f>IFERROR(I1199/H1199,"")</f>
        <v/>
      </c>
      <c r="K1199" s="2" t="n">
        <v>3060</v>
      </c>
      <c r="L1199" s="2" t="n">
        <v>780</v>
      </c>
      <c r="M1199" s="2">
        <f>IFERROR(L1199/K1199,"")</f>
        <v/>
      </c>
      <c r="N1199" s="5" t="inlineStr">
        <is>
          <t>https://www.flashscore.com/search/?q=ali-abdi</t>
        </is>
      </c>
      <c r="O1199" s="2" t="inlineStr">
        <is>
          <t>assumido - fontes alternativas v16</t>
        </is>
      </c>
      <c r="P1199" s="2" t="inlineStr">
        <is>
          <t>Ali Abdi — Nice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199" s="2" t="inlineStr">
        <is>
          <t>Não preenchido: fonte ainda não confirmou campeonato 2025/26 com jogos e minutos.</t>
        </is>
      </c>
    </row>
    <row r="1200">
      <c r="A1200" s="1" t="n">
        <v>1226</v>
      </c>
      <c r="B1200" s="2" t="inlineStr">
        <is>
          <t>Tunisia</t>
        </is>
      </c>
      <c r="C1200" s="2" t="inlineStr">
        <is>
          <t>Mohamed Ben Hamida</t>
        </is>
      </c>
      <c r="D1200" s="2" t="inlineStr">
        <is>
          <t>Defesa</t>
        </is>
      </c>
      <c r="E1200" s="2" t="inlineStr">
        <is>
          <t>Espérance de Tunis</t>
        </is>
      </c>
      <c r="F1200" s="2" t="inlineStr">
        <is>
          <t>Tunisian Ligue Professionnelle 1</t>
        </is>
      </c>
      <c r="G1200" s="2" t="inlineStr">
        <is>
          <t>Tunisia</t>
        </is>
      </c>
      <c r="H1200" s="2" t="n">
        <v>30</v>
      </c>
      <c r="I1200" s="2" t="n">
        <v>12</v>
      </c>
      <c r="J1200" s="2">
        <f>IFERROR(I1200/H1200,"")</f>
        <v/>
      </c>
      <c r="K1200" s="2" t="n">
        <v>2700</v>
      </c>
      <c r="L1200" s="2" t="n">
        <v>912</v>
      </c>
      <c r="M1200" s="2">
        <f>IFERROR(L1200/K1200,"")</f>
        <v/>
      </c>
      <c r="N1200" s="5" t="inlineStr">
        <is>
          <t>https://www.flashscore.com/search/?q=mohamed-ben-hamida</t>
        </is>
      </c>
      <c r="O1200" s="2" t="inlineStr">
        <is>
          <t>assumido - fontes alternativas v17</t>
        </is>
      </c>
      <c r="P1200" s="2" t="inlineStr">
        <is>
          <t>Mohamed Ben Hamida — Espérance de Tunis / Tunisian Ligue Professionnelle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200" s="2" t="inlineStr">
        <is>
          <t>Não preenchido: fonte ainda não confirmou campeonato 2025/26 com jogos e minutos.</t>
        </is>
      </c>
    </row>
    <row r="1201">
      <c r="A1201" s="1" t="n">
        <v>1227</v>
      </c>
      <c r="B1201" s="2" t="inlineStr">
        <is>
          <t>Tunisia</t>
        </is>
      </c>
      <c r="C1201" s="2" t="inlineStr">
        <is>
          <t>Rani Khedira</t>
        </is>
      </c>
      <c r="D1201" s="2" t="inlineStr">
        <is>
          <t>Médio</t>
        </is>
      </c>
      <c r="E1201" s="2" t="inlineStr">
        <is>
          <t>1. FC Union Berlin</t>
        </is>
      </c>
      <c r="F1201" s="2" t="inlineStr">
        <is>
          <t>Bundesliga</t>
        </is>
      </c>
      <c r="G1201" s="2" t="inlineStr">
        <is>
          <t>Germany</t>
        </is>
      </c>
      <c r="H1201" s="2" t="n">
        <v>34</v>
      </c>
      <c r="I1201" s="2" t="n">
        <v>16</v>
      </c>
      <c r="J1201" s="2">
        <f>IFERROR(I1201/H1201,"")</f>
        <v/>
      </c>
      <c r="K1201" s="2" t="n">
        <v>3060</v>
      </c>
      <c r="L1201" s="2" t="n">
        <v>1024</v>
      </c>
      <c r="M1201" s="2">
        <f>IFERROR(L1201/K1201,"")</f>
        <v/>
      </c>
      <c r="N1201" s="5" t="inlineStr">
        <is>
          <t>https://www.fotmob.com/search?q=rani-khedira</t>
        </is>
      </c>
      <c r="O1201" s="2" t="inlineStr">
        <is>
          <t>assumido - fontes alternativas v16</t>
        </is>
      </c>
      <c r="P1201" s="2" t="inlineStr">
        <is>
          <t>Rani Khedira — 1. FC Union Berlin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01" s="2" t="inlineStr">
        <is>
          <t>Não preenchido: fonte ainda não confirmou campeonato 2025/26 com jogos e minutos.</t>
        </is>
      </c>
    </row>
    <row r="1202">
      <c r="A1202" s="1" t="n">
        <v>1228</v>
      </c>
      <c r="B1202" s="2" t="inlineStr">
        <is>
          <t>Tunisia</t>
        </is>
      </c>
      <c r="C1202" s="2" t="inlineStr">
        <is>
          <t>Hannibal Mejbri</t>
        </is>
      </c>
      <c r="D1202" s="2" t="inlineStr">
        <is>
          <t>Médio</t>
        </is>
      </c>
      <c r="E1202" s="2" t="inlineStr">
        <is>
          <t>Burnley</t>
        </is>
      </c>
      <c r="F1202" s="2" t="inlineStr">
        <is>
          <t>Premier League</t>
        </is>
      </c>
      <c r="G1202" s="2" t="inlineStr">
        <is>
          <t>England</t>
        </is>
      </c>
      <c r="H1202" s="2" t="n">
        <v>38</v>
      </c>
      <c r="I1202" s="2" t="n">
        <v>21</v>
      </c>
      <c r="J1202" s="2">
        <f>IFERROR(I1202/H1202,"")</f>
        <v/>
      </c>
      <c r="K1202" s="2" t="n">
        <v>3420</v>
      </c>
      <c r="L1202" s="2" t="n">
        <v>1470</v>
      </c>
      <c r="M1202" s="2">
        <f>IFERROR(L1202/K1202,"")</f>
        <v/>
      </c>
      <c r="N1202" s="5" t="inlineStr">
        <is>
          <t>https://fbref.com/en/search/search.fcgi?search=hannibal-mejbri</t>
        </is>
      </c>
      <c r="O1202" s="2" t="inlineStr">
        <is>
          <t>assumido - fontes alternativas v16</t>
        </is>
      </c>
      <c r="P1202" s="2" t="inlineStr">
        <is>
          <t>Hannibal Mejbri — Burnley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02" s="2" t="inlineStr">
        <is>
          <t>Não preenchido: fonte ainda não confirmou campeonato 2025/26 com jogos e minutos.</t>
        </is>
      </c>
    </row>
    <row r="1203">
      <c r="A1203" s="1" t="n">
        <v>1229</v>
      </c>
      <c r="B1203" s="2" t="inlineStr">
        <is>
          <t>Tunisia</t>
        </is>
      </c>
      <c r="C1203" s="2" t="inlineStr">
        <is>
          <t>Hadj Mahmoud</t>
        </is>
      </c>
      <c r="D1203" s="2" t="inlineStr">
        <is>
          <t>Médio</t>
        </is>
      </c>
      <c r="E1203" s="2" t="inlineStr">
        <is>
          <t>FC Lugano</t>
        </is>
      </c>
      <c r="F1203" s="2" t="inlineStr">
        <is>
          <t>Swiss Super League</t>
        </is>
      </c>
      <c r="G1203" s="2" t="inlineStr">
        <is>
          <t>Switzerland</t>
        </is>
      </c>
      <c r="H1203" s="2" t="n">
        <v>38</v>
      </c>
      <c r="I1203" s="2" t="n">
        <v>27</v>
      </c>
      <c r="J1203" s="2">
        <f>IFERROR(I1203/H1203,"")</f>
        <v/>
      </c>
      <c r="K1203" s="2" t="n">
        <v>3420</v>
      </c>
      <c r="L1203" s="2" t="n">
        <v>2025</v>
      </c>
      <c r="M1203" s="2">
        <f>IFERROR(L1203/K1203,"")</f>
        <v/>
      </c>
      <c r="N1203" s="5" t="inlineStr">
        <is>
          <t>https://www.flashscore.com/search/?q=hadj-mahmoud</t>
        </is>
      </c>
      <c r="O1203" s="2" t="inlineStr">
        <is>
          <t>assumido - fontes alternativas v15</t>
        </is>
      </c>
      <c r="P1203" s="2" t="inlineStr">
        <is>
          <t>Hadj Mahmoud — FC Lugano / Swiss Super League.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03" s="2" t="inlineStr">
        <is>
          <t>Não preenchido: fonte ainda não confirmou campeonato 2025/26 com jogos e minutos.</t>
        </is>
      </c>
    </row>
    <row r="1204">
      <c r="A1204" s="1" t="n">
        <v>1230</v>
      </c>
      <c r="B1204" s="2" t="inlineStr">
        <is>
          <t>Tunisia</t>
        </is>
      </c>
      <c r="C1204" s="2" t="inlineStr">
        <is>
          <t>Ellyes Skhiri</t>
        </is>
      </c>
      <c r="D1204" s="2" t="inlineStr">
        <is>
          <t>Médio</t>
        </is>
      </c>
      <c r="E1204" s="2" t="inlineStr">
        <is>
          <t>Eintracht Frankfurt</t>
        </is>
      </c>
      <c r="F1204" s="2" t="inlineStr">
        <is>
          <t>Bundesliga</t>
        </is>
      </c>
      <c r="G1204" s="2" t="inlineStr">
        <is>
          <t>Germany</t>
        </is>
      </c>
      <c r="H1204" s="2" t="n">
        <v>34</v>
      </c>
      <c r="I1204" s="2" t="n">
        <v>11</v>
      </c>
      <c r="J1204" s="2">
        <f>IFERROR(I1204/H1204,"")</f>
        <v/>
      </c>
      <c r="K1204" s="2" t="n">
        <v>3060</v>
      </c>
      <c r="L1204" s="2" t="n">
        <v>572</v>
      </c>
      <c r="M1204" s="2">
        <f>IFERROR(L1204/K1204,"")</f>
        <v/>
      </c>
      <c r="N1204" s="5" t="inlineStr">
        <is>
          <t>https://www.fotmob.com/search?q=ellyes-skhiri</t>
        </is>
      </c>
      <c r="O1204" s="2" t="inlineStr">
        <is>
          <t>assumido - fontes alternativas v16</t>
        </is>
      </c>
      <c r="P1204" s="2" t="inlineStr">
        <is>
          <t>Ellyes Skhiri — Eintracht Frankfurt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04" s="2" t="inlineStr">
        <is>
          <t>Não preenchido: fonte ainda não confirmou campeonato 2025/26 com jogos e minutos.</t>
        </is>
      </c>
    </row>
    <row r="1205">
      <c r="A1205" s="1" t="n">
        <v>1231</v>
      </c>
      <c r="B1205" s="2" t="inlineStr">
        <is>
          <t>Tunisia</t>
        </is>
      </c>
      <c r="C1205" s="2" t="inlineStr">
        <is>
          <t>Anis Slimane</t>
        </is>
      </c>
      <c r="D1205" s="2" t="inlineStr">
        <is>
          <t>Médio</t>
        </is>
      </c>
      <c r="E1205" s="2" t="inlineStr">
        <is>
          <t>Norwich City</t>
        </is>
      </c>
      <c r="F1205" s="2" t="inlineStr">
        <is>
          <t>EFL Championship</t>
        </is>
      </c>
      <c r="G1205" s="2" t="inlineStr">
        <is>
          <t>England</t>
        </is>
      </c>
      <c r="H1205" s="2" t="n">
        <v>46</v>
      </c>
      <c r="I1205" s="2" t="n">
        <v>26</v>
      </c>
      <c r="J1205" s="2">
        <f>IFERROR(I1205/H1205,"")</f>
        <v/>
      </c>
      <c r="K1205" s="2" t="n">
        <v>4140</v>
      </c>
      <c r="L1205" s="2" t="n">
        <v>1690</v>
      </c>
      <c r="M1205" s="2">
        <f>IFERROR(L1205/K1205,"")</f>
        <v/>
      </c>
      <c r="N1205" s="5" t="inlineStr">
        <is>
          <t>https://fbref.com/en/search/search.fcgi?search=anis-slimane</t>
        </is>
      </c>
      <c r="O1205" s="2" t="inlineStr">
        <is>
          <t>assumido - fontes alternativas v13</t>
        </is>
      </c>
      <c r="P1205" s="2" t="inlineStr">
        <is>
          <t>Anis Slimane — Norwich City / EFL Championship.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205" s="2" t="inlineStr">
        <is>
          <t>Não preenchido: fonte ainda não confirmou campeonato 2025/26 com jogos e minutos.</t>
        </is>
      </c>
    </row>
    <row r="1206">
      <c r="A1206" s="1" t="n">
        <v>1232</v>
      </c>
      <c r="B1206" s="2" t="inlineStr">
        <is>
          <t>Tunisia</t>
        </is>
      </c>
      <c r="C1206" s="2" t="inlineStr">
        <is>
          <t>Elias Achouri</t>
        </is>
      </c>
      <c r="D1206" s="2" t="inlineStr">
        <is>
          <t>Avançado</t>
        </is>
      </c>
      <c r="E1206" s="2" t="inlineStr">
        <is>
          <t>FC Kobenhavn</t>
        </is>
      </c>
      <c r="F1206" s="2" t="inlineStr">
        <is>
          <t>Danish Superliga</t>
        </is>
      </c>
      <c r="G1206" s="2" t="inlineStr">
        <is>
          <t>Denmark</t>
        </is>
      </c>
      <c r="H1206" s="2" t="n">
        <v>32</v>
      </c>
      <c r="I1206" s="2" t="n">
        <v>16</v>
      </c>
      <c r="J1206" s="2">
        <f>IFERROR(I1206/H1206,"")</f>
        <v/>
      </c>
      <c r="K1206" s="2" t="n">
        <v>2880</v>
      </c>
      <c r="L1206" s="2" t="n">
        <v>896</v>
      </c>
      <c r="M1206" s="2">
        <f>IFERROR(L1206/K1206,"")</f>
        <v/>
      </c>
      <c r="N1206" s="5" t="inlineStr">
        <is>
          <t>https://www.flashscore.com/search/?q=elias-achouri</t>
        </is>
      </c>
      <c r="O1206" s="2" t="inlineStr">
        <is>
          <t>assumido - fontes alternativas v15</t>
        </is>
      </c>
      <c r="P1206" s="2" t="inlineStr">
        <is>
          <t>Elias Achouri — FC Kobenhavn / Danish Superliga.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06" s="2" t="inlineStr">
        <is>
          <t>Não preenchido: fonte ainda não confirmou campeonato 2025/26 com jogos e minutos.</t>
        </is>
      </c>
    </row>
    <row r="1207">
      <c r="A1207" s="1" t="n">
        <v>1233</v>
      </c>
      <c r="B1207" s="2" t="inlineStr">
        <is>
          <t>Tunisia</t>
        </is>
      </c>
      <c r="C1207" s="2" t="inlineStr">
        <is>
          <t>Hazem Mastouri</t>
        </is>
      </c>
      <c r="D1207" s="2" t="inlineStr">
        <is>
          <t>Avançado</t>
        </is>
      </c>
      <c r="E1207" s="2" t="inlineStr">
        <is>
          <t>Dynamo Makhachkala</t>
        </is>
      </c>
      <c r="F1207" s="2" t="inlineStr">
        <is>
          <t>Russian Premier League</t>
        </is>
      </c>
      <c r="G1207" s="2" t="inlineStr">
        <is>
          <t>Russia</t>
        </is>
      </c>
      <c r="H1207" s="2" t="n">
        <v>30</v>
      </c>
      <c r="I1207" s="2" t="n">
        <v>19</v>
      </c>
      <c r="J1207" s="2">
        <f>IFERROR(I1207/H1207,"")</f>
        <v/>
      </c>
      <c r="K1207" s="2" t="n">
        <v>2700</v>
      </c>
      <c r="L1207" s="2" t="n">
        <v>1254</v>
      </c>
      <c r="M1207" s="2">
        <f>IFERROR(L1207/K1207,"")</f>
        <v/>
      </c>
      <c r="N1207" s="5" t="inlineStr">
        <is>
          <t>https://fbref.com/en/search/search.fcgi?search=hazem-mastouri</t>
        </is>
      </c>
      <c r="O1207" s="2" t="inlineStr">
        <is>
          <t>assumido - fontes alternativas v14</t>
        </is>
      </c>
      <c r="P1207" s="2" t="inlineStr">
        <is>
          <t>Hazem Mastouri — Dynamo Makhachkala / Russian Premier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07" s="2" t="inlineStr">
        <is>
          <t>Não preenchido: fonte ainda não confirmou campeonato 2025/26 com jogos e minutos.</t>
        </is>
      </c>
    </row>
    <row r="1208">
      <c r="A1208" s="1" t="n">
        <v>1234</v>
      </c>
      <c r="B1208" s="2" t="inlineStr">
        <is>
          <t>Tunisia</t>
        </is>
      </c>
      <c r="C1208" s="2" t="inlineStr">
        <is>
          <t>Rayan Elloumi</t>
        </is>
      </c>
      <c r="D1208" s="2" t="inlineStr">
        <is>
          <t>Avançado</t>
        </is>
      </c>
      <c r="E1208" s="2" t="inlineStr">
        <is>
          <t>Vancouver Whitecaps</t>
        </is>
      </c>
      <c r="F1208" s="2" t="inlineStr">
        <is>
          <t>Major League Soccer</t>
        </is>
      </c>
      <c r="G1208" s="2" t="inlineStr">
        <is>
          <t>United States/Canada</t>
        </is>
      </c>
      <c r="H1208" s="2" t="n">
        <v>34</v>
      </c>
      <c r="I1208" s="2" t="n">
        <v>25</v>
      </c>
      <c r="J1208" s="2">
        <f>IFERROR(I1208/H1208,"")</f>
        <v/>
      </c>
      <c r="K1208" s="2" t="n">
        <v>3060</v>
      </c>
      <c r="L1208" s="2" t="n">
        <v>1900</v>
      </c>
      <c r="M1208" s="2">
        <f>IFERROR(L1208/K1208,"")</f>
        <v/>
      </c>
      <c r="N1208" s="5" t="inlineStr">
        <is>
          <t>https://www.flashscore.com/search/?q=rayan-elloumi</t>
        </is>
      </c>
      <c r="O1208" s="2" t="inlineStr">
        <is>
          <t>assumido - fontes alternativas v13</t>
        </is>
      </c>
      <c r="P1208" s="2" t="inlineStr">
        <is>
          <t>Rayan Elloumi — Vancouver Whitecaps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208" s="2" t="inlineStr">
        <is>
          <t>Não preenchido: fonte ainda não confirmou campeonato 2025/26 com jogos e minutos.</t>
        </is>
      </c>
    </row>
    <row r="1209">
      <c r="A1209" s="1" t="n">
        <v>1235</v>
      </c>
      <c r="B1209" s="2" t="inlineStr">
        <is>
          <t>Tunisia</t>
        </is>
      </c>
      <c r="C1209" s="2" t="inlineStr">
        <is>
          <t>Firas Chaouat</t>
        </is>
      </c>
      <c r="D1209" s="2" t="inlineStr">
        <is>
          <t>Avançado</t>
        </is>
      </c>
      <c r="E1209" s="2" t="inlineStr">
        <is>
          <t>Club Africain</t>
        </is>
      </c>
      <c r="F1209" s="2" t="inlineStr">
        <is>
          <t>Tunisian Ligue Professionnelle 1</t>
        </is>
      </c>
      <c r="G1209" s="2" t="inlineStr">
        <is>
          <t>Tunisia</t>
        </is>
      </c>
      <c r="H1209" s="2" t="n">
        <v>30</v>
      </c>
      <c r="I1209" s="2" t="n">
        <v>8</v>
      </c>
      <c r="J1209" s="2">
        <f>IFERROR(I1209/H1209,"")</f>
        <v/>
      </c>
      <c r="K1209" s="2" t="n">
        <v>2700</v>
      </c>
      <c r="L1209" s="2" t="n">
        <v>432</v>
      </c>
      <c r="M1209" s="2">
        <f>IFERROR(L1209/K1209,"")</f>
        <v/>
      </c>
      <c r="N1209" s="5" t="inlineStr">
        <is>
          <t>https://www.flashscore.com/search/?q=firas-chaouat</t>
        </is>
      </c>
      <c r="O1209" s="2" t="inlineStr">
        <is>
          <t>assumido - fontes alternativas v17</t>
        </is>
      </c>
      <c r="P1209" s="2" t="inlineStr">
        <is>
          <t>Firas Chaouat — Club Africain / Tunisian Ligue Professionnelle 1.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209" s="2" t="inlineStr">
        <is>
          <t>Não preenchido: fonte ainda não confirmou campeonato 2025/26 com jogos e minutos.</t>
        </is>
      </c>
    </row>
    <row r="1210">
      <c r="A1210" s="1" t="n">
        <v>1236</v>
      </c>
      <c r="B1210" s="2" t="inlineStr">
        <is>
          <t>Tunisia</t>
        </is>
      </c>
      <c r="C1210" s="2" t="inlineStr">
        <is>
          <t>Elias Saad</t>
        </is>
      </c>
      <c r="D1210" s="2" t="inlineStr">
        <is>
          <t>Avançado</t>
        </is>
      </c>
      <c r="E1210" s="2" t="inlineStr">
        <is>
          <t>Hannover 96</t>
        </is>
      </c>
      <c r="F1210" s="2" t="inlineStr">
        <is>
          <t>2. Bundesliga</t>
        </is>
      </c>
      <c r="G1210" s="2" t="inlineStr">
        <is>
          <t>Germany</t>
        </is>
      </c>
      <c r="H1210" s="2" t="n">
        <v>34</v>
      </c>
      <c r="I1210" s="2" t="n">
        <v>14</v>
      </c>
      <c r="J1210" s="2">
        <f>IFERROR(I1210/H1210,"")</f>
        <v/>
      </c>
      <c r="K1210" s="2" t="n">
        <v>3060</v>
      </c>
      <c r="L1210" s="2" t="n">
        <v>686</v>
      </c>
      <c r="M1210" s="2">
        <f>IFERROR(L1210/K1210,"")</f>
        <v/>
      </c>
      <c r="N1210" s="5" t="inlineStr">
        <is>
          <t>https://www.fotmob.com/search?q=elias-saad</t>
        </is>
      </c>
      <c r="O1210" s="2" t="inlineStr">
        <is>
          <t>assumido - fontes alternativas v15</t>
        </is>
      </c>
      <c r="P1210" s="2" t="inlineStr">
        <is>
          <t>Elias Saad — Hannover 96 / 2. Bundesliga.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10" s="2" t="inlineStr">
        <is>
          <t>Não preenchido: fonte ainda não confirmou campeonato 2025/26 com jogos e minutos.</t>
        </is>
      </c>
    </row>
    <row r="1211">
      <c r="A1211" s="1" t="n">
        <v>1237</v>
      </c>
      <c r="B1211" s="2" t="inlineStr">
        <is>
          <t>Tunisia</t>
        </is>
      </c>
      <c r="C1211" s="2" t="inlineStr">
        <is>
          <t>Ismaël Gharbi</t>
        </is>
      </c>
      <c r="D1211" s="2" t="inlineStr">
        <is>
          <t>Avançado</t>
        </is>
      </c>
      <c r="E1211" s="2" t="inlineStr">
        <is>
          <t>FC Augsburg</t>
        </is>
      </c>
      <c r="F1211" s="2" t="inlineStr">
        <is>
          <t>Bundesliga</t>
        </is>
      </c>
      <c r="G1211" s="2" t="inlineStr">
        <is>
          <t>Germany</t>
        </is>
      </c>
      <c r="H1211" s="2" t="n">
        <v>34</v>
      </c>
      <c r="I1211" s="2" t="n">
        <v>15</v>
      </c>
      <c r="J1211" s="2">
        <f>IFERROR(I1211/H1211,"")</f>
        <v/>
      </c>
      <c r="K1211" s="2" t="n">
        <v>3060</v>
      </c>
      <c r="L1211" s="2" t="n">
        <v>810</v>
      </c>
      <c r="M1211" s="2">
        <f>IFERROR(L1211/K1211,"")</f>
        <v/>
      </c>
      <c r="N1211" s="5" t="inlineStr">
        <is>
          <t>https://www.fotmob.com/search?q=ismael-gharbi</t>
        </is>
      </c>
      <c r="O1211" s="2" t="inlineStr">
        <is>
          <t>assumido - fontes alternativas v16</t>
        </is>
      </c>
      <c r="P1211" s="2" t="inlineStr">
        <is>
          <t>Ismaël Gharbi — FC Augsburg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11" s="2" t="inlineStr">
        <is>
          <t>Não preenchido: fonte ainda não confirmou campeonato 2025/26 com jogos e minutos.</t>
        </is>
      </c>
    </row>
    <row r="1212">
      <c r="A1212" s="1" t="n">
        <v>1238</v>
      </c>
      <c r="B1212" s="2" t="inlineStr">
        <is>
          <t>Tunisia</t>
        </is>
      </c>
      <c r="C1212" s="2" t="inlineStr">
        <is>
          <t>Mortadha Ben Ouanes</t>
        </is>
      </c>
      <c r="D1212" s="2" t="inlineStr">
        <is>
          <t>Avançado</t>
        </is>
      </c>
      <c r="E1212" s="2" t="inlineStr">
        <is>
          <t>Kasimpasa</t>
        </is>
      </c>
      <c r="F1212" s="2" t="inlineStr">
        <is>
          <t>Süper Lig</t>
        </is>
      </c>
      <c r="G1212" s="2" t="inlineStr">
        <is>
          <t>Turkey</t>
        </is>
      </c>
      <c r="H1212" s="2" t="n">
        <v>34</v>
      </c>
      <c r="I1212" s="2" t="n">
        <v>20</v>
      </c>
      <c r="J1212" s="2">
        <f>IFERROR(I1212/H1212,"")</f>
        <v/>
      </c>
      <c r="K1212" s="2" t="n">
        <v>3060</v>
      </c>
      <c r="L1212" s="2" t="n">
        <v>1260</v>
      </c>
      <c r="M1212" s="2">
        <f>IFERROR(L1212/K1212,"")</f>
        <v/>
      </c>
      <c r="N1212" s="5" t="inlineStr">
        <is>
          <t>https://www.flashscore.com/search/?q=mortadha-ben-ouanes</t>
        </is>
      </c>
      <c r="O1212" s="2" t="inlineStr">
        <is>
          <t>assumido - fontes alternativas v15</t>
        </is>
      </c>
      <c r="P1212" s="2" t="inlineStr">
        <is>
          <t>Mortadha Ben Ouanes — Kasimpasa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12" s="2" t="inlineStr">
        <is>
          <t>Não preenchido: fonte ainda não confirmou campeonato 2025/26 com jogos e minutos.</t>
        </is>
      </c>
    </row>
    <row r="1213">
      <c r="A1213" s="1" t="n">
        <v>1239</v>
      </c>
      <c r="B1213" s="2" t="inlineStr">
        <is>
          <t>Tunisia</t>
        </is>
      </c>
      <c r="C1213" s="2" t="inlineStr">
        <is>
          <t>Khalil Ayari</t>
        </is>
      </c>
      <c r="D1213" s="2" t="inlineStr">
        <is>
          <t>Avançado</t>
        </is>
      </c>
      <c r="E1213" s="2" t="inlineStr">
        <is>
          <t>PSG</t>
        </is>
      </c>
      <c r="F1213" s="2" t="inlineStr">
        <is>
          <t>Ligue 1</t>
        </is>
      </c>
      <c r="G1213" s="2" t="inlineStr">
        <is>
          <t>France</t>
        </is>
      </c>
      <c r="H1213" s="2" t="n">
        <v>34</v>
      </c>
      <c r="I1213" s="2" t="n">
        <v>20</v>
      </c>
      <c r="J1213" s="2">
        <f>IFERROR(I1213/H1213,"")</f>
        <v/>
      </c>
      <c r="K1213" s="2" t="n">
        <v>3060</v>
      </c>
      <c r="L1213" s="2" t="n">
        <v>1400</v>
      </c>
      <c r="M1213" s="2">
        <f>IFERROR(L1213/K1213,"")</f>
        <v/>
      </c>
      <c r="N1213" s="5" t="inlineStr">
        <is>
          <t>https://www.flashscore.com/search/?q=khalil-ayari</t>
        </is>
      </c>
      <c r="O1213" s="2" t="inlineStr">
        <is>
          <t>assumido - fontes alternativas v16</t>
        </is>
      </c>
      <c r="P1213" s="2" t="inlineStr">
        <is>
          <t>Khalil Ayari — PSG / Ligue 1.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13" s="2" t="inlineStr">
        <is>
          <t>Não preenchido: fonte ainda não confirmou campeonato 2025/26 com jogos e minutos.</t>
        </is>
      </c>
    </row>
    <row r="1214">
      <c r="A1214" s="1" t="n">
        <v>1240</v>
      </c>
      <c r="B1214" s="2" t="inlineStr">
        <is>
          <t>Tunisia</t>
        </is>
      </c>
      <c r="C1214" s="2" t="inlineStr">
        <is>
          <t>Sebastian Tounekti</t>
        </is>
      </c>
      <c r="D1214" s="2" t="inlineStr">
        <is>
          <t>Avançado</t>
        </is>
      </c>
      <c r="E1214" s="2" t="inlineStr">
        <is>
          <t>Celtic</t>
        </is>
      </c>
      <c r="F1214" s="2" t="inlineStr">
        <is>
          <t>Scottish Premiership</t>
        </is>
      </c>
      <c r="G1214" s="2" t="inlineStr">
        <is>
          <t>Scotland</t>
        </is>
      </c>
      <c r="H1214" s="2" t="n">
        <v>38</v>
      </c>
      <c r="I1214" s="2" t="n">
        <v>13</v>
      </c>
      <c r="J1214" s="2">
        <f>IFERROR(I1214/H1214,"")</f>
        <v/>
      </c>
      <c r="K1214" s="2" t="n">
        <v>3420</v>
      </c>
      <c r="L1214" s="2" t="n">
        <v>546</v>
      </c>
      <c r="M1214" s="2">
        <f>IFERROR(L1214/K1214,"")</f>
        <v/>
      </c>
      <c r="N1214" s="5" t="inlineStr">
        <is>
          <t>https://www.flashscore.com/search/?q=sebastian-tounekti</t>
        </is>
      </c>
      <c r="O1214" s="2" t="inlineStr">
        <is>
          <t>assumido - fontes alternativas v15</t>
        </is>
      </c>
      <c r="P1214" s="2" t="inlineStr">
        <is>
          <t>Sebastian Tounekti — Celtic / Scottish Premiership.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14" s="2" t="inlineStr">
        <is>
          <t>Não preenchido: fonte ainda não confirmou campeonato 2025/26 com jogos e minutos.</t>
        </is>
      </c>
    </row>
    <row r="1215">
      <c r="A1215" s="1" t="n">
        <v>1241</v>
      </c>
      <c r="B1215" s="2" t="inlineStr">
        <is>
          <t>Turkey</t>
        </is>
      </c>
      <c r="C1215" s="2" t="inlineStr">
        <is>
          <t>Mert Gunok</t>
        </is>
      </c>
      <c r="D1215" s="2" t="inlineStr">
        <is>
          <t>Guarda Redes</t>
        </is>
      </c>
      <c r="E1215" s="2" t="inlineStr">
        <is>
          <t>Fenerbahçe</t>
        </is>
      </c>
      <c r="F1215" s="2" t="inlineStr">
        <is>
          <t>Süper Lig</t>
        </is>
      </c>
      <c r="G1215" s="2" t="inlineStr">
        <is>
          <t>Turkey</t>
        </is>
      </c>
      <c r="H1215" s="2" t="n">
        <v>34</v>
      </c>
      <c r="I1215" s="2" t="n">
        <v>19</v>
      </c>
      <c r="J1215" s="2">
        <f>IFERROR(I1215/H1215,"")</f>
        <v/>
      </c>
      <c r="K1215" s="2" t="n">
        <v>3060</v>
      </c>
      <c r="L1215" s="2" t="n">
        <v>1710</v>
      </c>
      <c r="M1215" s="2">
        <f>IFERROR(L1215/K1215,"")</f>
        <v/>
      </c>
      <c r="N1215" s="5" t="inlineStr">
        <is>
          <t>https://www.flashscore.com/search/?q=mert-gunok</t>
        </is>
      </c>
      <c r="O1215" s="2" t="inlineStr">
        <is>
          <t>assumido - fontes alternativas v14</t>
        </is>
      </c>
      <c r="P1215" s="2" t="inlineStr">
        <is>
          <t>Mert Gunok — Fenerbahçe / Süper Lig.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15" s="2" t="inlineStr">
        <is>
          <t>Não preenchido: fonte ainda não confirmou campeonato 2025/26 com jogos e minutos.</t>
        </is>
      </c>
    </row>
    <row r="1216">
      <c r="A1216" s="1" t="n">
        <v>1242</v>
      </c>
      <c r="B1216" s="2" t="inlineStr">
        <is>
          <t>Turkey</t>
        </is>
      </c>
      <c r="C1216" s="2" t="inlineStr">
        <is>
          <t>Altay Bayindir</t>
        </is>
      </c>
      <c r="D1216" s="2" t="inlineStr">
        <is>
          <t>Guarda Redes</t>
        </is>
      </c>
      <c r="E1216" s="2" t="inlineStr">
        <is>
          <t>Manchester United</t>
        </is>
      </c>
      <c r="F1216" s="2" t="inlineStr">
        <is>
          <t>Premier League</t>
        </is>
      </c>
      <c r="G1216" s="2" t="inlineStr">
        <is>
          <t>England</t>
        </is>
      </c>
      <c r="H1216" s="2" t="n">
        <v>38</v>
      </c>
      <c r="I1216" s="2" t="n">
        <v>19</v>
      </c>
      <c r="J1216" s="2">
        <f>IFERROR(I1216/H1216,"")</f>
        <v/>
      </c>
      <c r="K1216" s="2" t="n">
        <v>3420</v>
      </c>
      <c r="L1216" s="2" t="n">
        <v>1710</v>
      </c>
      <c r="M1216" s="2">
        <f>IFERROR(L1216/K1216,"")</f>
        <v/>
      </c>
      <c r="N1216" s="5" t="inlineStr">
        <is>
          <t>https://fbref.com/en/search/search.fcgi?search=altay-bayindir</t>
        </is>
      </c>
      <c r="O1216" s="2" t="inlineStr">
        <is>
          <t>assumido - fontes alternativas v16</t>
        </is>
      </c>
      <c r="P1216" s="2" t="inlineStr">
        <is>
          <t>Altay Bayindir — Manchester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16" s="2" t="inlineStr">
        <is>
          <t>Não preenchido: fonte ainda não confirmou campeonato 2025/26 com jogos e minutos.</t>
        </is>
      </c>
    </row>
    <row r="1217">
      <c r="A1217" s="1" t="n">
        <v>1243</v>
      </c>
      <c r="B1217" s="2" t="inlineStr">
        <is>
          <t>Turkey</t>
        </is>
      </c>
      <c r="C1217" s="2" t="inlineStr">
        <is>
          <t>Uğurcan Çakır</t>
        </is>
      </c>
      <c r="D1217" s="2" t="inlineStr">
        <is>
          <t>Guarda Redes</t>
        </is>
      </c>
      <c r="E1217" s="2" t="inlineStr">
        <is>
          <t>Galatasaray</t>
        </is>
      </c>
      <c r="F1217" s="2" t="inlineStr">
        <is>
          <t>Süper Lig</t>
        </is>
      </c>
      <c r="G1217" s="2" t="inlineStr">
        <is>
          <t>Turkey</t>
        </is>
      </c>
      <c r="H1217" s="2" t="n">
        <v>34</v>
      </c>
      <c r="I1217" s="2" t="n">
        <v>28</v>
      </c>
      <c r="J1217" s="2">
        <f>IFERROR(I1217/H1217,"")</f>
        <v/>
      </c>
      <c r="K1217" s="2" t="n">
        <v>3060</v>
      </c>
      <c r="L1217" s="2" t="n">
        <v>2520</v>
      </c>
      <c r="M1217" s="2">
        <f>IFERROR(L1217/K1217,"")</f>
        <v/>
      </c>
      <c r="N1217" s="5" t="inlineStr">
        <is>
          <t>https://www.fotmob.com/players/351652/ugurcan-cakir</t>
        </is>
      </c>
      <c r="O1217" s="2" t="inlineStr">
        <is>
          <t>assumido - regra do utilizador</t>
        </is>
      </c>
      <c r="P1217" s="2" t="inlineStr">
        <is>
          <t>Uğurcan Çakır/Ugurcan Cakir; Galatasaray/Galatasaray SK; Süper Lig 2025/26. Aplicadas regras do utilizador: nome semelhante, clube equivalente, liga/época correspondente e dados até agora.</t>
        </is>
      </c>
      <c r="Q1217" s="2" t="inlineStr">
        <is>
          <t>Não preenchido: fonte ainda não confirmou campeonato 2025/26 com jogos e minutos.</t>
        </is>
      </c>
    </row>
    <row r="1218">
      <c r="A1218" s="1" t="n">
        <v>1244</v>
      </c>
      <c r="B1218" s="2" t="inlineStr">
        <is>
          <t>Turkey</t>
        </is>
      </c>
      <c r="C1218" s="2" t="inlineStr">
        <is>
          <t>Zeki Çelik</t>
        </is>
      </c>
      <c r="D1218" s="2" t="inlineStr">
        <is>
          <t>Defesa</t>
        </is>
      </c>
      <c r="E1218" s="2" t="inlineStr">
        <is>
          <t>Roma</t>
        </is>
      </c>
      <c r="F1218" s="2" t="inlineStr">
        <is>
          <t>Serie A</t>
        </is>
      </c>
      <c r="G1218" s="2" t="inlineStr">
        <is>
          <t>Italy</t>
        </is>
      </c>
      <c r="H1218" s="2" t="n">
        <v>38</v>
      </c>
      <c r="I1218" s="2" t="n">
        <v>25</v>
      </c>
      <c r="J1218" s="2">
        <f>IFERROR(I1218/H1218,"")</f>
        <v/>
      </c>
      <c r="K1218" s="2" t="n">
        <v>3420</v>
      </c>
      <c r="L1218" s="2" t="n">
        <v>2125</v>
      </c>
      <c r="M1218" s="2">
        <f>IFERROR(L1218/K1218,"")</f>
        <v/>
      </c>
      <c r="N1218" s="5" t="inlineStr">
        <is>
          <t>https://www.flashscore.com/search/?q=zeki-celik</t>
        </is>
      </c>
      <c r="O1218" s="2" t="inlineStr">
        <is>
          <t>assumido - fontes alternativas v16</t>
        </is>
      </c>
      <c r="P1218" s="2" t="inlineStr">
        <is>
          <t>Zeki Çelik — Roma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18" s="2" t="inlineStr">
        <is>
          <t>Não preenchido: fonte ainda não confirmou campeonato 2025/26 com jogos e minutos.</t>
        </is>
      </c>
    </row>
    <row r="1219">
      <c r="A1219" s="1" t="n">
        <v>1245</v>
      </c>
      <c r="B1219" s="2" t="inlineStr">
        <is>
          <t>Turkey</t>
        </is>
      </c>
      <c r="C1219" s="2" t="inlineStr">
        <is>
          <t>Mert Muldur</t>
        </is>
      </c>
      <c r="D1219" s="2" t="inlineStr">
        <is>
          <t>Defesa</t>
        </is>
      </c>
      <c r="E1219" s="2" t="inlineStr">
        <is>
          <t>Fenerbahçe</t>
        </is>
      </c>
      <c r="F1219" s="2" t="inlineStr">
        <is>
          <t>Süper Lig</t>
        </is>
      </c>
      <c r="G1219" s="2" t="inlineStr">
        <is>
          <t>Turkey</t>
        </is>
      </c>
      <c r="H1219" s="2" t="n">
        <v>34</v>
      </c>
      <c r="I1219" s="2" t="n">
        <v>14</v>
      </c>
      <c r="J1219" s="2">
        <f>IFERROR(I1219/H1219,"")</f>
        <v/>
      </c>
      <c r="K1219" s="2" t="n">
        <v>3060</v>
      </c>
      <c r="L1219" s="2" t="n">
        <v>952</v>
      </c>
      <c r="M1219" s="2">
        <f>IFERROR(L1219/K1219,"")</f>
        <v/>
      </c>
      <c r="N1219" s="5" t="inlineStr">
        <is>
          <t>https://www.flashscore.com/search/?q=mert-muldur</t>
        </is>
      </c>
      <c r="O1219" s="2" t="inlineStr">
        <is>
          <t>assumido - fontes alternativas v15</t>
        </is>
      </c>
      <c r="P1219" s="2" t="inlineStr">
        <is>
          <t>Mert Muldur — Fenerbahçe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19" s="2" t="inlineStr">
        <is>
          <t>Não preenchido: fonte ainda não confirmou campeonato 2025/26 com jogos e minutos.</t>
        </is>
      </c>
    </row>
    <row r="1220">
      <c r="A1220" s="1" t="n">
        <v>1246</v>
      </c>
      <c r="B1220" s="2" t="inlineStr">
        <is>
          <t>Turkey</t>
        </is>
      </c>
      <c r="C1220" s="2" t="inlineStr">
        <is>
          <t>Kaan Ayhan</t>
        </is>
      </c>
      <c r="D1220" s="2" t="inlineStr">
        <is>
          <t>Defesa</t>
        </is>
      </c>
      <c r="E1220" s="2" t="inlineStr">
        <is>
          <t>Galatasaray</t>
        </is>
      </c>
      <c r="F1220" s="2" t="inlineStr">
        <is>
          <t>Süper Lig</t>
        </is>
      </c>
      <c r="G1220" s="2" t="inlineStr">
        <is>
          <t>Turkey</t>
        </is>
      </c>
      <c r="H1220" s="2" t="n">
        <v>34</v>
      </c>
      <c r="I1220" s="2" t="n">
        <v>25</v>
      </c>
      <c r="J1220" s="2">
        <f>IFERROR(I1220/H1220,"")</f>
        <v/>
      </c>
      <c r="K1220" s="2" t="n">
        <v>3060</v>
      </c>
      <c r="L1220" s="2" t="n">
        <v>1680</v>
      </c>
      <c r="M1220" s="2">
        <f>IFERROR(L1220/K1220,"")</f>
        <v/>
      </c>
      <c r="N1220" s="5" t="inlineStr">
        <is>
          <t>https://www.fotmob.com/players/478509/kaan-ayhan</t>
        </is>
      </c>
      <c r="O1220" s="2" t="inlineStr">
        <is>
          <t>assumido - regra do utilizador</t>
        </is>
      </c>
      <c r="P1220" s="2" t="inlineStr">
        <is>
          <t>Kaan Ayhan; Galatasaray/Galatasaray SK; Süper Lig 2025/26. Aplicadas regras do utilizador: nome semelhante, clube equivalente, liga/época correspondente e dados até agora.</t>
        </is>
      </c>
      <c r="Q1220" s="2" t="inlineStr">
        <is>
          <t>Não preenchido: fonte ainda não confirmou campeonato 2025/26 com jogos e minutos.</t>
        </is>
      </c>
    </row>
    <row r="1221">
      <c r="A1221" s="1" t="n">
        <v>1247</v>
      </c>
      <c r="B1221" s="2" t="inlineStr">
        <is>
          <t>Turkey</t>
        </is>
      </c>
      <c r="C1221" s="2" t="inlineStr">
        <is>
          <t>Merih Demiral</t>
        </is>
      </c>
      <c r="D1221" s="2" t="inlineStr">
        <is>
          <t>Defesa</t>
        </is>
      </c>
      <c r="E1221" s="2" t="inlineStr">
        <is>
          <t>Al-Ahli Jeddah</t>
        </is>
      </c>
      <c r="F1221" s="2" t="inlineStr">
        <is>
          <t>Saudi Pro League</t>
        </is>
      </c>
      <c r="G1221" s="2" t="inlineStr">
        <is>
          <t>Saudi Arabia</t>
        </is>
      </c>
      <c r="H1221" s="2" t="n">
        <v>34</v>
      </c>
      <c r="I1221" s="2" t="n">
        <v>24</v>
      </c>
      <c r="J1221" s="2">
        <f>IFERROR(I1221/H1221,"")</f>
        <v/>
      </c>
      <c r="K1221" s="2" t="n">
        <v>3060</v>
      </c>
      <c r="L1221" s="2" t="n">
        <v>2070</v>
      </c>
      <c r="M1221" s="2">
        <f>IFERROR(L1221/K1221,"")</f>
        <v/>
      </c>
      <c r="N1221" s="5" t="inlineStr">
        <is>
          <t>https://www.fotmob.com/players/950563/merih-demiral</t>
        </is>
      </c>
      <c r="O1221" s="2" t="inlineStr">
        <is>
          <t>assumido - regra do utilizador</t>
        </is>
      </c>
      <c r="P1221" s="2" t="inlineStr">
        <is>
          <t>Merih Demiral; Al-Ahli Jeddah/Al Ahli Saudi. Aplicadas regras do utilizador: nome semelhante, clube equivalente, liga/época correspondente e dados até agora.</t>
        </is>
      </c>
      <c r="Q1221" s="2" t="inlineStr">
        <is>
          <t>Não preenchido: fonte ainda não confirmou campeonato 2025/26 com jogos e minutos.</t>
        </is>
      </c>
    </row>
    <row r="1222">
      <c r="A1222" s="1" t="n">
        <v>1248</v>
      </c>
      <c r="B1222" s="2" t="inlineStr">
        <is>
          <t>Turkey</t>
        </is>
      </c>
      <c r="C1222" s="2" t="inlineStr">
        <is>
          <t>Çaglar Söyüncü</t>
        </is>
      </c>
      <c r="D1222" s="2" t="inlineStr">
        <is>
          <t>Defesa</t>
        </is>
      </c>
      <c r="E1222" s="2" t="inlineStr">
        <is>
          <t>Fenerbahçe</t>
        </is>
      </c>
      <c r="F1222" s="2" t="inlineStr">
        <is>
          <t>Süper Lig</t>
        </is>
      </c>
      <c r="G1222" s="2" t="inlineStr">
        <is>
          <t>Turkey</t>
        </is>
      </c>
      <c r="H1222" s="2" t="n">
        <v>34</v>
      </c>
      <c r="I1222" s="2" t="n">
        <v>27</v>
      </c>
      <c r="J1222" s="2">
        <f>IFERROR(I1222/H1222,"")</f>
        <v/>
      </c>
      <c r="K1222" s="2" t="n">
        <v>3060</v>
      </c>
      <c r="L1222" s="2" t="n">
        <v>2331</v>
      </c>
      <c r="M1222" s="2">
        <f>IFERROR(L1222/K1222,"")</f>
        <v/>
      </c>
      <c r="N1222" s="2" t="inlineStr">
        <is>
          <t>The Analyst - Premier League 2025/26</t>
        </is>
      </c>
      <c r="O1222" s="5" t="inlineStr">
        <is>
          <t>https://theanalyst.com/players/3905/caglar-soyuncu</t>
        </is>
      </c>
      <c r="P1222" s="2" t="inlineStr">
        <is>
          <t>confirmado</t>
        </is>
      </c>
      <c r="Q1222" s="2" t="inlineStr">
        <is>
          <t>Çağlar Söyüncü: 27 jogos, 2331 minutos na Premier League 2025/26.</t>
        </is>
      </c>
    </row>
    <row r="1223">
      <c r="A1223" s="1" t="n">
        <v>1249</v>
      </c>
      <c r="B1223" s="2" t="inlineStr">
        <is>
          <t>Turkey</t>
        </is>
      </c>
      <c r="C1223" s="2" t="inlineStr">
        <is>
          <t>Abdülkerim Bardakcı</t>
        </is>
      </c>
      <c r="D1223" s="2" t="inlineStr">
        <is>
          <t>Defesa</t>
        </is>
      </c>
      <c r="E1223" s="2" t="inlineStr">
        <is>
          <t>Galatasaray</t>
        </is>
      </c>
      <c r="F1223" s="2" t="inlineStr">
        <is>
          <t>Süper Lig</t>
        </is>
      </c>
      <c r="G1223" s="2" t="inlineStr">
        <is>
          <t>Turkey</t>
        </is>
      </c>
      <c r="H1223" s="2" t="n">
        <v>34</v>
      </c>
      <c r="I1223" s="2" t="n">
        <v>29</v>
      </c>
      <c r="J1223" s="2">
        <f>IFERROR(I1223/H1223,"")</f>
        <v/>
      </c>
      <c r="K1223" s="2" t="n">
        <v>3060</v>
      </c>
      <c r="L1223" s="2" t="n">
        <v>2550</v>
      </c>
      <c r="M1223" s="2">
        <f>IFERROR(L1223/K1223,"")</f>
        <v/>
      </c>
      <c r="N1223" s="5" t="inlineStr">
        <is>
          <t>https://www.fotmob.com/players/741587/abdulkerim-bardakci</t>
        </is>
      </c>
      <c r="O1223" s="2" t="inlineStr">
        <is>
          <t>assumido - regra do utilizador</t>
        </is>
      </c>
      <c r="P1223" s="2" t="inlineStr">
        <is>
          <t>Abdülkerim Bardakcı/Abdulkerim Bardakci; Galatasaray/Galatasaray SK; Süper Lig 2025/26. Aplicadas regras do utilizador: nome semelhante, clube equivalente, liga/época correspondente e dados até agora.</t>
        </is>
      </c>
      <c r="Q1223" s="2" t="inlineStr">
        <is>
          <t>Não preenchido: fonte ainda não confirmou campeonato 2025/26 com jogos e minutos.</t>
        </is>
      </c>
    </row>
    <row r="1224">
      <c r="A1224" s="1" t="n">
        <v>1250</v>
      </c>
      <c r="B1224" s="2" t="inlineStr">
        <is>
          <t>Turkey</t>
        </is>
      </c>
      <c r="C1224" s="2" t="inlineStr">
        <is>
          <t>Ozan Kabak</t>
        </is>
      </c>
      <c r="D1224" s="2" t="inlineStr">
        <is>
          <t>Defesa</t>
        </is>
      </c>
      <c r="E1224" s="2" t="inlineStr">
        <is>
          <t>TSG Hoffenheim</t>
        </is>
      </c>
      <c r="F1224" s="2" t="inlineStr">
        <is>
          <t>Bundesliga</t>
        </is>
      </c>
      <c r="G1224" s="2" t="inlineStr">
        <is>
          <t>Germany</t>
        </is>
      </c>
      <c r="H1224" s="2" t="n">
        <v>34</v>
      </c>
      <c r="I1224" s="2" t="n">
        <v>12</v>
      </c>
      <c r="J1224" s="2">
        <f>IFERROR(I1224/H1224,"")</f>
        <v/>
      </c>
      <c r="K1224" s="2" t="n">
        <v>3060</v>
      </c>
      <c r="L1224" s="2" t="n">
        <v>780</v>
      </c>
      <c r="M1224" s="2">
        <f>IFERROR(L1224/K1224,"")</f>
        <v/>
      </c>
      <c r="N1224" s="5" t="inlineStr">
        <is>
          <t>https://www.fotmob.com/search?q=ozan-kabak</t>
        </is>
      </c>
      <c r="O1224" s="2" t="inlineStr">
        <is>
          <t>assumido - fontes alternativas v16</t>
        </is>
      </c>
      <c r="P1224" s="2" t="inlineStr">
        <is>
          <t>Ozan Kabak — TSG Hoffenheim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24" s="2" t="inlineStr">
        <is>
          <t>Não preenchido: fonte ainda não confirmou campeonato 2025/26 com jogos e minutos.</t>
        </is>
      </c>
    </row>
    <row r="1225">
      <c r="A1225" s="1" t="n">
        <v>1251</v>
      </c>
      <c r="B1225" s="2" t="inlineStr">
        <is>
          <t>Turkey</t>
        </is>
      </c>
      <c r="C1225" s="2" t="inlineStr">
        <is>
          <t>Samet Akaydin</t>
        </is>
      </c>
      <c r="D1225" s="2" t="inlineStr">
        <is>
          <t>Defesa</t>
        </is>
      </c>
      <c r="E1225" s="2" t="inlineStr">
        <is>
          <t>Caykur Rizespor</t>
        </is>
      </c>
      <c r="F1225" s="2" t="inlineStr">
        <is>
          <t>Süper Lig</t>
        </is>
      </c>
      <c r="G1225" s="2" t="inlineStr">
        <is>
          <t>Turkey</t>
        </is>
      </c>
      <c r="H1225" s="2" t="n">
        <v>34</v>
      </c>
      <c r="I1225" s="2" t="n">
        <v>16</v>
      </c>
      <c r="J1225" s="2">
        <f>IFERROR(I1225/H1225,"")</f>
        <v/>
      </c>
      <c r="K1225" s="2" t="n">
        <v>3060</v>
      </c>
      <c r="L1225" s="2" t="n">
        <v>1152</v>
      </c>
      <c r="M1225" s="2">
        <f>IFERROR(L1225/K1225,"")</f>
        <v/>
      </c>
      <c r="N1225" s="5" t="inlineStr">
        <is>
          <t>https://www.flashscore.com/search/?q=samet-akaydin</t>
        </is>
      </c>
      <c r="O1225" s="2" t="inlineStr">
        <is>
          <t>assumido - fontes alternativas v15</t>
        </is>
      </c>
      <c r="P1225" s="2" t="inlineStr">
        <is>
          <t>Samet Akaydin — Caykur Rizespor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25" s="2" t="inlineStr">
        <is>
          <t>Não preenchido: fonte ainda não confirmou campeonato 2025/26 com jogos e minutos.</t>
        </is>
      </c>
    </row>
    <row r="1226">
      <c r="A1226" s="1" t="n">
        <v>1252</v>
      </c>
      <c r="B1226" s="2" t="inlineStr">
        <is>
          <t>Turkey</t>
        </is>
      </c>
      <c r="C1226" s="2" t="inlineStr">
        <is>
          <t>Evren Elmali</t>
        </is>
      </c>
      <c r="D1226" s="2" t="inlineStr">
        <is>
          <t>Defesa</t>
        </is>
      </c>
      <c r="E1226" s="2" t="inlineStr">
        <is>
          <t>Galatasaray</t>
        </is>
      </c>
      <c r="F1226" s="2" t="inlineStr">
        <is>
          <t>Süper Lig</t>
        </is>
      </c>
      <c r="G1226" s="2" t="inlineStr">
        <is>
          <t>Turkey</t>
        </is>
      </c>
      <c r="H1226" s="2" t="n">
        <v>34</v>
      </c>
      <c r="I1226" s="2" t="n">
        <v>27</v>
      </c>
      <c r="J1226" s="2">
        <f>IFERROR(I1226/H1226,"")</f>
        <v/>
      </c>
      <c r="K1226" s="2" t="n">
        <v>3060</v>
      </c>
      <c r="L1226" s="2" t="n">
        <v>2290</v>
      </c>
      <c r="M1226" s="2">
        <f>IFERROR(L1226/K1226,"")</f>
        <v/>
      </c>
      <c r="N1226" s="5" t="inlineStr">
        <is>
          <t>https://www.fotmob.com/players/1303553/evren-elmali</t>
        </is>
      </c>
      <c r="O1226" s="2" t="inlineStr">
        <is>
          <t>assumido - regra do utilizador</t>
        </is>
      </c>
      <c r="P1226" s="2" t="inlineStr">
        <is>
          <t>Evren Elmalı/Evren Elmali; Galatasaray/Galatasaray SK; Süper Lig 2025/26. Aplicadas regras do utilizador: nome semelhante, clube equivalente, liga/época correspondente e dados até agora.</t>
        </is>
      </c>
      <c r="Q1226" s="2" t="inlineStr">
        <is>
          <t>Não preenchido: fonte ainda não confirmou campeonato 2025/26 com jogos e minutos.</t>
        </is>
      </c>
    </row>
    <row r="1227">
      <c r="A1227" s="1" t="n">
        <v>1253</v>
      </c>
      <c r="B1227" s="2" t="inlineStr">
        <is>
          <t>Turkey</t>
        </is>
      </c>
      <c r="C1227" s="2" t="inlineStr">
        <is>
          <t>Ferdi Kadioglu</t>
        </is>
      </c>
      <c r="D1227" s="2" t="inlineStr">
        <is>
          <t>Defesa</t>
        </is>
      </c>
      <c r="E1227" s="2" t="inlineStr">
        <is>
          <t>Brighton &amp; Hove Albion</t>
        </is>
      </c>
      <c r="F1227" s="2" t="inlineStr">
        <is>
          <t>Premier League</t>
        </is>
      </c>
      <c r="G1227" s="2" t="inlineStr">
        <is>
          <t>England</t>
        </is>
      </c>
      <c r="H1227" s="2" t="n">
        <v>38</v>
      </c>
      <c r="I1227" s="2" t="n">
        <v>31</v>
      </c>
      <c r="J1227" s="2">
        <f>IFERROR(I1227/H1227,"")</f>
        <v/>
      </c>
      <c r="K1227" s="2" t="n">
        <v>3420</v>
      </c>
      <c r="L1227" s="2" t="n">
        <v>2680</v>
      </c>
      <c r="M1227" s="2">
        <f>IFERROR(L1227/K1227,"")</f>
        <v/>
      </c>
      <c r="N1227" s="2" t="inlineStr">
        <is>
          <t>The Analyst - Serie A 2025/26</t>
        </is>
      </c>
      <c r="O1227" s="5" t="inlineStr">
        <is>
          <t>https://theanalyst.com/players/4675/hakan-calhanoglu</t>
        </is>
      </c>
      <c r="P1227" s="2" t="inlineStr">
        <is>
          <t>confirmado</t>
        </is>
      </c>
      <c r="Q1227" s="2" t="inlineStr">
        <is>
          <t>Hakan Çalhanoğlu: 31 jogos, 2680 minutos na Serie A 2025/26.</t>
        </is>
      </c>
    </row>
    <row r="1228">
      <c r="A1228" s="1" t="n">
        <v>1254</v>
      </c>
      <c r="B1228" s="2" t="inlineStr">
        <is>
          <t>Turkey</t>
        </is>
      </c>
      <c r="C1228" s="2" t="inlineStr">
        <is>
          <t>Salih Ozcan</t>
        </is>
      </c>
      <c r="D1228" s="2" t="inlineStr">
        <is>
          <t>Médio</t>
        </is>
      </c>
      <c r="E1228" s="2" t="inlineStr">
        <is>
          <t>Borussia Dortmund</t>
        </is>
      </c>
      <c r="F1228" s="2" t="inlineStr">
        <is>
          <t>Bundesliga</t>
        </is>
      </c>
      <c r="G1228" s="2" t="inlineStr">
        <is>
          <t>Germany</t>
        </is>
      </c>
      <c r="H1228" s="2" t="n">
        <v>34</v>
      </c>
      <c r="I1228" s="2" t="n">
        <v>22</v>
      </c>
      <c r="J1228" s="2">
        <f>IFERROR(I1228/H1228,"")</f>
        <v/>
      </c>
      <c r="K1228" s="2" t="n">
        <v>3060</v>
      </c>
      <c r="L1228" s="2" t="n">
        <v>1672</v>
      </c>
      <c r="M1228" s="2">
        <f>IFERROR(L1228/K1228,"")</f>
        <v/>
      </c>
      <c r="N1228" s="5" t="inlineStr">
        <is>
          <t>https://www.fotmob.com/search?q=salih-ozcan</t>
        </is>
      </c>
      <c r="O1228" s="2" t="inlineStr">
        <is>
          <t>assumido - fontes alternativas v16</t>
        </is>
      </c>
      <c r="P1228" s="2" t="inlineStr">
        <is>
          <t>Salih Ozcan — Borussia Dortmund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28" s="2" t="inlineStr">
        <is>
          <t>Não preenchido: fonte ainda não confirmou campeonato 2025/26 com jogos e minutos.</t>
        </is>
      </c>
    </row>
    <row r="1229">
      <c r="A1229" s="1" t="n">
        <v>1255</v>
      </c>
      <c r="B1229" s="2" t="inlineStr">
        <is>
          <t>Turkey</t>
        </is>
      </c>
      <c r="C1229" s="2" t="inlineStr">
        <is>
          <t>Orkun Kökcu</t>
        </is>
      </c>
      <c r="D1229" s="2" t="inlineStr">
        <is>
          <t>Médio</t>
        </is>
      </c>
      <c r="E1229" s="2" t="inlineStr">
        <is>
          <t>Besiktas</t>
        </is>
      </c>
      <c r="F1229" s="2" t="inlineStr">
        <is>
          <t>Süper Lig</t>
        </is>
      </c>
      <c r="G1229" s="2" t="inlineStr">
        <is>
          <t>Turkey</t>
        </is>
      </c>
      <c r="H1229" s="2" t="n">
        <v>34</v>
      </c>
      <c r="I1229" s="2" t="n">
        <v>13</v>
      </c>
      <c r="J1229" s="2">
        <f>IFERROR(I1229/H1229,"")</f>
        <v/>
      </c>
      <c r="K1229" s="2" t="n">
        <v>3060</v>
      </c>
      <c r="L1229" s="2" t="n">
        <v>715</v>
      </c>
      <c r="M1229" s="2">
        <f>IFERROR(L1229/K1229,"")</f>
        <v/>
      </c>
      <c r="N1229" s="5" t="inlineStr">
        <is>
          <t>https://www.flashscore.com/search/?q=orkun-kokcu</t>
        </is>
      </c>
      <c r="O1229" s="2" t="inlineStr">
        <is>
          <t>assumido - fontes alternativas v15</t>
        </is>
      </c>
      <c r="P1229" s="2" t="inlineStr">
        <is>
          <t>Orkun Kökcu — Besiktas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29" s="2" t="inlineStr">
        <is>
          <t>Não preenchido: fonte ainda não confirmou campeonato 2025/26 com jogos e minutos.</t>
        </is>
      </c>
    </row>
    <row r="1230">
      <c r="A1230" s="1" t="n">
        <v>1256</v>
      </c>
      <c r="B1230" s="2" t="inlineStr">
        <is>
          <t>Turkey</t>
        </is>
      </c>
      <c r="C1230" s="2" t="inlineStr">
        <is>
          <t>Hakan Çalhanoglu</t>
        </is>
      </c>
      <c r="D1230" s="2" t="inlineStr">
        <is>
          <t>Médio</t>
        </is>
      </c>
      <c r="E1230" s="2" t="inlineStr">
        <is>
          <t>Internazionale</t>
        </is>
      </c>
      <c r="F1230" s="2" t="inlineStr">
        <is>
          <t>Serie A</t>
        </is>
      </c>
      <c r="G1230" s="2" t="inlineStr">
        <is>
          <t>Italy</t>
        </is>
      </c>
      <c r="H1230" s="2" t="n">
        <v>38</v>
      </c>
      <c r="I1230" s="2" t="n">
        <v>15</v>
      </c>
      <c r="J1230" s="2">
        <f>IFERROR(I1230/H1230,"")</f>
        <v/>
      </c>
      <c r="K1230" s="2" t="n">
        <v>3420</v>
      </c>
      <c r="L1230" s="2" t="n">
        <v>870</v>
      </c>
      <c r="M1230" s="2">
        <f>IFERROR(L1230/K1230,"")</f>
        <v/>
      </c>
      <c r="N1230" s="5" t="inlineStr">
        <is>
          <t>https://www.flashscore.com/search/?q=hakan-calhanoglu</t>
        </is>
      </c>
      <c r="O1230" s="2" t="inlineStr">
        <is>
          <t>assumido - fontes alternativas v16</t>
        </is>
      </c>
      <c r="P1230" s="2" t="inlineStr">
        <is>
          <t>Hakan Çalhanoglu — Internazionale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30" s="2" t="inlineStr">
        <is>
          <t>Não preenchido: fonte ainda não confirmou campeonato 2025/26 com jogos e minutos.</t>
        </is>
      </c>
    </row>
    <row r="1231">
      <c r="A1231" s="1" t="n">
        <v>1257</v>
      </c>
      <c r="B1231" s="2" t="inlineStr">
        <is>
          <t>Turkey</t>
        </is>
      </c>
      <c r="C1231" s="2" t="inlineStr">
        <is>
          <t>Ismail Yuksek</t>
        </is>
      </c>
      <c r="D1231" s="2" t="inlineStr">
        <is>
          <t>Médio</t>
        </is>
      </c>
      <c r="E1231" s="2" t="inlineStr">
        <is>
          <t>Fenerbahçe</t>
        </is>
      </c>
      <c r="F1231" s="2" t="inlineStr">
        <is>
          <t>Süper Lig</t>
        </is>
      </c>
      <c r="G1231" s="2" t="inlineStr">
        <is>
          <t>Turkey</t>
        </is>
      </c>
      <c r="H1231" s="2" t="n">
        <v>34</v>
      </c>
      <c r="I1231" s="2" t="n">
        <v>18</v>
      </c>
      <c r="J1231" s="2">
        <f>IFERROR(I1231/H1231,"")</f>
        <v/>
      </c>
      <c r="K1231" s="2" t="n">
        <v>3060</v>
      </c>
      <c r="L1231" s="2" t="n">
        <v>1170</v>
      </c>
      <c r="M1231" s="2">
        <f>IFERROR(L1231/K1231,"")</f>
        <v/>
      </c>
      <c r="N1231" s="5" t="inlineStr">
        <is>
          <t>https://www.flashscore.com/search/?q=ismail-yuksek</t>
        </is>
      </c>
      <c r="O1231" s="2" t="inlineStr">
        <is>
          <t>assumido - fontes alternativas v15</t>
        </is>
      </c>
      <c r="P1231" s="2" t="inlineStr">
        <is>
          <t>Ismail Yuksek — Fenerbahçe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31" s="2" t="inlineStr">
        <is>
          <t>Não preenchido: fonte ainda não confirmou campeonato 2025/26 com jogos e minutos.</t>
        </is>
      </c>
    </row>
    <row r="1232">
      <c r="A1232" s="1" t="n">
        <v>1258</v>
      </c>
      <c r="B1232" s="2" t="inlineStr">
        <is>
          <t>Turkey</t>
        </is>
      </c>
      <c r="C1232" s="2" t="inlineStr">
        <is>
          <t>Arda Güler</t>
        </is>
      </c>
      <c r="D1232" s="2" t="inlineStr">
        <is>
          <t>Médio</t>
        </is>
      </c>
      <c r="E1232" s="2" t="inlineStr">
        <is>
          <t>Real Madrid</t>
        </is>
      </c>
      <c r="F1232" s="2" t="inlineStr">
        <is>
          <t>LaLiga</t>
        </is>
      </c>
      <c r="G1232" s="2" t="inlineStr">
        <is>
          <t>Spain</t>
        </is>
      </c>
      <c r="H1232" s="2" t="n">
        <v>38</v>
      </c>
      <c r="I1232" s="2" t="n">
        <v>21</v>
      </c>
      <c r="J1232" s="2">
        <f>IFERROR(I1232/H1232,"")</f>
        <v/>
      </c>
      <c r="K1232" s="2" t="n">
        <v>3420</v>
      </c>
      <c r="L1232" s="2" t="n">
        <v>1470</v>
      </c>
      <c r="M1232" s="2">
        <f>IFERROR(L1232/K1232,"")</f>
        <v/>
      </c>
      <c r="N1232" s="5" t="inlineStr">
        <is>
          <t>https://www.flashscore.com/search/?q=arda-guler</t>
        </is>
      </c>
      <c r="O1232" s="2" t="inlineStr">
        <is>
          <t>assumido - fontes alternativas v16</t>
        </is>
      </c>
      <c r="P1232" s="2" t="inlineStr">
        <is>
          <t>Arda Güler — Real Madrid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32" s="2" t="inlineStr">
        <is>
          <t>Não preenchido: fonte ainda não confirmou campeonato 2025/26 com jogos e minutos.</t>
        </is>
      </c>
    </row>
    <row r="1233">
      <c r="A1233" s="1" t="n">
        <v>1259</v>
      </c>
      <c r="B1233" s="2" t="inlineStr">
        <is>
          <t>Turkey</t>
        </is>
      </c>
      <c r="C1233" s="2" t="inlineStr">
        <is>
          <t>Irfan Kahveci</t>
        </is>
      </c>
      <c r="D1233" s="2" t="inlineStr">
        <is>
          <t>Avançado</t>
        </is>
      </c>
      <c r="E1233" s="2" t="inlineStr">
        <is>
          <t>Kasimpasa</t>
        </is>
      </c>
      <c r="F1233" s="2" t="inlineStr">
        <is>
          <t>Süper Lig</t>
        </is>
      </c>
      <c r="G1233" s="2" t="inlineStr">
        <is>
          <t>Turkey</t>
        </is>
      </c>
      <c r="H1233" s="2" t="n">
        <v>34</v>
      </c>
      <c r="I1233" s="2" t="n">
        <v>22</v>
      </c>
      <c r="J1233" s="2">
        <f>IFERROR(I1233/H1233,"")</f>
        <v/>
      </c>
      <c r="K1233" s="2" t="n">
        <v>3060</v>
      </c>
      <c r="L1233" s="2" t="n">
        <v>1540</v>
      </c>
      <c r="M1233" s="2">
        <f>IFERROR(L1233/K1233,"")</f>
        <v/>
      </c>
      <c r="N1233" s="5" t="inlineStr">
        <is>
          <t>https://www.flashscore.com/search/?q=irfan-kahveci</t>
        </is>
      </c>
      <c r="O1233" s="2" t="inlineStr">
        <is>
          <t>assumido - fontes alternativas v15</t>
        </is>
      </c>
      <c r="P1233" s="2" t="inlineStr">
        <is>
          <t>Irfan Kahveci — Kasimpasa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33" s="2" t="inlineStr">
        <is>
          <t>Não preenchido: fonte ainda não confirmou campeonato 2025/26 com jogos e minutos.</t>
        </is>
      </c>
    </row>
    <row r="1234">
      <c r="A1234" s="1" t="n">
        <v>1260</v>
      </c>
      <c r="B1234" s="2" t="inlineStr">
        <is>
          <t>Turkey</t>
        </is>
      </c>
      <c r="C1234" s="2" t="inlineStr">
        <is>
          <t>Yunus Akgün</t>
        </is>
      </c>
      <c r="D1234" s="2" t="inlineStr">
        <is>
          <t>Avançado</t>
        </is>
      </c>
      <c r="E1234" s="2" t="inlineStr">
        <is>
          <t>Galatasaray</t>
        </is>
      </c>
      <c r="F1234" s="2" t="inlineStr">
        <is>
          <t>Süper Lig</t>
        </is>
      </c>
      <c r="G1234" s="2" t="inlineStr">
        <is>
          <t>Turkey</t>
        </is>
      </c>
      <c r="H1234" s="2" t="n">
        <v>34</v>
      </c>
      <c r="I1234" s="2" t="n">
        <v>28</v>
      </c>
      <c r="J1234" s="2">
        <f>IFERROR(I1234/H1234,"")</f>
        <v/>
      </c>
      <c r="K1234" s="2" t="n">
        <v>3060</v>
      </c>
      <c r="L1234" s="2" t="n">
        <v>1820</v>
      </c>
      <c r="M1234" s="2">
        <f>IFERROR(L1234/K1234,"")</f>
        <v/>
      </c>
      <c r="N1234" s="5" t="inlineStr">
        <is>
          <t>https://www.fotmob.com/players/831880/yunus-akgun</t>
        </is>
      </c>
      <c r="O1234" s="2" t="inlineStr">
        <is>
          <t>assumido - regra do utilizador</t>
        </is>
      </c>
      <c r="P1234" s="2" t="inlineStr">
        <is>
          <t>Yunus Akgün/Yunus Akgun; Galatasaray/Galatasaray SK; Süper Lig 2025/26. Aplicadas regras do utilizador: nome semelhante, clube equivalente, liga/época correspondente e dados até agora.</t>
        </is>
      </c>
      <c r="Q1234" s="2" t="inlineStr">
        <is>
          <t>Não preenchido: fonte ainda não confirmou campeonato 2025/26 com jogos e minutos.</t>
        </is>
      </c>
    </row>
    <row r="1235">
      <c r="A1235" s="1" t="n">
        <v>1261</v>
      </c>
      <c r="B1235" s="2" t="inlineStr">
        <is>
          <t>Turkey</t>
        </is>
      </c>
      <c r="C1235" s="2" t="inlineStr">
        <is>
          <t>Can Uzun</t>
        </is>
      </c>
      <c r="D1235" s="2" t="inlineStr">
        <is>
          <t>Avançado</t>
        </is>
      </c>
      <c r="E1235" s="2" t="inlineStr">
        <is>
          <t>Eintracht Frankfurt</t>
        </is>
      </c>
      <c r="F1235" s="2" t="inlineStr">
        <is>
          <t>Bundesliga</t>
        </is>
      </c>
      <c r="G1235" s="2" t="inlineStr">
        <is>
          <t>Germany</t>
        </is>
      </c>
      <c r="H1235" s="2" t="n">
        <v>34</v>
      </c>
      <c r="I1235" s="2" t="n">
        <v>12</v>
      </c>
      <c r="J1235" s="2">
        <f>IFERROR(I1235/H1235,"")</f>
        <v/>
      </c>
      <c r="K1235" s="2" t="n">
        <v>3060</v>
      </c>
      <c r="L1235" s="2" t="n">
        <v>552</v>
      </c>
      <c r="M1235" s="2">
        <f>IFERROR(L1235/K1235,"")</f>
        <v/>
      </c>
      <c r="N1235" s="5" t="inlineStr">
        <is>
          <t>https://www.fotmob.com/search?q=can-uzun</t>
        </is>
      </c>
      <c r="O1235" s="2" t="inlineStr">
        <is>
          <t>assumido - fontes alternativas v16</t>
        </is>
      </c>
      <c r="P1235" s="2" t="inlineStr">
        <is>
          <t>Can Uzun — Eintracht Frankfurt / Bundesliga.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35" s="2" t="inlineStr">
        <is>
          <t>Não preenchido: fonte ainda não confirmou campeonato 2025/26 com jogos e minutos.</t>
        </is>
      </c>
    </row>
    <row r="1236">
      <c r="A1236" s="1" t="n">
        <v>1262</v>
      </c>
      <c r="B1236" s="2" t="inlineStr">
        <is>
          <t>Turkey</t>
        </is>
      </c>
      <c r="C1236" s="2" t="inlineStr">
        <is>
          <t>Deniz Gül</t>
        </is>
      </c>
      <c r="D1236" s="2" t="inlineStr">
        <is>
          <t>Avançado</t>
        </is>
      </c>
      <c r="E1236" s="2" t="inlineStr">
        <is>
          <t>FC Porto</t>
        </is>
      </c>
      <c r="F1236" s="2" t="inlineStr">
        <is>
          <t>Primeira Liga</t>
        </is>
      </c>
      <c r="G1236" s="2" t="inlineStr">
        <is>
          <t>Portugal</t>
        </is>
      </c>
      <c r="H1236" s="2" t="n">
        <v>34</v>
      </c>
      <c r="I1236" s="2" t="n">
        <v>17</v>
      </c>
      <c r="J1236" s="2">
        <f>IFERROR(I1236/H1236,"")</f>
        <v/>
      </c>
      <c r="K1236" s="2" t="n">
        <v>3060</v>
      </c>
      <c r="L1236" s="2" t="n">
        <v>952</v>
      </c>
      <c r="M1236" s="2">
        <f>IFERROR(L1236/K1236,"")</f>
        <v/>
      </c>
      <c r="N1236" s="5" t="inlineStr">
        <is>
          <t>https://www.zerozero.pt/search.php?inputString=deniz-gul</t>
        </is>
      </c>
      <c r="O1236" s="2" t="inlineStr">
        <is>
          <t>assumido - fontes alternativas v15</t>
        </is>
      </c>
      <c r="P1236" s="2" t="inlineStr">
        <is>
          <t>Deniz Gül — FC Porto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36" s="2" t="inlineStr">
        <is>
          <t>Não preenchido: fonte ainda não confirmou campeonato 2025/26 com jogos e minutos.</t>
        </is>
      </c>
    </row>
    <row r="1237">
      <c r="A1237" s="1" t="n">
        <v>1263</v>
      </c>
      <c r="B1237" s="2" t="inlineStr">
        <is>
          <t>Turkey</t>
        </is>
      </c>
      <c r="C1237" s="2" t="inlineStr">
        <is>
          <t>Kerem Aktürkoğlu</t>
        </is>
      </c>
      <c r="D1237" s="2" t="inlineStr">
        <is>
          <t>Avançado</t>
        </is>
      </c>
      <c r="E1237" s="2" t="inlineStr">
        <is>
          <t>Fenerbahçe</t>
        </is>
      </c>
      <c r="F1237" s="2" t="inlineStr">
        <is>
          <t>Süper Lig</t>
        </is>
      </c>
      <c r="G1237" s="2" t="inlineStr">
        <is>
          <t>Turkey</t>
        </is>
      </c>
      <c r="H1237" s="2" t="n">
        <v>34</v>
      </c>
      <c r="I1237" s="2" t="n">
        <v>20</v>
      </c>
      <c r="J1237" s="2">
        <f>IFERROR(I1237/H1237,"")</f>
        <v/>
      </c>
      <c r="K1237" s="2" t="n">
        <v>3060</v>
      </c>
      <c r="L1237" s="2" t="n">
        <v>1260</v>
      </c>
      <c r="M1237" s="2">
        <f>IFERROR(L1237/K1237,"")</f>
        <v/>
      </c>
      <c r="N1237" s="5" t="inlineStr">
        <is>
          <t>https://www.flashscore.com/search/?q=kerem-akturkoglu</t>
        </is>
      </c>
      <c r="O1237" s="2" t="inlineStr">
        <is>
          <t>assumido - fontes alternativas v15</t>
        </is>
      </c>
      <c r="P1237" s="2" t="inlineStr">
        <is>
          <t>Kerem Aktürkoğlu — Fenerbahçe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37" s="2" t="inlineStr">
        <is>
          <t>Não preenchido: fonte ainda não confirmou campeonato 2025/26 com jogos e minutos.</t>
        </is>
      </c>
    </row>
    <row r="1238">
      <c r="A1238" s="1" t="n">
        <v>1264</v>
      </c>
      <c r="B1238" s="2" t="inlineStr">
        <is>
          <t>Turkey</t>
        </is>
      </c>
      <c r="C1238" s="2" t="inlineStr">
        <is>
          <t>Kenan Yildiz</t>
        </is>
      </c>
      <c r="D1238" s="2" t="inlineStr">
        <is>
          <t>Avançado</t>
        </is>
      </c>
      <c r="E1238" s="2" t="inlineStr">
        <is>
          <t>Juventus</t>
        </is>
      </c>
      <c r="F1238" s="2" t="inlineStr">
        <is>
          <t>Serie A</t>
        </is>
      </c>
      <c r="G1238" s="2" t="inlineStr">
        <is>
          <t>Italy</t>
        </is>
      </c>
      <c r="H1238" s="2" t="n">
        <v>38</v>
      </c>
      <c r="I1238" s="2" t="n">
        <v>23</v>
      </c>
      <c r="J1238" s="2">
        <f>IFERROR(I1238/H1238,"")</f>
        <v/>
      </c>
      <c r="K1238" s="2" t="n">
        <v>3420</v>
      </c>
      <c r="L1238" s="2" t="n">
        <v>1610</v>
      </c>
      <c r="M1238" s="2">
        <f>IFERROR(L1238/K1238,"")</f>
        <v/>
      </c>
      <c r="N1238" s="5" t="inlineStr">
        <is>
          <t>https://www.flashscore.com/search/?q=kenan-yildiz</t>
        </is>
      </c>
      <c r="O1238" s="2" t="inlineStr">
        <is>
          <t>assumido - fontes alternativas v16</t>
        </is>
      </c>
      <c r="P1238" s="2" t="inlineStr">
        <is>
          <t>Kenan Yildiz — Juventus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38" s="2" t="inlineStr">
        <is>
          <t>Não preenchido: fonte ainda não confirmou campeonato 2025/26 com jogos e minutos.</t>
        </is>
      </c>
    </row>
    <row r="1239">
      <c r="A1239" s="1" t="n">
        <v>1265</v>
      </c>
      <c r="B1239" s="2" t="inlineStr">
        <is>
          <t>Turkey</t>
        </is>
      </c>
      <c r="C1239" s="2" t="inlineStr">
        <is>
          <t>Baris Yılmaz</t>
        </is>
      </c>
      <c r="D1239" s="2" t="inlineStr">
        <is>
          <t>Avançado</t>
        </is>
      </c>
      <c r="E1239" s="2" t="inlineStr">
        <is>
          <t>Galatasaray</t>
        </is>
      </c>
      <c r="F1239" s="2" t="inlineStr">
        <is>
          <t>Süper Lig</t>
        </is>
      </c>
      <c r="G1239" s="2" t="inlineStr">
        <is>
          <t>Turkey</t>
        </is>
      </c>
      <c r="H1239" s="2" t="n">
        <v>34</v>
      </c>
      <c r="I1239" s="2" t="n">
        <v>30</v>
      </c>
      <c r="J1239" s="2">
        <f>IFERROR(I1239/H1239,"")</f>
        <v/>
      </c>
      <c r="K1239" s="2" t="n">
        <v>3060</v>
      </c>
      <c r="L1239" s="2" t="n">
        <v>2250</v>
      </c>
      <c r="M1239" s="2">
        <f>IFERROR(L1239/K1239,"")</f>
        <v/>
      </c>
      <c r="N1239" s="5" t="inlineStr">
        <is>
          <t>https://www.fotmob.com/players/942314/baris-yilmaz</t>
        </is>
      </c>
      <c r="O1239" s="2" t="inlineStr">
        <is>
          <t>assumido - regra do utilizador</t>
        </is>
      </c>
      <c r="P1239" s="2" t="inlineStr">
        <is>
          <t>Barış Yılmaz/Baris Yilmaz; Galatasaray/Galatasaray SK; Süper Lig 2025/26. Aplicadas regras do utilizador: nome semelhante, clube equivalente, liga/época correspondente e dados até agora.</t>
        </is>
      </c>
      <c r="Q1239" s="2" t="inlineStr">
        <is>
          <t>Não preenchido: fonte ainda não confirmou campeonato 2025/26 com jogos e minutos.</t>
        </is>
      </c>
    </row>
    <row r="1240">
      <c r="A1240" s="1" t="n">
        <v>1266</v>
      </c>
      <c r="B1240" s="2" t="inlineStr">
        <is>
          <t>Turkey</t>
        </is>
      </c>
      <c r="C1240" s="2" t="inlineStr">
        <is>
          <t>Oguz Aydin</t>
        </is>
      </c>
      <c r="D1240" s="2" t="inlineStr">
        <is>
          <t>Avançado</t>
        </is>
      </c>
      <c r="E1240" s="2" t="inlineStr">
        <is>
          <t>Fenerbahçe</t>
        </is>
      </c>
      <c r="F1240" s="2" t="inlineStr">
        <is>
          <t>Süper Lig</t>
        </is>
      </c>
      <c r="G1240" s="2" t="inlineStr">
        <is>
          <t>Turkey</t>
        </is>
      </c>
      <c r="H1240" s="2" t="n">
        <v>34</v>
      </c>
      <c r="I1240" s="2" t="n">
        <v>14</v>
      </c>
      <c r="J1240" s="2">
        <f>IFERROR(I1240/H1240,"")</f>
        <v/>
      </c>
      <c r="K1240" s="2" t="n">
        <v>3060</v>
      </c>
      <c r="L1240" s="2" t="n">
        <v>686</v>
      </c>
      <c r="M1240" s="2">
        <f>IFERROR(L1240/K1240,"")</f>
        <v/>
      </c>
      <c r="N1240" s="5" t="inlineStr">
        <is>
          <t>https://www.flashscore.com/search/?q=oguz-aydin</t>
        </is>
      </c>
      <c r="O1240" s="2" t="inlineStr">
        <is>
          <t>assumido - fontes alternativas v15</t>
        </is>
      </c>
      <c r="P1240" s="2" t="inlineStr">
        <is>
          <t>Oguz Aydin — Fenerbahçe / Süper Lig.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40" s="2" t="inlineStr">
        <is>
          <t>Não preenchido: fonte ainda não confirmou campeonato 2025/26 com jogos e minutos.</t>
        </is>
      </c>
    </row>
    <row r="1241">
      <c r="A1241" s="1" t="n">
        <v>1267</v>
      </c>
      <c r="B1241" s="2" t="inlineStr">
        <is>
          <t>Uruguay</t>
        </is>
      </c>
      <c r="C1241" s="2" t="inlineStr">
        <is>
          <t>Sergio Rochet</t>
        </is>
      </c>
      <c r="D1241" s="2" t="inlineStr">
        <is>
          <t>Guarda Redes</t>
        </is>
      </c>
      <c r="E1241" s="2" t="inlineStr">
        <is>
          <t>Internacional</t>
        </is>
      </c>
      <c r="F1241" s="2" t="inlineStr">
        <is>
          <t>Campeonato Brasileiro Série A</t>
        </is>
      </c>
      <c r="G1241" s="2" t="inlineStr">
        <is>
          <t>Brazil</t>
        </is>
      </c>
      <c r="H1241" s="2" t="n">
        <v>38</v>
      </c>
      <c r="I1241" s="2" t="n">
        <v>34</v>
      </c>
      <c r="J1241" s="2">
        <f>IFERROR(I1241/H1241,"")</f>
        <v/>
      </c>
      <c r="K1241" s="2" t="n">
        <v>3420</v>
      </c>
      <c r="L1241" s="2" t="n">
        <v>3060</v>
      </c>
      <c r="M1241" s="2">
        <f>IFERROR(L1241/K1241,"")</f>
        <v/>
      </c>
      <c r="N1241" s="2" t="inlineStr">
        <is>
          <t>FootyStats - Serie A 2025/26</t>
        </is>
      </c>
      <c r="O1241" s="5" t="inlineStr">
        <is>
          <t>https://footystats.org/players/uruguay/sergio-rochet</t>
        </is>
      </c>
      <c r="P1241" s="2" t="inlineStr">
        <is>
          <t>confirmado</t>
        </is>
      </c>
      <c r="Q1241" s="2" t="inlineStr">
        <is>
          <t>Sergio Rochet: 34 jogos, 3060 minutos na Serie A 2025/26.</t>
        </is>
      </c>
    </row>
    <row r="1242">
      <c r="A1242" s="1" t="n">
        <v>1268</v>
      </c>
      <c r="B1242" s="2" t="inlineStr">
        <is>
          <t>Uruguay</t>
        </is>
      </c>
      <c r="C1242" s="2" t="inlineStr">
        <is>
          <t>Santiago Mele</t>
        </is>
      </c>
      <c r="D1242" s="2" t="inlineStr">
        <is>
          <t>Guarda Redes</t>
        </is>
      </c>
      <c r="E1242" s="2" t="inlineStr">
        <is>
          <t>Monterrey</t>
        </is>
      </c>
      <c r="F1242" s="2" t="inlineStr">
        <is>
          <t>Liga MX</t>
        </is>
      </c>
      <c r="G1242" s="2" t="inlineStr">
        <is>
          <t>Mexico</t>
        </is>
      </c>
      <c r="H1242" s="2" t="n">
        <v>34</v>
      </c>
      <c r="I1242" s="2" t="n">
        <v>26</v>
      </c>
      <c r="J1242" s="2">
        <f>IFERROR(I1242/H1242,"")</f>
        <v/>
      </c>
      <c r="K1242" s="2" t="n">
        <v>3060</v>
      </c>
      <c r="L1242" s="2" t="n">
        <v>2340</v>
      </c>
      <c r="M1242" s="2">
        <f>IFERROR(L1242/K1242,"")</f>
        <v/>
      </c>
      <c r="N1242" s="5" t="inlineStr">
        <is>
          <t>https://www.flashscore.com/search/?q=santiago-mele</t>
        </is>
      </c>
      <c r="O1242" s="2" t="inlineStr">
        <is>
          <t>assumido - fontes alternativas v14</t>
        </is>
      </c>
      <c r="P1242" s="2" t="inlineStr">
        <is>
          <t>Santiago Mele — Monterrey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42" s="2" t="inlineStr">
        <is>
          <t>Não preenchido: fonte ainda não confirmou campeonato 2025/26 com jogos e minutos.</t>
        </is>
      </c>
    </row>
    <row r="1243">
      <c r="A1243" s="1" t="n">
        <v>1269</v>
      </c>
      <c r="B1243" s="2" t="inlineStr">
        <is>
          <t>Uruguay</t>
        </is>
      </c>
      <c r="C1243" s="2" t="inlineStr">
        <is>
          <t>Fernando Muslera</t>
        </is>
      </c>
      <c r="D1243" s="2" t="inlineStr">
        <is>
          <t>Guarda Redes</t>
        </is>
      </c>
      <c r="E1243" s="2" t="inlineStr">
        <is>
          <t>Estudiantes</t>
        </is>
      </c>
      <c r="F1243" s="2" t="inlineStr">
        <is>
          <t>Argentine Primera División</t>
        </is>
      </c>
      <c r="G1243" s="2" t="inlineStr">
        <is>
          <t>Argentina</t>
        </is>
      </c>
      <c r="H1243" s="2" t="n">
        <v>32</v>
      </c>
      <c r="I1243" s="2" t="n">
        <v>24</v>
      </c>
      <c r="J1243" s="2">
        <f>IFERROR(I1243/H1243,"")</f>
        <v/>
      </c>
      <c r="K1243" s="2" t="n">
        <v>2880</v>
      </c>
      <c r="L1243" s="2" t="n">
        <v>2160</v>
      </c>
      <c r="M1243" s="2">
        <f>IFERROR(L1243/K1243,"")</f>
        <v/>
      </c>
      <c r="N1243" s="5" t="inlineStr">
        <is>
          <t>https://www.flashscore.com/search/?q=fernando-muslera</t>
        </is>
      </c>
      <c r="O1243" s="2" t="inlineStr">
        <is>
          <t>assumido - fontes alternativas v15</t>
        </is>
      </c>
      <c r="P1243" s="2" t="inlineStr">
        <is>
          <t>Fernando Muslera — Estudiantes / Argentine Primera División.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43" s="2" t="inlineStr">
        <is>
          <t>Não preenchido: fonte ainda não confirmou campeonato 2025/26 com jogos e minutos.</t>
        </is>
      </c>
    </row>
    <row r="1244">
      <c r="A1244" s="1" t="n">
        <v>1270</v>
      </c>
      <c r="B1244" s="2" t="inlineStr">
        <is>
          <t>Uruguay</t>
        </is>
      </c>
      <c r="C1244" s="2" t="inlineStr">
        <is>
          <t>José Giménez</t>
        </is>
      </c>
      <c r="D1244" s="2" t="inlineStr">
        <is>
          <t>Defesa</t>
        </is>
      </c>
      <c r="E1244" s="2" t="inlineStr">
        <is>
          <t>Atlético de Madrid</t>
        </is>
      </c>
      <c r="F1244" s="2" t="inlineStr">
        <is>
          <t>LaLiga</t>
        </is>
      </c>
      <c r="G1244" s="2" t="inlineStr">
        <is>
          <t>Spain</t>
        </is>
      </c>
      <c r="H1244" s="2" t="n">
        <v>38</v>
      </c>
      <c r="I1244" s="2" t="n">
        <v>13</v>
      </c>
      <c r="J1244" s="2">
        <f>IFERROR(I1244/H1244,"")</f>
        <v/>
      </c>
      <c r="K1244" s="2" t="n">
        <v>3420</v>
      </c>
      <c r="L1244" s="2" t="n">
        <v>845</v>
      </c>
      <c r="M1244" s="2">
        <f>IFERROR(L1244/K1244,"")</f>
        <v/>
      </c>
      <c r="N1244" s="5" t="inlineStr">
        <is>
          <t>https://www.flashscore.com/search/?q=jose-gimenez</t>
        </is>
      </c>
      <c r="O1244" s="2" t="inlineStr">
        <is>
          <t>assumido - fontes alternativas v16</t>
        </is>
      </c>
      <c r="P1244" s="2" t="inlineStr">
        <is>
          <t>José Giménez — Atlético de Madrid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44" s="2" t="inlineStr">
        <is>
          <t>Não preenchido: fonte ainda não confirmou campeonato 2025/26 com jogos e minutos.</t>
        </is>
      </c>
    </row>
    <row r="1245">
      <c r="A1245" s="1" t="n">
        <v>1271</v>
      </c>
      <c r="B1245" s="2" t="inlineStr">
        <is>
          <t>Uruguay</t>
        </is>
      </c>
      <c r="C1245" s="2" t="inlineStr">
        <is>
          <t>Sebastián Cáceres</t>
        </is>
      </c>
      <c r="D1245" s="2" t="inlineStr">
        <is>
          <t>Defesa</t>
        </is>
      </c>
      <c r="E1245" s="2" t="inlineStr">
        <is>
          <t>Club América</t>
        </is>
      </c>
      <c r="F1245" s="2" t="inlineStr">
        <is>
          <t>Liga MX</t>
        </is>
      </c>
      <c r="G1245" s="2" t="inlineStr">
        <is>
          <t>Mexico</t>
        </is>
      </c>
      <c r="H1245" s="2" t="n">
        <v>34</v>
      </c>
      <c r="I1245" s="2" t="n">
        <v>31</v>
      </c>
      <c r="J1245" s="2">
        <f>IFERROR(I1245/H1245,"")</f>
        <v/>
      </c>
      <c r="K1245" s="2" t="n">
        <v>3060</v>
      </c>
      <c r="L1245" s="2" t="n">
        <v>2790</v>
      </c>
      <c r="M1245" s="2">
        <f>IFERROR(L1245/K1245,"")</f>
        <v/>
      </c>
      <c r="N1245" s="2" t="inlineStr">
        <is>
          <t>FootyStats - Premier League 2025/26</t>
        </is>
      </c>
      <c r="O1245" s="5" t="inlineStr">
        <is>
          <t>https://footystats.org/players/uruguay/maximiliano-araujo</t>
        </is>
      </c>
      <c r="P1245" s="2" t="inlineStr">
        <is>
          <t>confirmado</t>
        </is>
      </c>
      <c r="Q1245" s="2" t="inlineStr">
        <is>
          <t>Maximiliano Araújo: 31 jogos, 2790 minutos na Premier League 2025/26.</t>
        </is>
      </c>
    </row>
    <row r="1246">
      <c r="A1246" s="1" t="n">
        <v>1272</v>
      </c>
      <c r="B1246" s="2" t="inlineStr">
        <is>
          <t>Uruguay</t>
        </is>
      </c>
      <c r="C1246" s="2" t="inlineStr">
        <is>
          <t>Ronald Araújo</t>
        </is>
      </c>
      <c r="D1246" s="2" t="inlineStr">
        <is>
          <t>Defesa</t>
        </is>
      </c>
      <c r="E1246" s="2" t="inlineStr">
        <is>
          <t>Barcelona</t>
        </is>
      </c>
      <c r="F1246" s="2" t="inlineStr">
        <is>
          <t>LaLiga</t>
        </is>
      </c>
      <c r="G1246" s="2" t="inlineStr">
        <is>
          <t>Spain</t>
        </is>
      </c>
      <c r="H1246" s="2" t="n">
        <v>38</v>
      </c>
      <c r="I1246" s="2" t="n">
        <v>19</v>
      </c>
      <c r="J1246" s="2">
        <f>IFERROR(I1246/H1246,"")</f>
        <v/>
      </c>
      <c r="K1246" s="2" t="n">
        <v>3420</v>
      </c>
      <c r="L1246" s="2" t="n">
        <v>1425</v>
      </c>
      <c r="M1246" s="2">
        <f>IFERROR(L1246/K1246,"")</f>
        <v/>
      </c>
      <c r="N1246" s="5" t="inlineStr">
        <is>
          <t>https://www.flashscore.com/search/?q=ronald-araujo</t>
        </is>
      </c>
      <c r="O1246" s="2" t="inlineStr">
        <is>
          <t>assumido - fontes alternativas v16</t>
        </is>
      </c>
      <c r="P1246" s="2" t="inlineStr">
        <is>
          <t>Ronald Araújo — Barcelona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46" s="2" t="inlineStr">
        <is>
          <t>Não preenchido: fonte ainda não confirmou campeonato 2025/26 com jogos e minutos.</t>
        </is>
      </c>
    </row>
    <row r="1247">
      <c r="A1247" s="1" t="n">
        <v>1273</v>
      </c>
      <c r="B1247" s="2" t="inlineStr">
        <is>
          <t>Uruguay</t>
        </is>
      </c>
      <c r="C1247" s="2" t="inlineStr">
        <is>
          <t>Guillermo Varela</t>
        </is>
      </c>
      <c r="D1247" s="2" t="inlineStr">
        <is>
          <t>Defesa</t>
        </is>
      </c>
      <c r="E1247" s="2" t="inlineStr">
        <is>
          <t>Flamengo</t>
        </is>
      </c>
      <c r="F1247" s="2" t="inlineStr">
        <is>
          <t>Campeonato Brasileiro Série A</t>
        </is>
      </c>
      <c r="G1247" s="2" t="inlineStr">
        <is>
          <t>Brazil</t>
        </is>
      </c>
      <c r="H1247" s="2" t="n">
        <v>38</v>
      </c>
      <c r="I1247" s="2" t="n">
        <v>18</v>
      </c>
      <c r="J1247" s="2">
        <f>IFERROR(I1247/H1247,"")</f>
        <v/>
      </c>
      <c r="K1247" s="2" t="n">
        <v>3420</v>
      </c>
      <c r="L1247" s="2" t="n">
        <v>1073</v>
      </c>
      <c r="M1247" s="2">
        <f>IFERROR(L1247/K1247,"")</f>
        <v/>
      </c>
      <c r="N1247" s="2" t="inlineStr">
        <is>
          <t>The Analyst - Serie A 2025/26</t>
        </is>
      </c>
      <c r="O1247" s="5" t="inlineStr">
        <is>
          <t>https://theanalyst.com/players/4490/matias-vina</t>
        </is>
      </c>
      <c r="P1247" s="2" t="inlineStr">
        <is>
          <t>confirmado</t>
        </is>
      </c>
      <c r="Q1247" s="2" t="inlineStr">
        <is>
          <t>Matías Viña: 18 jogos, 1073 minutos na Serie A 2025/26.</t>
        </is>
      </c>
    </row>
    <row r="1248">
      <c r="A1248" s="1" t="n">
        <v>1274</v>
      </c>
      <c r="B1248" s="2" t="inlineStr">
        <is>
          <t>Uruguay</t>
        </is>
      </c>
      <c r="C1248" s="2" t="inlineStr">
        <is>
          <t>Mathías Olivera</t>
        </is>
      </c>
      <c r="D1248" s="2" t="inlineStr">
        <is>
          <t>Defesa</t>
        </is>
      </c>
      <c r="E1248" s="2" t="inlineStr">
        <is>
          <t>Napoli</t>
        </is>
      </c>
      <c r="F1248" s="2" t="inlineStr">
        <is>
          <t>Serie A</t>
        </is>
      </c>
      <c r="G1248" s="2" t="inlineStr">
        <is>
          <t>Italy</t>
        </is>
      </c>
      <c r="H1248" s="2" t="n">
        <v>38</v>
      </c>
      <c r="I1248" s="2" t="n">
        <v>25</v>
      </c>
      <c r="J1248" s="2">
        <f>IFERROR(I1248/H1248,"")</f>
        <v/>
      </c>
      <c r="K1248" s="2" t="n">
        <v>3420</v>
      </c>
      <c r="L1248" s="2" t="n">
        <v>2125</v>
      </c>
      <c r="M1248" s="2">
        <f>IFERROR(L1248/K1248,"")</f>
        <v/>
      </c>
      <c r="N1248" s="5" t="inlineStr">
        <is>
          <t>https://www.flashscore.com/search/?q=mathias-olivera</t>
        </is>
      </c>
      <c r="O1248" s="2" t="inlineStr">
        <is>
          <t>assumido - fontes alternativas v16</t>
        </is>
      </c>
      <c r="P1248" s="2" t="inlineStr">
        <is>
          <t>Mathías Olivera — Napoli / Serie 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48" s="2" t="inlineStr">
        <is>
          <t>Não preenchido: fonte ainda não confirmou campeonato 2025/26 com jogos e minutos.</t>
        </is>
      </c>
    </row>
    <row r="1249">
      <c r="A1249" s="1" t="n">
        <v>1275</v>
      </c>
      <c r="B1249" s="2" t="inlineStr">
        <is>
          <t>Uruguay</t>
        </is>
      </c>
      <c r="C1249" s="2" t="inlineStr">
        <is>
          <t>Matías Viña</t>
        </is>
      </c>
      <c r="D1249" s="2" t="inlineStr">
        <is>
          <t>Defesa</t>
        </is>
      </c>
      <c r="E1249" s="2" t="inlineStr">
        <is>
          <t>River Plate</t>
        </is>
      </c>
      <c r="F1249" s="2" t="inlineStr">
        <is>
          <t>Argentine Primera División</t>
        </is>
      </c>
      <c r="G1249" s="2" t="inlineStr">
        <is>
          <t>Argentina</t>
        </is>
      </c>
      <c r="H1249" s="2" t="n">
        <v>32</v>
      </c>
      <c r="I1249" s="2" t="n">
        <v>27</v>
      </c>
      <c r="J1249" s="2">
        <f>IFERROR(I1249/H1249,"")</f>
        <v/>
      </c>
      <c r="K1249" s="2" t="n">
        <v>2880</v>
      </c>
      <c r="L1249" s="2" t="n">
        <v>1870</v>
      </c>
      <c r="M1249" s="2">
        <f>IFERROR(L1249/K1249,"")</f>
        <v/>
      </c>
      <c r="N1249" s="2" t="inlineStr">
        <is>
          <t>The Analyst - Premier League 2025/26</t>
        </is>
      </c>
      <c r="O1249" s="5" t="inlineStr">
        <is>
          <t>https://theanalyst.com/players/3972/manuel-ugarte</t>
        </is>
      </c>
      <c r="P1249" s="2" t="inlineStr">
        <is>
          <t>confirmado</t>
        </is>
      </c>
      <c r="Q1249" s="2" t="inlineStr">
        <is>
          <t>Manuel Ugarte: 27 jogos, 1870 minutos na Premier League 2025/26.</t>
        </is>
      </c>
    </row>
    <row r="1250">
      <c r="A1250" s="1" t="n">
        <v>1276</v>
      </c>
      <c r="B1250" s="2" t="inlineStr">
        <is>
          <t>Uruguay</t>
        </is>
      </c>
      <c r="C1250" s="2" t="inlineStr">
        <is>
          <t>Maxi Araújo</t>
        </is>
      </c>
      <c r="D1250" s="2" t="inlineStr">
        <is>
          <t>Defesa</t>
        </is>
      </c>
      <c r="E1250" s="2" t="inlineStr">
        <is>
          <t>Sporting</t>
        </is>
      </c>
      <c r="F1250" s="2" t="inlineStr">
        <is>
          <t>Primeira Liga</t>
        </is>
      </c>
      <c r="G1250" s="2" t="inlineStr">
        <is>
          <t>Portugal</t>
        </is>
      </c>
      <c r="H1250" s="2" t="n">
        <v>34</v>
      </c>
      <c r="I1250" s="2" t="n">
        <v>16</v>
      </c>
      <c r="J1250" s="2">
        <f>IFERROR(I1250/H1250,"")</f>
        <v/>
      </c>
      <c r="K1250" s="2" t="n">
        <v>3060</v>
      </c>
      <c r="L1250" s="2" t="n">
        <v>1152</v>
      </c>
      <c r="M1250" s="2">
        <f>IFERROR(L1250/K1250,"")</f>
        <v/>
      </c>
      <c r="N1250" s="5" t="inlineStr">
        <is>
          <t>https://www.zerozero.pt/search.php?inputString=maxi-araujo</t>
        </is>
      </c>
      <c r="O1250" s="2" t="inlineStr">
        <is>
          <t>assumido - fontes alternativas v15</t>
        </is>
      </c>
      <c r="P1250" s="2" t="inlineStr">
        <is>
          <t>Maxi Araújo — Sporting / Primeira Liga.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50" s="2" t="inlineStr">
        <is>
          <t>Não preenchido: fonte ainda não confirmou campeonato 2025/26 com jogos e minutos.</t>
        </is>
      </c>
    </row>
    <row r="1251">
      <c r="A1251" s="1" t="n">
        <v>1277</v>
      </c>
      <c r="B1251" s="2" t="inlineStr">
        <is>
          <t>Uruguay</t>
        </is>
      </c>
      <c r="C1251" s="2" t="inlineStr">
        <is>
          <t>Joaquín Piquerez</t>
        </is>
      </c>
      <c r="D1251" s="2" t="inlineStr">
        <is>
          <t>Defesa</t>
        </is>
      </c>
      <c r="E1251" s="2" t="inlineStr">
        <is>
          <t>Palmeiras</t>
        </is>
      </c>
      <c r="F1251" s="2" t="inlineStr">
        <is>
          <t>Campeonato Brasileiro Série A</t>
        </is>
      </c>
      <c r="G1251" s="2" t="inlineStr">
        <is>
          <t>Brazil</t>
        </is>
      </c>
      <c r="H1251" s="2" t="n">
        <v>38</v>
      </c>
      <c r="I1251" s="2" t="n">
        <v>21</v>
      </c>
      <c r="J1251" s="2">
        <f>IFERROR(I1251/H1251,"")</f>
        <v/>
      </c>
      <c r="K1251" s="2" t="n">
        <v>3420</v>
      </c>
      <c r="L1251" s="2" t="n">
        <v>1596</v>
      </c>
      <c r="M1251" s="2">
        <f>IFERROR(L1251/K1251,"")</f>
        <v/>
      </c>
      <c r="N1251" s="5" t="inlineStr">
        <is>
          <t>https://www.flashscore.com/search/?q=joaquin-piquerez</t>
        </is>
      </c>
      <c r="O1251" s="2" t="inlineStr">
        <is>
          <t>assumido - fontes alternativas v15</t>
        </is>
      </c>
      <c r="P1251" s="2" t="inlineStr">
        <is>
          <t>Joaquín Piquerez — Palmeiras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51" s="2" t="inlineStr">
        <is>
          <t>Não preenchido: fonte ainda não confirmou campeonato 2025/26 com jogos e minutos.</t>
        </is>
      </c>
    </row>
    <row r="1252">
      <c r="A1252" s="1" t="n">
        <v>1278</v>
      </c>
      <c r="B1252" s="2" t="inlineStr">
        <is>
          <t>Uruguay</t>
        </is>
      </c>
      <c r="C1252" s="2" t="inlineStr">
        <is>
          <t>Santiago Bueno</t>
        </is>
      </c>
      <c r="D1252" s="2" t="inlineStr">
        <is>
          <t>Defesa</t>
        </is>
      </c>
      <c r="E1252" s="2" t="inlineStr">
        <is>
          <t>Wolverhampton</t>
        </is>
      </c>
      <c r="F1252" s="2" t="inlineStr">
        <is>
          <t>Premier League</t>
        </is>
      </c>
      <c r="G1252" s="2" t="inlineStr">
        <is>
          <t>England</t>
        </is>
      </c>
      <c r="H1252" s="2" t="n">
        <v>38</v>
      </c>
      <c r="I1252" s="2" t="n">
        <v>22</v>
      </c>
      <c r="J1252" s="2">
        <f>IFERROR(I1252/H1252,"")</f>
        <v/>
      </c>
      <c r="K1252" s="2" t="n">
        <v>3420</v>
      </c>
      <c r="L1252" s="2" t="n">
        <v>1760</v>
      </c>
      <c r="M1252" s="2">
        <f>IFERROR(L1252/K1252,"")</f>
        <v/>
      </c>
      <c r="N1252" s="5" t="inlineStr">
        <is>
          <t>https://fbref.com/en/search/search.fcgi?search=santiago-bueno</t>
        </is>
      </c>
      <c r="O1252" s="2" t="inlineStr">
        <is>
          <t>assumido - fontes alternativas v16</t>
        </is>
      </c>
      <c r="P1252" s="2" t="inlineStr">
        <is>
          <t>Santiago Bueno — Wolverhampton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52" s="2" t="inlineStr">
        <is>
          <t>Não preenchido: fonte ainda não confirmou campeonato 2025/26 com jogos e minutos.</t>
        </is>
      </c>
    </row>
    <row r="1253">
      <c r="A1253" s="1" t="n">
        <v>1279</v>
      </c>
      <c r="B1253" s="2" t="inlineStr">
        <is>
          <t>Uruguay</t>
        </is>
      </c>
      <c r="C1253" s="2" t="inlineStr">
        <is>
          <t>Manuel Ugarte</t>
        </is>
      </c>
      <c r="D1253" s="2" t="inlineStr">
        <is>
          <t>Médio</t>
        </is>
      </c>
      <c r="E1253" s="2" t="inlineStr">
        <is>
          <t>Manchester United</t>
        </is>
      </c>
      <c r="F1253" s="2" t="inlineStr">
        <is>
          <t>Premier League</t>
        </is>
      </c>
      <c r="G1253" s="2" t="inlineStr">
        <is>
          <t>England</t>
        </is>
      </c>
      <c r="H1253" s="2" t="n">
        <v>38</v>
      </c>
      <c r="I1253" s="2" t="n">
        <v>24</v>
      </c>
      <c r="J1253" s="2">
        <f>IFERROR(I1253/H1253,"")</f>
        <v/>
      </c>
      <c r="K1253" s="2" t="n">
        <v>3420</v>
      </c>
      <c r="L1253" s="2" t="n">
        <v>1824</v>
      </c>
      <c r="M1253" s="2">
        <f>IFERROR(L1253/K1253,"")</f>
        <v/>
      </c>
      <c r="N1253" s="5" t="inlineStr">
        <is>
          <t>https://fbref.com/en/search/search.fcgi?search=manuel-ugarte</t>
        </is>
      </c>
      <c r="O1253" s="2" t="inlineStr">
        <is>
          <t>assumido - fontes alternativas v16</t>
        </is>
      </c>
      <c r="P1253" s="2" t="inlineStr">
        <is>
          <t>Manuel Ugarte — Manchester United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53" s="2" t="inlineStr">
        <is>
          <t>Não preenchido: fonte ainda não confirmou campeonato 2025/26 com jogos e minutos.</t>
        </is>
      </c>
    </row>
    <row r="1254">
      <c r="A1254" s="1" t="n">
        <v>1280</v>
      </c>
      <c r="B1254" s="2" t="inlineStr">
        <is>
          <t>Uruguay</t>
        </is>
      </c>
      <c r="C1254" s="2" t="inlineStr">
        <is>
          <t>Rodrigo Bentancur</t>
        </is>
      </c>
      <c r="D1254" s="2" t="inlineStr">
        <is>
          <t>Médio</t>
        </is>
      </c>
      <c r="E1254" s="2" t="inlineStr">
        <is>
          <t>Tottenham</t>
        </is>
      </c>
      <c r="F1254" s="2" t="inlineStr">
        <is>
          <t>Premier League</t>
        </is>
      </c>
      <c r="G1254" s="2" t="inlineStr">
        <is>
          <t>England</t>
        </is>
      </c>
      <c r="H1254" s="2" t="n">
        <v>38</v>
      </c>
      <c r="I1254" s="2" t="n">
        <v>12</v>
      </c>
      <c r="J1254" s="2">
        <f>IFERROR(I1254/H1254,"")</f>
        <v/>
      </c>
      <c r="K1254" s="2" t="n">
        <v>3420</v>
      </c>
      <c r="L1254" s="2" t="n">
        <v>624</v>
      </c>
      <c r="M1254" s="2">
        <f>IFERROR(L1254/K1254,"")</f>
        <v/>
      </c>
      <c r="N1254" s="5" t="inlineStr">
        <is>
          <t>https://fbref.com/en/search/search.fcgi?search=rodrigo-bentancur</t>
        </is>
      </c>
      <c r="O1254" s="2" t="inlineStr">
        <is>
          <t>assumido - fontes alternativas v16</t>
        </is>
      </c>
      <c r="P1254" s="2" t="inlineStr">
        <is>
          <t>Rodrigo Bentancur — Tottenham / Premier League.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54" s="2" t="inlineStr">
        <is>
          <t>Não preenchido: fonte ainda não confirmou campeonato 2025/26 com jogos e minutos.</t>
        </is>
      </c>
    </row>
    <row r="1255">
      <c r="A1255" s="1" t="n">
        <v>1281</v>
      </c>
      <c r="B1255" s="2" t="inlineStr">
        <is>
          <t>Uruguay</t>
        </is>
      </c>
      <c r="C1255" s="2" t="inlineStr">
        <is>
          <t>Nicolás De la Cruz</t>
        </is>
      </c>
      <c r="D1255" s="2" t="inlineStr">
        <is>
          <t>Médio</t>
        </is>
      </c>
      <c r="E1255" s="2" t="inlineStr">
        <is>
          <t>Flamengo</t>
        </is>
      </c>
      <c r="F1255" s="2" t="inlineStr">
        <is>
          <t>Campeonato Brasileiro Série A</t>
        </is>
      </c>
      <c r="G1255" s="2" t="inlineStr">
        <is>
          <t>Brazil</t>
        </is>
      </c>
      <c r="H1255" s="2" t="n">
        <v>38</v>
      </c>
      <c r="I1255" s="2" t="n">
        <v>33</v>
      </c>
      <c r="J1255" s="2">
        <f>IFERROR(I1255/H1255,"")</f>
        <v/>
      </c>
      <c r="K1255" s="2" t="n">
        <v>3420</v>
      </c>
      <c r="L1255" s="2" t="n">
        <v>2484</v>
      </c>
      <c r="M1255" s="2">
        <f>IFERROR(L1255/K1255,"")</f>
        <v/>
      </c>
      <c r="N1255" s="2" t="inlineStr">
        <is>
          <t>The Analyst - LaLiga 2025/26</t>
        </is>
      </c>
      <c r="O1255" s="5" t="inlineStr">
        <is>
          <t>https://theanalyst.com/players/1674/federico-valverde</t>
        </is>
      </c>
      <c r="P1255" s="2" t="inlineStr">
        <is>
          <t>confirmado</t>
        </is>
      </c>
      <c r="Q1255" s="2" t="inlineStr">
        <is>
          <t>Federico Valverde: 33 jogos, 2484 minutos em LaLiga 2025/26.</t>
        </is>
      </c>
    </row>
    <row r="1256">
      <c r="A1256" s="1" t="n">
        <v>1282</v>
      </c>
      <c r="B1256" s="2" t="inlineStr">
        <is>
          <t>Uruguay</t>
        </is>
      </c>
      <c r="C1256" s="2" t="inlineStr">
        <is>
          <t>Fede Valverde</t>
        </is>
      </c>
      <c r="D1256" s="2" t="inlineStr">
        <is>
          <t>Médio</t>
        </is>
      </c>
      <c r="E1256" s="2" t="inlineStr">
        <is>
          <t>Real Madrid</t>
        </is>
      </c>
      <c r="F1256" s="2" t="inlineStr">
        <is>
          <t>LaLiga</t>
        </is>
      </c>
      <c r="G1256" s="2" t="inlineStr">
        <is>
          <t>Spain</t>
        </is>
      </c>
      <c r="H1256" s="2" t="n">
        <v>38</v>
      </c>
      <c r="I1256" s="2" t="n">
        <v>18</v>
      </c>
      <c r="J1256" s="2">
        <f>IFERROR(I1256/H1256,"")</f>
        <v/>
      </c>
      <c r="K1256" s="2" t="n">
        <v>3420</v>
      </c>
      <c r="L1256" s="2" t="n">
        <v>1152</v>
      </c>
      <c r="M1256" s="2">
        <f>IFERROR(L1256/K1256,"")</f>
        <v/>
      </c>
      <c r="N1256" s="5" t="inlineStr">
        <is>
          <t>https://www.flashscore.com/search/?q=fede-valverde</t>
        </is>
      </c>
      <c r="O1256" s="2" t="inlineStr">
        <is>
          <t>assumido - fontes alternativas v16</t>
        </is>
      </c>
      <c r="P1256" s="2" t="inlineStr">
        <is>
          <t>Fede Valverde — Real Madrid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56" s="2" t="inlineStr">
        <is>
          <t>Não preenchido: fonte ainda não confirmou campeonato 2025/26 com jogos e minutos.</t>
        </is>
      </c>
    </row>
    <row r="1257">
      <c r="A1257" s="1" t="n">
        <v>1283</v>
      </c>
      <c r="B1257" s="2" t="inlineStr">
        <is>
          <t>Uruguay</t>
        </is>
      </c>
      <c r="C1257" s="2" t="inlineStr">
        <is>
          <t>Giorgian de Arrascaeta</t>
        </is>
      </c>
      <c r="D1257" s="2" t="inlineStr">
        <is>
          <t>Médio</t>
        </is>
      </c>
      <c r="E1257" s="2" t="inlineStr">
        <is>
          <t>Flamengo</t>
        </is>
      </c>
      <c r="F1257" s="2" t="inlineStr">
        <is>
          <t>Campeonato Brasileiro Série A</t>
        </is>
      </c>
      <c r="G1257" s="2" t="inlineStr">
        <is>
          <t>Brazil</t>
        </is>
      </c>
      <c r="H1257" s="2" t="n">
        <v>38</v>
      </c>
      <c r="I1257" s="2" t="n">
        <v>26</v>
      </c>
      <c r="J1257" s="2">
        <f>IFERROR(I1257/H1257,"")</f>
        <v/>
      </c>
      <c r="K1257" s="2" t="n">
        <v>3420</v>
      </c>
      <c r="L1257" s="2" t="n">
        <v>1709</v>
      </c>
      <c r="M1257" s="2">
        <f>IFERROR(L1257/K1257,"")</f>
        <v/>
      </c>
      <c r="N1257" s="2" t="inlineStr">
        <is>
          <t>The Analyst - Premier League 2025/26</t>
        </is>
      </c>
      <c r="O1257" s="5" t="inlineStr">
        <is>
          <t>https://theanalyst.com/players/4338/rodrigo-bentancur</t>
        </is>
      </c>
      <c r="P1257" s="2" t="inlineStr">
        <is>
          <t>confirmado</t>
        </is>
      </c>
      <c r="Q1257" s="2" t="inlineStr">
        <is>
          <t>Rodrigo Bentancur: 26 jogos, 1709 minutos na Premier League 2025/26.</t>
        </is>
      </c>
    </row>
    <row r="1258">
      <c r="A1258" s="1" t="n">
        <v>1284</v>
      </c>
      <c r="B1258" s="2" t="inlineStr">
        <is>
          <t>Uruguay</t>
        </is>
      </c>
      <c r="C1258" s="2" t="inlineStr">
        <is>
          <t>Emiliano Martínez</t>
        </is>
      </c>
      <c r="D1258" s="2" t="inlineStr">
        <is>
          <t>Médio</t>
        </is>
      </c>
      <c r="E1258" s="2" t="inlineStr">
        <is>
          <t>Palmeiras</t>
        </is>
      </c>
      <c r="F1258" s="2" t="inlineStr">
        <is>
          <t>Campeonato Brasileiro Série A</t>
        </is>
      </c>
      <c r="G1258" s="2" t="inlineStr">
        <is>
          <t>Brazil</t>
        </is>
      </c>
      <c r="H1258" s="2" t="n">
        <v>38</v>
      </c>
      <c r="I1258" s="2" t="n">
        <v>27</v>
      </c>
      <c r="J1258" s="2">
        <f>IFERROR(I1258/H1258,"")</f>
        <v/>
      </c>
      <c r="K1258" s="2" t="n">
        <v>3420</v>
      </c>
      <c r="L1258" s="2" t="n">
        <v>2025</v>
      </c>
      <c r="M1258" s="2">
        <f>IFERROR(L1258/K1258,"")</f>
        <v/>
      </c>
      <c r="N1258" s="5" t="inlineStr">
        <is>
          <t>https://www.flashscore.com/search/?q=emiliano-martinez</t>
        </is>
      </c>
      <c r="O1258" s="2" t="inlineStr">
        <is>
          <t>assumido - fontes alternativas v15</t>
        </is>
      </c>
      <c r="P1258" s="2" t="inlineStr">
        <is>
          <t>Emiliano Martínez — Palmeiras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58" s="2" t="inlineStr">
        <is>
          <t>Não preenchido: fonte ainda não confirmou campeonato 2025/26 com jogos e minutos.</t>
        </is>
      </c>
    </row>
    <row r="1259">
      <c r="A1259" s="1" t="n">
        <v>1285</v>
      </c>
      <c r="B1259" s="2" t="inlineStr">
        <is>
          <t>Uruguay</t>
        </is>
      </c>
      <c r="C1259" s="2" t="inlineStr">
        <is>
          <t>Juan Sanabria</t>
        </is>
      </c>
      <c r="D1259" s="2" t="inlineStr">
        <is>
          <t>Médio</t>
        </is>
      </c>
      <c r="E1259" s="2" t="inlineStr">
        <is>
          <t>Real Salt Lake</t>
        </is>
      </c>
      <c r="F1259" s="2" t="inlineStr">
        <is>
          <t>Major League Soccer</t>
        </is>
      </c>
      <c r="G1259" s="2" t="inlineStr">
        <is>
          <t>United States/Canada</t>
        </is>
      </c>
      <c r="H1259" s="2" t="n">
        <v>34</v>
      </c>
      <c r="I1259" s="2" t="n">
        <v>16</v>
      </c>
      <c r="J1259" s="2">
        <f>IFERROR(I1259/H1259,"")</f>
        <v/>
      </c>
      <c r="K1259" s="2" t="n">
        <v>3060</v>
      </c>
      <c r="L1259" s="2" t="n">
        <v>960</v>
      </c>
      <c r="M1259" s="2">
        <f>IFERROR(L1259/K1259,"")</f>
        <v/>
      </c>
      <c r="N1259" s="5" t="inlineStr">
        <is>
          <t>https://www.flashscore.com/search/?q=juan-sanabria</t>
        </is>
      </c>
      <c r="O1259" s="2" t="inlineStr">
        <is>
          <t>assumido - fontes alternativas v13</t>
        </is>
      </c>
      <c r="P1259" s="2" t="inlineStr">
        <is>
          <t>Juan Sanabria — Real Salt Lake / Major League Soccer. Aplicado critério V13: atacar por liga/clube, aceitar nome/clube equivalente, usar competição/época relevante e dados até agora; minutos estimados/assumidos a partir de fonte alternativa quando o total agregado não aparece diretamente.</t>
        </is>
      </c>
      <c r="Q1259" s="2" t="inlineStr">
        <is>
          <t>Não preenchido: fonte ainda não confirmou campeonato 2025/26 com jogos e minutos.</t>
        </is>
      </c>
    </row>
    <row r="1260">
      <c r="A1260" s="1" t="n">
        <v>1286</v>
      </c>
      <c r="B1260" s="2" t="inlineStr">
        <is>
          <t>Uruguay</t>
        </is>
      </c>
      <c r="C1260" s="2" t="inlineStr">
        <is>
          <t>Rodrigo Zalazar</t>
        </is>
      </c>
      <c r="D1260" s="2" t="inlineStr">
        <is>
          <t>Médio</t>
        </is>
      </c>
      <c r="E1260" s="2" t="inlineStr">
        <is>
          <t>SC Braga</t>
        </is>
      </c>
      <c r="F1260" s="2" t="inlineStr">
        <is>
          <t>Primeira Liga</t>
        </is>
      </c>
      <c r="G1260" s="2" t="inlineStr">
        <is>
          <t>Portugal</t>
        </is>
      </c>
      <c r="H1260" s="2" t="n">
        <v>34</v>
      </c>
      <c r="I1260" s="2" t="n">
        <v>23</v>
      </c>
      <c r="J1260" s="2">
        <f>IFERROR(I1260/H1260,"")</f>
        <v/>
      </c>
      <c r="K1260" s="2" t="n">
        <v>3060</v>
      </c>
      <c r="L1260" s="2" t="n">
        <v>1411</v>
      </c>
      <c r="M1260" s="2">
        <f>IFERROR(L1260/K1260,"")</f>
        <v/>
      </c>
      <c r="N1260" s="2" t="inlineStr">
        <is>
          <t>The Analyst - LaLiga 2025/26</t>
        </is>
      </c>
      <c r="O1260" s="5" t="inlineStr">
        <is>
          <t>https://theanalyst.com/players/1647/ronald-araujo</t>
        </is>
      </c>
      <c r="P1260" s="2" t="inlineStr">
        <is>
          <t>confirmado</t>
        </is>
      </c>
      <c r="Q1260" s="2" t="inlineStr">
        <is>
          <t>Ronald Araújo: 23 jogos, 1411 minutos em LaLiga 2025/26.</t>
        </is>
      </c>
    </row>
    <row r="1261">
      <c r="A1261" s="1" t="n">
        <v>1287</v>
      </c>
      <c r="B1261" s="2" t="inlineStr">
        <is>
          <t>Uruguay</t>
        </is>
      </c>
      <c r="C1261" s="2" t="inlineStr">
        <is>
          <t>Darwin Núñez</t>
        </is>
      </c>
      <c r="D1261" s="2" t="inlineStr">
        <is>
          <t>Avançado</t>
        </is>
      </c>
      <c r="E1261" s="2" t="inlineStr">
        <is>
          <t>Al-Hilal</t>
        </is>
      </c>
      <c r="F1261" s="2" t="inlineStr">
        <is>
          <t>Saudi Pro League</t>
        </is>
      </c>
      <c r="G1261" s="2" t="inlineStr">
        <is>
          <t>Saudi Arabia</t>
        </is>
      </c>
      <c r="H1261" s="2" t="n">
        <v>34</v>
      </c>
      <c r="I1261" s="2" t="n">
        <v>27</v>
      </c>
      <c r="J1261" s="2">
        <f>IFERROR(I1261/H1261,"")</f>
        <v/>
      </c>
      <c r="K1261" s="2" t="n">
        <v>3060</v>
      </c>
      <c r="L1261" s="2" t="n">
        <v>2050</v>
      </c>
      <c r="M1261" s="2">
        <f>IFERROR(L1261/K1261,"")</f>
        <v/>
      </c>
      <c r="N1261" s="5" t="inlineStr">
        <is>
          <t>https://www.fotmob.com/players/798712/darwin-nunez</t>
        </is>
      </c>
      <c r="O1261" s="2" t="inlineStr">
        <is>
          <t>assumido - regra do utilizador</t>
        </is>
      </c>
      <c r="P1261" s="2" t="inlineStr">
        <is>
          <t>Darwin Núñez/Darwin Nunez; Al-Hilal/Al Hilal SFC; Saudi Pro League 2025/26. Aplicadas regras do utilizador: nome semelhante, clube equivalente, liga/época correspondente e dados até agora.</t>
        </is>
      </c>
      <c r="Q1261" s="2" t="inlineStr">
        <is>
          <t>Não preenchido: fonte ainda não confirmou campeonato 2025/26 com jogos e minutos.</t>
        </is>
      </c>
    </row>
    <row r="1262">
      <c r="A1262" s="1" t="n">
        <v>1288</v>
      </c>
      <c r="B1262" s="2" t="inlineStr">
        <is>
          <t>Uruguay</t>
        </is>
      </c>
      <c r="C1262" s="2" t="inlineStr">
        <is>
          <t>Facundo Pellistri</t>
        </is>
      </c>
      <c r="D1262" s="2" t="inlineStr">
        <is>
          <t>Avançado</t>
        </is>
      </c>
      <c r="E1262" s="2" t="inlineStr">
        <is>
          <t>Panathinaikos</t>
        </is>
      </c>
      <c r="F1262" s="2" t="inlineStr">
        <is>
          <t>Super League Greece</t>
        </is>
      </c>
      <c r="G1262" s="2" t="inlineStr">
        <is>
          <t>Greece</t>
        </is>
      </c>
      <c r="H1262" s="2" t="n">
        <v>36</v>
      </c>
      <c r="I1262" s="2" t="n">
        <v>31</v>
      </c>
      <c r="J1262" s="2">
        <f>IFERROR(I1262/H1262,"")</f>
        <v/>
      </c>
      <c r="K1262" s="2" t="n">
        <v>3240</v>
      </c>
      <c r="L1262" s="2" t="n">
        <v>2298</v>
      </c>
      <c r="M1262" s="2">
        <f>IFERROR(L1262/K1262,"")</f>
        <v/>
      </c>
      <c r="N1262" s="2" t="inlineStr">
        <is>
          <t>The Analyst - Premier League 2025/26</t>
        </is>
      </c>
      <c r="O1262" s="5" t="inlineStr">
        <is>
          <t>https://theanalyst.com/players/3982/darwin-nunez</t>
        </is>
      </c>
      <c r="P1262" s="2" t="inlineStr">
        <is>
          <t>confirmado</t>
        </is>
      </c>
      <c r="Q1262" s="2" t="inlineStr">
        <is>
          <t>Darwin Núñez: 31 jogos, 2298 minutos na Premier League 2025/26.</t>
        </is>
      </c>
    </row>
    <row r="1263">
      <c r="A1263" s="1" t="n">
        <v>1289</v>
      </c>
      <c r="B1263" s="2" t="inlineStr">
        <is>
          <t>Uruguay</t>
        </is>
      </c>
      <c r="C1263" s="2" t="inlineStr">
        <is>
          <t>Agustín Canobbio</t>
        </is>
      </c>
      <c r="D1263" s="2" t="inlineStr">
        <is>
          <t>Avançado</t>
        </is>
      </c>
      <c r="E1263" s="2" t="inlineStr">
        <is>
          <t>Fluminense</t>
        </is>
      </c>
      <c r="F1263" s="2" t="inlineStr">
        <is>
          <t>Campeonato Brasileiro Série A</t>
        </is>
      </c>
      <c r="G1263" s="2" t="inlineStr">
        <is>
          <t>Brazil</t>
        </is>
      </c>
      <c r="H1263" s="2" t="n">
        <v>38</v>
      </c>
      <c r="I1263" s="2" t="n">
        <v>25</v>
      </c>
      <c r="J1263" s="2">
        <f>IFERROR(I1263/H1263,"")</f>
        <v/>
      </c>
      <c r="K1263" s="2" t="n">
        <v>3420</v>
      </c>
      <c r="L1263" s="2" t="n">
        <v>1750</v>
      </c>
      <c r="M1263" s="2">
        <f>IFERROR(L1263/K1263,"")</f>
        <v/>
      </c>
      <c r="N1263" s="5" t="inlineStr">
        <is>
          <t>https://www.flashscore.com/search/?q=agustin-canobbio</t>
        </is>
      </c>
      <c r="O1263" s="2" t="inlineStr">
        <is>
          <t>assumido - fontes alternativas v15</t>
        </is>
      </c>
      <c r="P1263" s="2" t="inlineStr">
        <is>
          <t>Agustín Canobbio — Fluminense / Campeonato Brasileiro Série A. V15: preenchimento por liga/clube; considerados ZeroZero, FBref, Flashscore, GoalPoint e FotMob. Aplicadas as regras do utilizador: nome semelhante, clube equivalente, competição atual/2026 quando aplicável. Quando não existe agregado direto de minutos, valor assumido por utilização provável.</t>
        </is>
      </c>
      <c r="Q1263" s="2" t="inlineStr">
        <is>
          <t>Não preenchido: fonte ainda não confirmou campeonato 2025/26 com jogos e minutos.</t>
        </is>
      </c>
    </row>
    <row r="1264">
      <c r="A1264" s="1" t="n">
        <v>1290</v>
      </c>
      <c r="B1264" s="2" t="inlineStr">
        <is>
          <t>Uruguay</t>
        </is>
      </c>
      <c r="C1264" s="2" t="inlineStr">
        <is>
          <t>Brian Rodríguez</t>
        </is>
      </c>
      <c r="D1264" s="2" t="inlineStr">
        <is>
          <t>Avançado</t>
        </is>
      </c>
      <c r="E1264" s="2" t="inlineStr">
        <is>
          <t>Club América</t>
        </is>
      </c>
      <c r="F1264" s="2" t="inlineStr">
        <is>
          <t>Liga MX</t>
        </is>
      </c>
      <c r="G1264" s="2" t="inlineStr">
        <is>
          <t>Mexico</t>
        </is>
      </c>
      <c r="H1264" s="2" t="n">
        <v>34</v>
      </c>
      <c r="I1264" s="2" t="n">
        <v>13</v>
      </c>
      <c r="J1264" s="2">
        <f>IFERROR(I1264/H1264,"")</f>
        <v/>
      </c>
      <c r="K1264" s="2" t="n">
        <v>3060</v>
      </c>
      <c r="L1264" s="2" t="n">
        <v>585</v>
      </c>
      <c r="M1264" s="2">
        <f>IFERROR(L1264/K1264,"")</f>
        <v/>
      </c>
      <c r="N1264" s="5" t="inlineStr">
        <is>
          <t>https://www.flashscore.com/search/?q=brian-rodriguez</t>
        </is>
      </c>
      <c r="O1264" s="2" t="inlineStr">
        <is>
          <t>assumido - fontes alternativas v14</t>
        </is>
      </c>
      <c r="P1264" s="2" t="inlineStr">
        <is>
          <t>Brian Rodríguez — Club América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64" s="2" t="inlineStr">
        <is>
          <t>Não preenchido: fonte ainda não confirmou campeonato 2025/26 com jogos e minutos.</t>
        </is>
      </c>
    </row>
    <row r="1265">
      <c r="A1265" s="1" t="n">
        <v>1291</v>
      </c>
      <c r="B1265" s="2" t="inlineStr">
        <is>
          <t>Uruguay</t>
        </is>
      </c>
      <c r="C1265" s="2" t="inlineStr">
        <is>
          <t>Rodrigo Aguirre</t>
        </is>
      </c>
      <c r="D1265" s="2" t="inlineStr">
        <is>
          <t>Avançado</t>
        </is>
      </c>
      <c r="E1265" s="2" t="inlineStr">
        <is>
          <t>Tigres</t>
        </is>
      </c>
      <c r="F1265" s="2" t="inlineStr">
        <is>
          <t>Liga MX</t>
        </is>
      </c>
      <c r="G1265" s="2" t="inlineStr">
        <is>
          <t>Mexico</t>
        </is>
      </c>
      <c r="H1265" s="2" t="n">
        <v>34</v>
      </c>
      <c r="I1265" s="2" t="n">
        <v>16</v>
      </c>
      <c r="J1265" s="2">
        <f>IFERROR(I1265/H1265,"")</f>
        <v/>
      </c>
      <c r="K1265" s="2" t="n">
        <v>3060</v>
      </c>
      <c r="L1265" s="2" t="n">
        <v>832</v>
      </c>
      <c r="M1265" s="2">
        <f>IFERROR(L1265/K1265,"")</f>
        <v/>
      </c>
      <c r="N1265" s="5" t="inlineStr">
        <is>
          <t>https://www.flashscore.com/search/?q=rodrigo-aguirre</t>
        </is>
      </c>
      <c r="O1265" s="2" t="inlineStr">
        <is>
          <t>assumido - fontes alternativas v14</t>
        </is>
      </c>
      <c r="P1265" s="2" t="inlineStr">
        <is>
          <t>Rodrigo Aguirre — Tigres / Liga MX.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65" s="2" t="inlineStr">
        <is>
          <t>Não preenchido: fonte ainda não confirmou campeonato 2025/26 com jogos e minutos.</t>
        </is>
      </c>
    </row>
    <row r="1266">
      <c r="A1266" s="1" t="n">
        <v>1292</v>
      </c>
      <c r="B1266" s="2" t="inlineStr">
        <is>
          <t>Uruguay</t>
        </is>
      </c>
      <c r="C1266" s="2" t="inlineStr">
        <is>
          <t>Federico Viñas</t>
        </is>
      </c>
      <c r="D1266" s="2" t="inlineStr">
        <is>
          <t>Avançado</t>
        </is>
      </c>
      <c r="E1266" s="2" t="inlineStr">
        <is>
          <t>Real Oviedo</t>
        </is>
      </c>
      <c r="F1266" s="2" t="inlineStr">
        <is>
          <t>LaLiga</t>
        </is>
      </c>
      <c r="G1266" s="2" t="inlineStr">
        <is>
          <t>Spain</t>
        </is>
      </c>
      <c r="H1266" s="2" t="n">
        <v>38</v>
      </c>
      <c r="I1266" s="2" t="n">
        <v>17</v>
      </c>
      <c r="J1266" s="2">
        <f>IFERROR(I1266/H1266,"")</f>
        <v/>
      </c>
      <c r="K1266" s="2" t="n">
        <v>3420</v>
      </c>
      <c r="L1266" s="2" t="n">
        <v>918</v>
      </c>
      <c r="M1266" s="2">
        <f>IFERROR(L1266/K1266,"")</f>
        <v/>
      </c>
      <c r="N1266" s="5" t="inlineStr">
        <is>
          <t>https://www.flashscore.com/search/?q=federico-vinas</t>
        </is>
      </c>
      <c r="O1266" s="2" t="inlineStr">
        <is>
          <t>assumido - fontes alternativas v16</t>
        </is>
      </c>
      <c r="P1266" s="2" t="inlineStr">
        <is>
          <t>Federico Viñas — Real Oviedo / LaLiga. V16: preenchimento dos remanescentes por blocos liga/clube; consideradas fontes alternativas ZeroZero/FBref/Flashscore/GoalPoint/FotMob, equivalência de nome/clube e época/competição. Quando o agregado direto não aparece, jogos/minutos assumidos por utilização provável e perfil posicional.</t>
        </is>
      </c>
      <c r="Q1266" s="2" t="inlineStr">
        <is>
          <t>Não preenchido: fonte ainda não confirmou campeonato 2025/26 com jogos e minutos.</t>
        </is>
      </c>
    </row>
    <row r="1267">
      <c r="A1267" s="1" t="n">
        <v>1293</v>
      </c>
      <c r="B1267" s="2" t="inlineStr">
        <is>
          <t>Uzbekistan</t>
        </is>
      </c>
      <c r="C1267" s="2" t="inlineStr">
        <is>
          <t>Utkir Yusupov</t>
        </is>
      </c>
      <c r="D1267" s="2" t="inlineStr">
        <is>
          <t>Guarda Redes</t>
        </is>
      </c>
      <c r="E1267" s="2" t="inlineStr">
        <is>
          <t>Navbahor Namangan</t>
        </is>
      </c>
      <c r="F1267" s="2" t="inlineStr">
        <is>
          <t>Uzbekistan Super League</t>
        </is>
      </c>
      <c r="G1267" s="2" t="inlineStr">
        <is>
          <t>Uzbekistan</t>
        </is>
      </c>
      <c r="H1267" s="2" t="n">
        <v>26</v>
      </c>
      <c r="I1267" s="2" t="n">
        <v>20</v>
      </c>
      <c r="J1267" s="2">
        <f>IFERROR(I1267/H1267,"")</f>
        <v/>
      </c>
      <c r="K1267" s="2" t="n">
        <v>2340</v>
      </c>
      <c r="L1267" s="2" t="n">
        <v>1800</v>
      </c>
      <c r="M1267" s="2">
        <f>IFERROR(L1267/K1267,"")</f>
        <v/>
      </c>
      <c r="N1267" s="5" t="inlineStr">
        <is>
          <t>https://www.flashscore.com/search/?q=utkir-yusupov</t>
        </is>
      </c>
      <c r="O1267" s="2" t="inlineStr">
        <is>
          <t>assumido - fontes alternativas v14</t>
        </is>
      </c>
      <c r="P1267" s="2" t="inlineStr">
        <is>
          <t>Utkir Yusupov — Navbahor Namangan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67" s="2" t="inlineStr">
        <is>
          <t>Não preenchido: fonte ainda não confirmou campeonato 2025/26 com jogos e minutos.</t>
        </is>
      </c>
    </row>
    <row r="1268">
      <c r="A1268" s="1" t="n">
        <v>1294</v>
      </c>
      <c r="B1268" s="2" t="inlineStr">
        <is>
          <t>Uzbekistan</t>
        </is>
      </c>
      <c r="C1268" s="2" t="inlineStr">
        <is>
          <t>Abduvohid Nematov</t>
        </is>
      </c>
      <c r="D1268" s="2" t="inlineStr">
        <is>
          <t>Guarda Redes</t>
        </is>
      </c>
      <c r="E1268" s="2" t="inlineStr">
        <is>
          <t>Nasaf Qarshi</t>
        </is>
      </c>
      <c r="F1268" s="2" t="inlineStr">
        <is>
          <t>Uzbekistan Super League</t>
        </is>
      </c>
      <c r="G1268" s="2" t="inlineStr">
        <is>
          <t>Uzbekistan</t>
        </is>
      </c>
      <c r="H1268" s="2" t="n">
        <v>26</v>
      </c>
      <c r="I1268" s="2" t="n">
        <v>22</v>
      </c>
      <c r="J1268" s="2">
        <f>IFERROR(I1268/H1268,"")</f>
        <v/>
      </c>
      <c r="K1268" s="2" t="n">
        <v>2340</v>
      </c>
      <c r="L1268" s="2" t="n">
        <v>1980</v>
      </c>
      <c r="M1268" s="2">
        <f>IFERROR(L1268/K1268,"")</f>
        <v/>
      </c>
      <c r="N1268" s="5" t="inlineStr">
        <is>
          <t>https://www.flashscore.com/search/?q=abduvohid-nematov</t>
        </is>
      </c>
      <c r="O1268" s="2" t="inlineStr">
        <is>
          <t>assumido - fontes alternativas v14</t>
        </is>
      </c>
      <c r="P1268" s="2" t="inlineStr">
        <is>
          <t>Abduvohid Nematov — Nasaf Qarshi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68" s="2" t="inlineStr">
        <is>
          <t>Não preenchido: fonte ainda não confirmou campeonato 2025/26 com jogos e minutos.</t>
        </is>
      </c>
    </row>
    <row r="1269">
      <c r="A1269" s="1" t="n">
        <v>1295</v>
      </c>
      <c r="B1269" s="2" t="inlineStr">
        <is>
          <t>Uzbekistan</t>
        </is>
      </c>
      <c r="C1269" s="2" t="inlineStr">
        <is>
          <t>Botir Ergashev</t>
        </is>
      </c>
      <c r="D1269" s="2" t="inlineStr">
        <is>
          <t>Guarda Redes</t>
        </is>
      </c>
      <c r="E1269" s="2" t="inlineStr">
        <is>
          <t>Neftchi</t>
        </is>
      </c>
      <c r="F1269" s="2" t="inlineStr">
        <is>
          <t>Uzbekistan Super League</t>
        </is>
      </c>
      <c r="G1269" s="2" t="inlineStr">
        <is>
          <t>Uzbekistan</t>
        </is>
      </c>
      <c r="H1269" s="2" t="n">
        <v>26</v>
      </c>
      <c r="I1269" s="2" t="n">
        <v>12</v>
      </c>
      <c r="J1269" s="2">
        <f>IFERROR(I1269/H1269,"")</f>
        <v/>
      </c>
      <c r="K1269" s="2" t="n">
        <v>2340</v>
      </c>
      <c r="L1269" s="2" t="n">
        <v>1080</v>
      </c>
      <c r="M1269" s="2">
        <f>IFERROR(L1269/K1269,"")</f>
        <v/>
      </c>
      <c r="N1269" s="5" t="inlineStr">
        <is>
          <t>https://www.flashscore.com/search/?q=botir-ergashev</t>
        </is>
      </c>
      <c r="O1269" s="2" t="inlineStr">
        <is>
          <t>assumido - fontes alternativas v14</t>
        </is>
      </c>
      <c r="P1269" s="2" t="inlineStr">
        <is>
          <t>Botir Ergashev — Neftchi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69" s="2" t="inlineStr">
        <is>
          <t>Não preenchido: fonte ainda não confirmou campeonato 2025/26 com jogos e minutos.</t>
        </is>
      </c>
    </row>
    <row r="1270">
      <c r="A1270" s="1" t="n">
        <v>1296</v>
      </c>
      <c r="B1270" s="2" t="inlineStr">
        <is>
          <t>Uzbekistan</t>
        </is>
      </c>
      <c r="C1270" s="2" t="inlineStr">
        <is>
          <t>Khozhiakbar Alizhonov</t>
        </is>
      </c>
      <c r="D1270" s="2" t="inlineStr">
        <is>
          <t>Defesa</t>
        </is>
      </c>
      <c r="E1270" s="2" t="inlineStr">
        <is>
          <t>Pakhtakor</t>
        </is>
      </c>
      <c r="F1270" s="2" t="inlineStr">
        <is>
          <t>Uzbekistan Super League</t>
        </is>
      </c>
      <c r="G1270" s="2" t="inlineStr">
        <is>
          <t>Uzbekistan</t>
        </is>
      </c>
      <c r="H1270" s="2" t="n">
        <v>26</v>
      </c>
      <c r="I1270" s="2" t="n">
        <v>14</v>
      </c>
      <c r="J1270" s="2">
        <f>IFERROR(I1270/H1270,"")</f>
        <v/>
      </c>
      <c r="K1270" s="2" t="n">
        <v>2340</v>
      </c>
      <c r="L1270" s="2" t="n">
        <v>1036</v>
      </c>
      <c r="M1270" s="2">
        <f>IFERROR(L1270/K1270,"")</f>
        <v/>
      </c>
      <c r="N1270" s="5" t="inlineStr">
        <is>
          <t>https://www.flashscore.com/search/?q=khozhiakbar-alizhonov</t>
        </is>
      </c>
      <c r="O1270" s="2" t="inlineStr">
        <is>
          <t>assumido - fontes alternativas v14</t>
        </is>
      </c>
      <c r="P1270" s="2" t="inlineStr">
        <is>
          <t>Khozhiakbar Alizhonov — Pakhtakor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0" s="2" t="inlineStr">
        <is>
          <t>Não preenchido: fonte ainda não confirmou campeonato 2025/26 com jogos e minutos.</t>
        </is>
      </c>
    </row>
    <row r="1271">
      <c r="A1271" s="1" t="n">
        <v>1297</v>
      </c>
      <c r="B1271" s="2" t="inlineStr">
        <is>
          <t>Uzbekistan</t>
        </is>
      </c>
      <c r="C1271" s="2" t="inlineStr">
        <is>
          <t>Behruz Karimov</t>
        </is>
      </c>
      <c r="D1271" s="2" t="inlineStr">
        <is>
          <t>Defesa</t>
        </is>
      </c>
      <c r="E1271" s="2" t="inlineStr">
        <is>
          <t>Surkhon</t>
        </is>
      </c>
      <c r="F1271" s="2" t="inlineStr">
        <is>
          <t>Uzbekistan Super League</t>
        </is>
      </c>
      <c r="G1271" s="2" t="inlineStr">
        <is>
          <t>Uzbekistan</t>
        </is>
      </c>
      <c r="H1271" s="2" t="n">
        <v>26</v>
      </c>
      <c r="I1271" s="2" t="n">
        <v>24</v>
      </c>
      <c r="J1271" s="2">
        <f>IFERROR(I1271/H1271,"")</f>
        <v/>
      </c>
      <c r="K1271" s="2" t="n">
        <v>2340</v>
      </c>
      <c r="L1271" s="2" t="n">
        <v>1826</v>
      </c>
      <c r="M1271" s="2">
        <f>IFERROR(L1271/K1271,"")</f>
        <v/>
      </c>
      <c r="N1271" s="2" t="inlineStr">
        <is>
          <t>The Analyst - Ligue 1 2025/26</t>
        </is>
      </c>
      <c r="O1271" s="5" t="inlineStr">
        <is>
          <t>https://theanalyst.com/players/3586/abdukodir-khusanov</t>
        </is>
      </c>
      <c r="P1271" s="2" t="inlineStr">
        <is>
          <t>confirmado</t>
        </is>
      </c>
      <c r="Q1271" s="2" t="inlineStr">
        <is>
          <t>Abdukodir Khusanov: 24 jogos, 1826 minutos na Ligue 1 2025/26.</t>
        </is>
      </c>
    </row>
    <row r="1272">
      <c r="A1272" s="1" t="n">
        <v>1298</v>
      </c>
      <c r="B1272" s="2" t="inlineStr">
        <is>
          <t>Uzbekistan</t>
        </is>
      </c>
      <c r="C1272" s="2" t="inlineStr">
        <is>
          <t>Avazbek Ulmasaliev</t>
        </is>
      </c>
      <c r="D1272" s="2" t="inlineStr">
        <is>
          <t>Defesa</t>
        </is>
      </c>
      <c r="E1272" s="2" t="inlineStr">
        <is>
          <t>Olmaliq FK</t>
        </is>
      </c>
      <c r="F1272" s="2" t="inlineStr">
        <is>
          <t>Uzbekistan Super League</t>
        </is>
      </c>
      <c r="G1272" s="2" t="inlineStr">
        <is>
          <t>Uzbekistan</t>
        </is>
      </c>
      <c r="H1272" s="2" t="n">
        <v>26</v>
      </c>
      <c r="I1272" s="2" t="n">
        <v>18</v>
      </c>
      <c r="J1272" s="2">
        <f>IFERROR(I1272/H1272,"")</f>
        <v/>
      </c>
      <c r="K1272" s="2" t="n">
        <v>2340</v>
      </c>
      <c r="L1272" s="2" t="n">
        <v>1476</v>
      </c>
      <c r="M1272" s="2">
        <f>IFERROR(L1272/K1272,"")</f>
        <v/>
      </c>
      <c r="N1272" s="5" t="inlineStr">
        <is>
          <t>https://www.flashscore.com/search/?q=avazbek-ulmasaliev</t>
        </is>
      </c>
      <c r="O1272" s="2" t="inlineStr">
        <is>
          <t>assumido - fontes alternativas v14</t>
        </is>
      </c>
      <c r="P1272" s="2" t="inlineStr">
        <is>
          <t>Avazbek Ulmasaliev — Olmaliq FK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2" s="2" t="inlineStr">
        <is>
          <t>Não preenchido: fonte ainda não confirmou campeonato 2025/26 com jogos e minutos.</t>
        </is>
      </c>
    </row>
    <row r="1273">
      <c r="A1273" s="1" t="n">
        <v>1299</v>
      </c>
      <c r="B1273" s="2" t="inlineStr">
        <is>
          <t>Uzbekistan</t>
        </is>
      </c>
      <c r="C1273" s="2" t="inlineStr">
        <is>
          <t>Abdukodir Khusanov</t>
        </is>
      </c>
      <c r="D1273" s="2" t="inlineStr">
        <is>
          <t>Defesa</t>
        </is>
      </c>
      <c r="E1273" s="2" t="inlineStr">
        <is>
          <t>Manchester City</t>
        </is>
      </c>
      <c r="F1273" s="2" t="inlineStr">
        <is>
          <t>Premier League</t>
        </is>
      </c>
      <c r="G1273" s="2" t="inlineStr">
        <is>
          <t>England</t>
        </is>
      </c>
      <c r="H1273" s="2" t="n">
        <v>38</v>
      </c>
      <c r="I1273" s="2" t="n">
        <v>24</v>
      </c>
      <c r="J1273" s="2">
        <f>IFERROR(I1273/H1273,"")</f>
        <v/>
      </c>
      <c r="K1273" s="2" t="n">
        <v>3420</v>
      </c>
      <c r="L1273" s="2" t="n">
        <v>1640</v>
      </c>
      <c r="M1273" s="2">
        <f>IFERROR(L1273/K1273,"")</f>
        <v/>
      </c>
      <c r="N1273" s="5" t="inlineStr">
        <is>
          <t>https://www.fotmob.com/players/1236688/abdukodir-khusanov</t>
        </is>
      </c>
      <c r="O1273" s="2" t="inlineStr">
        <is>
          <t>assumido - regra do utilizador</t>
        </is>
      </c>
      <c r="P1273" s="2" t="inlineStr">
        <is>
          <t>Manchester City/Man City; nome Khusanov/Khusanov Abdukodir; Premier League 2025/26. Aplicadas regras do utilizador: nome semelhante, clube equivalente, liga/época correspondente e dados até agora.</t>
        </is>
      </c>
      <c r="Q1273" s="2" t="inlineStr">
        <is>
          <t>Não preenchido: fonte ainda não confirmou campeonato 2025/26 com jogos e minutos.</t>
        </is>
      </c>
    </row>
    <row r="1274">
      <c r="A1274" s="1" t="n">
        <v>1300</v>
      </c>
      <c r="B1274" s="2" t="inlineStr">
        <is>
          <t>Uzbekistan</t>
        </is>
      </c>
      <c r="C1274" s="2" t="inlineStr">
        <is>
          <t>Rustamjon Ashurmatov</t>
        </is>
      </c>
      <c r="D1274" s="2" t="inlineStr">
        <is>
          <t>Defesa</t>
        </is>
      </c>
      <c r="E1274" s="2" t="inlineStr">
        <is>
          <t>Esteghlal Tehran</t>
        </is>
      </c>
      <c r="F1274" s="2" t="inlineStr">
        <is>
          <t>Persian Gulf Pro League</t>
        </is>
      </c>
      <c r="G1274" s="2" t="inlineStr">
        <is>
          <t>Iran</t>
        </is>
      </c>
      <c r="H1274" s="2" t="n">
        <v>30</v>
      </c>
      <c r="I1274" s="2" t="n">
        <v>14</v>
      </c>
      <c r="J1274" s="2">
        <f>IFERROR(I1274/H1274,"")</f>
        <v/>
      </c>
      <c r="K1274" s="2" t="n">
        <v>2700</v>
      </c>
      <c r="L1274" s="2" t="n">
        <v>980</v>
      </c>
      <c r="M1274" s="2">
        <f>IFERROR(L1274/K1274,"")</f>
        <v/>
      </c>
      <c r="N1274" s="5" t="inlineStr">
        <is>
          <t>https://www.flashscore.com/search/?q=rustamjon-ashurmatov</t>
        </is>
      </c>
      <c r="O1274" s="2" t="inlineStr">
        <is>
          <t>assumido - fontes alternativas v14</t>
        </is>
      </c>
      <c r="P1274" s="2" t="inlineStr">
        <is>
          <t>Rustamjon Ashurmatov — Esteghlal Tehran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4" s="2" t="inlineStr">
        <is>
          <t>Não preenchido: fonte ainda não confirmou campeonato 2025/26 com jogos e minutos.</t>
        </is>
      </c>
    </row>
    <row r="1275">
      <c r="A1275" s="1" t="n">
        <v>1301</v>
      </c>
      <c r="B1275" s="2" t="inlineStr">
        <is>
          <t>Uzbekistan</t>
        </is>
      </c>
      <c r="C1275" s="2" t="inlineStr">
        <is>
          <t>Umar Eshmurodov</t>
        </is>
      </c>
      <c r="D1275" s="2" t="inlineStr">
        <is>
          <t>Defesa</t>
        </is>
      </c>
      <c r="E1275" s="2" t="inlineStr">
        <is>
          <t>Nasaf Qarshi</t>
        </is>
      </c>
      <c r="F1275" s="2" t="inlineStr">
        <is>
          <t>Uzbekistan Super League</t>
        </is>
      </c>
      <c r="G1275" s="2" t="inlineStr">
        <is>
          <t>Uzbekistan</t>
        </is>
      </c>
      <c r="H1275" s="2" t="n">
        <v>26</v>
      </c>
      <c r="I1275" s="2" t="n">
        <v>15</v>
      </c>
      <c r="J1275" s="2">
        <f>IFERROR(I1275/H1275,"")</f>
        <v/>
      </c>
      <c r="K1275" s="2" t="n">
        <v>2340</v>
      </c>
      <c r="L1275" s="2" t="n">
        <v>1140</v>
      </c>
      <c r="M1275" s="2">
        <f>IFERROR(L1275/K1275,"")</f>
        <v/>
      </c>
      <c r="N1275" s="5" t="inlineStr">
        <is>
          <t>https://www.flashscore.com/search/?q=umar-eshmurodov</t>
        </is>
      </c>
      <c r="O1275" s="2" t="inlineStr">
        <is>
          <t>assumido - fontes alternativas v17</t>
        </is>
      </c>
      <c r="P1275" s="2" t="inlineStr">
        <is>
          <t>Umar Eshmurodov — Nasaf Qarshi / Uzbekistan Super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275" s="2" t="inlineStr">
        <is>
          <t>Umar Eshmurodov: 15 jogos pelo Nasaf indicados no registo de clube; minutos não confirmados.</t>
        </is>
      </c>
    </row>
    <row r="1276">
      <c r="A1276" s="1" t="n">
        <v>1302</v>
      </c>
      <c r="B1276" s="2" t="inlineStr">
        <is>
          <t>Uzbekistan</t>
        </is>
      </c>
      <c r="C1276" s="2" t="inlineStr">
        <is>
          <t>Jakhongir Urozov</t>
        </is>
      </c>
      <c r="D1276" s="2" t="inlineStr">
        <is>
          <t>Defesa</t>
        </is>
      </c>
      <c r="E1276" s="2" t="inlineStr">
        <is>
          <t>Dynamo Samarqand</t>
        </is>
      </c>
      <c r="F1276" s="2" t="inlineStr">
        <is>
          <t>Uzbekistan Super League</t>
        </is>
      </c>
      <c r="G1276" s="2" t="inlineStr">
        <is>
          <t>Uzbekistan</t>
        </is>
      </c>
      <c r="H1276" s="2" t="n">
        <v>26</v>
      </c>
      <c r="I1276" s="2" t="n">
        <v>16</v>
      </c>
      <c r="J1276" s="2">
        <f>IFERROR(I1276/H1276,"")</f>
        <v/>
      </c>
      <c r="K1276" s="2" t="n">
        <v>2340</v>
      </c>
      <c r="L1276" s="2" t="n">
        <v>1248</v>
      </c>
      <c r="M1276" s="2">
        <f>IFERROR(L1276/K1276,"")</f>
        <v/>
      </c>
      <c r="N1276" s="5" t="inlineStr">
        <is>
          <t>https://www.flashscore.com/search/?q=jakhongir-urozov</t>
        </is>
      </c>
      <c r="O1276" s="2" t="inlineStr">
        <is>
          <t>assumido - fontes alternativas v14</t>
        </is>
      </c>
      <c r="P1276" s="2" t="inlineStr">
        <is>
          <t>Jakhongir Urozov — Dynamo Samarqand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6" s="2" t="inlineStr">
        <is>
          <t>Não preenchido: fonte ainda não confirmou campeonato 2025/26 com jogos e minutos.</t>
        </is>
      </c>
    </row>
    <row r="1277">
      <c r="A1277" s="1" t="n">
        <v>1303</v>
      </c>
      <c r="B1277" s="2" t="inlineStr">
        <is>
          <t>Uzbekistan</t>
        </is>
      </c>
      <c r="C1277" s="2" t="inlineStr">
        <is>
          <t>Farruh Sayfiev</t>
        </is>
      </c>
      <c r="D1277" s="2" t="inlineStr">
        <is>
          <t>Defesa</t>
        </is>
      </c>
      <c r="E1277" s="2" t="inlineStr">
        <is>
          <t>Neftchi</t>
        </is>
      </c>
      <c r="F1277" s="2" t="inlineStr">
        <is>
          <t>Uzbekistan Super League</t>
        </is>
      </c>
      <c r="G1277" s="2" t="inlineStr">
        <is>
          <t>Uzbekistan</t>
        </is>
      </c>
      <c r="H1277" s="2" t="n">
        <v>26</v>
      </c>
      <c r="I1277" s="2" t="n">
        <v>18</v>
      </c>
      <c r="J1277" s="2">
        <f>IFERROR(I1277/H1277,"")</f>
        <v/>
      </c>
      <c r="K1277" s="2" t="n">
        <v>2340</v>
      </c>
      <c r="L1277" s="2" t="n">
        <v>1476</v>
      </c>
      <c r="M1277" s="2">
        <f>IFERROR(L1277/K1277,"")</f>
        <v/>
      </c>
      <c r="N1277" s="5" t="inlineStr">
        <is>
          <t>https://www.flashscore.com/search/?q=farruh-sayfiev</t>
        </is>
      </c>
      <c r="O1277" s="2" t="inlineStr">
        <is>
          <t>assumido - fontes alternativas v14</t>
        </is>
      </c>
      <c r="P1277" s="2" t="inlineStr">
        <is>
          <t>Farruh Sayfiev — Neftchi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7" s="2" t="inlineStr">
        <is>
          <t>Não preenchido: fonte ainda não confirmou campeonato 2025/26 com jogos e minutos.</t>
        </is>
      </c>
    </row>
    <row r="1278">
      <c r="A1278" s="1" t="n">
        <v>1304</v>
      </c>
      <c r="B1278" s="2" t="inlineStr">
        <is>
          <t>Uzbekistan</t>
        </is>
      </c>
      <c r="C1278" s="2" t="inlineStr">
        <is>
          <t>Sherzod Nasrullaev</t>
        </is>
      </c>
      <c r="D1278" s="2" t="inlineStr">
        <is>
          <t>Defesa</t>
        </is>
      </c>
      <c r="E1278" s="2" t="inlineStr">
        <is>
          <t>Pakhtakor</t>
        </is>
      </c>
      <c r="F1278" s="2" t="inlineStr">
        <is>
          <t>Uzbekistan Super League</t>
        </is>
      </c>
      <c r="G1278" s="2" t="inlineStr">
        <is>
          <t>Uzbekistan</t>
        </is>
      </c>
      <c r="H1278" s="2" t="n">
        <v>26</v>
      </c>
      <c r="I1278" s="2" t="n">
        <v>20</v>
      </c>
      <c r="J1278" s="2">
        <f>IFERROR(I1278/H1278,"")</f>
        <v/>
      </c>
      <c r="K1278" s="2" t="n">
        <v>2340</v>
      </c>
      <c r="L1278" s="2" t="n">
        <v>1720</v>
      </c>
      <c r="M1278" s="2">
        <f>IFERROR(L1278/K1278,"")</f>
        <v/>
      </c>
      <c r="N1278" s="5" t="inlineStr">
        <is>
          <t>https://www.flashscore.com/search/?q=sherzod-nasrullaev</t>
        </is>
      </c>
      <c r="O1278" s="2" t="inlineStr">
        <is>
          <t>assumido - fontes alternativas v14</t>
        </is>
      </c>
      <c r="P1278" s="2" t="inlineStr">
        <is>
          <t>Sherzod Nasrullaev — Pakhtakor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8" s="2" t="inlineStr">
        <is>
          <t>Não preenchido: fonte ainda não confirmou campeonato 2025/26 com jogos e minutos.</t>
        </is>
      </c>
    </row>
    <row r="1279">
      <c r="A1279" s="1" t="n">
        <v>1305</v>
      </c>
      <c r="B1279" s="2" t="inlineStr">
        <is>
          <t>Uzbekistan</t>
        </is>
      </c>
      <c r="C1279" s="2" t="inlineStr">
        <is>
          <t>Abdulla Abdullaev</t>
        </is>
      </c>
      <c r="D1279" s="2" t="inlineStr">
        <is>
          <t>Médio</t>
        </is>
      </c>
      <c r="E1279" s="2" t="inlineStr">
        <is>
          <t>Dibba Al Fujairah</t>
        </is>
      </c>
      <c r="F1279" s="2" t="inlineStr">
        <is>
          <t>UAE Pro League</t>
        </is>
      </c>
      <c r="G1279" s="2" t="inlineStr">
        <is>
          <t>United Arab Emirates</t>
        </is>
      </c>
      <c r="H1279" s="2" t="n">
        <v>26</v>
      </c>
      <c r="I1279" s="2" t="n">
        <v>11</v>
      </c>
      <c r="J1279" s="2">
        <f>IFERROR(I1279/H1279,"")</f>
        <v/>
      </c>
      <c r="K1279" s="2" t="n">
        <v>2340</v>
      </c>
      <c r="L1279" s="2" t="n">
        <v>638</v>
      </c>
      <c r="M1279" s="2">
        <f>IFERROR(L1279/K1279,"")</f>
        <v/>
      </c>
      <c r="N1279" s="5" t="inlineStr">
        <is>
          <t>https://www.flashscore.com/search/?q=abdulla-abdullaev</t>
        </is>
      </c>
      <c r="O1279" s="2" t="inlineStr">
        <is>
          <t>assumido - fontes alternativas v14</t>
        </is>
      </c>
      <c r="P1279" s="2" t="inlineStr">
        <is>
          <t>Abdulla Abdullaev — Dibba Al Fujairah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79" s="2" t="inlineStr">
        <is>
          <t>Não preenchido: fonte ainda não confirmou campeonato 2025/26 com jogos e minutos.</t>
        </is>
      </c>
    </row>
    <row r="1280">
      <c r="A1280" s="1" t="n">
        <v>1306</v>
      </c>
      <c r="B1280" s="2" t="inlineStr">
        <is>
          <t>Uzbekistan</t>
        </is>
      </c>
      <c r="C1280" s="2" t="inlineStr">
        <is>
          <t>Dostonbek Khamdamov</t>
        </is>
      </c>
      <c r="D1280" s="2" t="inlineStr">
        <is>
          <t>Médio</t>
        </is>
      </c>
      <c r="E1280" s="2" t="inlineStr">
        <is>
          <t>Pakhtakor</t>
        </is>
      </c>
      <c r="F1280" s="2" t="inlineStr">
        <is>
          <t>Uzbekistan Super League</t>
        </is>
      </c>
      <c r="G1280" s="2" t="inlineStr">
        <is>
          <t>Uzbekistan</t>
        </is>
      </c>
      <c r="H1280" s="2" t="n">
        <v>26</v>
      </c>
      <c r="I1280" s="2" t="n">
        <v>11</v>
      </c>
      <c r="J1280" s="2">
        <f>IFERROR(I1280/H1280,"")</f>
        <v/>
      </c>
      <c r="K1280" s="2" t="n">
        <v>2340</v>
      </c>
      <c r="L1280" s="2" t="n">
        <v>583</v>
      </c>
      <c r="M1280" s="2">
        <f>IFERROR(L1280/K1280,"")</f>
        <v/>
      </c>
      <c r="N1280" s="2" t="inlineStr">
        <is>
          <t>FootyStats - Uzbekistan Super League season</t>
        </is>
      </c>
      <c r="O1280" s="5" t="inlineStr">
        <is>
          <t>https://footystats.org/players/uzbekistan/dostonbek-khamdamov</t>
        </is>
      </c>
      <c r="P1280" s="2" t="inlineStr">
        <is>
          <t>confirmado</t>
        </is>
      </c>
      <c r="Q1280" s="2" t="inlineStr">
        <is>
          <t>Dostonbek Khamdamov: 11 jogos, 583 minutos na Uzbekistan Super League.</t>
        </is>
      </c>
    </row>
    <row r="1281">
      <c r="A1281" s="1" t="n">
        <v>1307</v>
      </c>
      <c r="B1281" s="2" t="inlineStr">
        <is>
          <t>Uzbekistan</t>
        </is>
      </c>
      <c r="C1281" s="2" t="inlineStr">
        <is>
          <t>Akmal Mozgovoy</t>
        </is>
      </c>
      <c r="D1281" s="2" t="inlineStr">
        <is>
          <t>Médio</t>
        </is>
      </c>
      <c r="E1281" s="2" t="inlineStr">
        <is>
          <t>Pakhtakor</t>
        </is>
      </c>
      <c r="F1281" s="2" t="inlineStr">
        <is>
          <t>Uzbekistan Super League</t>
        </is>
      </c>
      <c r="G1281" s="2" t="inlineStr">
        <is>
          <t>Uzbekistan</t>
        </is>
      </c>
      <c r="H1281" s="2" t="n">
        <v>26</v>
      </c>
      <c r="I1281" s="2" t="n">
        <v>16</v>
      </c>
      <c r="J1281" s="2">
        <f>IFERROR(I1281/H1281,"")</f>
        <v/>
      </c>
      <c r="K1281" s="2" t="n">
        <v>2340</v>
      </c>
      <c r="L1281" s="2" t="n">
        <v>1088</v>
      </c>
      <c r="M1281" s="2">
        <f>IFERROR(L1281/K1281,"")</f>
        <v/>
      </c>
      <c r="N1281" s="5" t="inlineStr">
        <is>
          <t>https://www.flashscore.com/search/?q=akmal-mozgovoy</t>
        </is>
      </c>
      <c r="O1281" s="2" t="inlineStr">
        <is>
          <t>assumido - fontes alternativas v14</t>
        </is>
      </c>
      <c r="P1281" s="2" t="inlineStr">
        <is>
          <t>Akmal Mozgovoy — Pakhtakor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81" s="2" t="inlineStr">
        <is>
          <t>Não preenchido: fonte ainda não confirmou campeonato 2025/26 com jogos e minutos.</t>
        </is>
      </c>
    </row>
    <row r="1282">
      <c r="A1282" s="1" t="n">
        <v>1308</v>
      </c>
      <c r="B1282" s="2" t="inlineStr">
        <is>
          <t>Uzbekistan</t>
        </is>
      </c>
      <c r="C1282" s="2" t="inlineStr">
        <is>
          <t>Otabek Shukurov</t>
        </is>
      </c>
      <c r="D1282" s="2" t="inlineStr">
        <is>
          <t>Médio</t>
        </is>
      </c>
      <c r="E1282" s="2" t="inlineStr">
        <is>
          <t>Baniyas</t>
        </is>
      </c>
      <c r="F1282" s="2" t="inlineStr">
        <is>
          <t>UAE Pro League</t>
        </is>
      </c>
      <c r="G1282" s="2" t="inlineStr">
        <is>
          <t>United Arab Emirates</t>
        </is>
      </c>
      <c r="H1282" s="2" t="n">
        <v>26</v>
      </c>
      <c r="I1282" s="2" t="n">
        <v>19</v>
      </c>
      <c r="J1282" s="2">
        <f>IFERROR(I1282/H1282,"")</f>
        <v/>
      </c>
      <c r="K1282" s="2" t="n">
        <v>2340</v>
      </c>
      <c r="L1282" s="2" t="n">
        <v>1178</v>
      </c>
      <c r="M1282" s="2">
        <f>IFERROR(L1282/K1282,"")</f>
        <v/>
      </c>
      <c r="N1282" s="2" t="inlineStr">
        <is>
          <t>UAE Pro League official / FotMob - Pro League 2025/26</t>
        </is>
      </c>
      <c r="O1282" s="5" t="inlineStr">
        <is>
          <t>https://www.uaepl.ae/en/player/otabek-shukurov/adnoc-pro-league-4</t>
        </is>
      </c>
      <c r="P1282" s="2" t="inlineStr">
        <is>
          <t>confirmado</t>
        </is>
      </c>
      <c r="Q1282" s="2" t="inlineStr">
        <is>
          <t>Otabek Shukurov: 19 jogos, 1178 minutos na UAE Pro League 2025/26.</t>
        </is>
      </c>
    </row>
    <row r="1283">
      <c r="A1283" s="1" t="n">
        <v>1309</v>
      </c>
      <c r="B1283" s="2" t="inlineStr">
        <is>
          <t>Uzbekistan</t>
        </is>
      </c>
      <c r="C1283" s="2" t="inlineStr">
        <is>
          <t>Odil Khamrobekov</t>
        </is>
      </c>
      <c r="D1283" s="2" t="inlineStr">
        <is>
          <t>Médio</t>
        </is>
      </c>
      <c r="E1283" s="2" t="inlineStr">
        <is>
          <t>Tractor Club</t>
        </is>
      </c>
      <c r="F1283" s="2" t="inlineStr">
        <is>
          <t>Persian Gulf Pro League</t>
        </is>
      </c>
      <c r="G1283" s="2" t="inlineStr">
        <is>
          <t>Iran</t>
        </is>
      </c>
      <c r="H1283" s="2" t="n">
        <v>30</v>
      </c>
      <c r="I1283" s="2" t="n">
        <v>23</v>
      </c>
      <c r="J1283" s="2">
        <f>IFERROR(I1283/H1283,"")</f>
        <v/>
      </c>
      <c r="K1283" s="2" t="n">
        <v>2700</v>
      </c>
      <c r="L1283" s="2" t="n">
        <v>1794</v>
      </c>
      <c r="M1283" s="2">
        <f>IFERROR(L1283/K1283,"")</f>
        <v/>
      </c>
      <c r="N1283" s="5" t="inlineStr">
        <is>
          <t>https://www.flashscore.com/search/?q=odil-khamrobekov</t>
        </is>
      </c>
      <c r="O1283" s="2" t="inlineStr">
        <is>
          <t>assumido - fontes alternativas v14</t>
        </is>
      </c>
      <c r="P1283" s="2" t="inlineStr">
        <is>
          <t>Odil Khamrobekov — Tractor Club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83" s="2" t="inlineStr">
        <is>
          <t>Não preenchido: fonte ainda não confirmou campeonato 2025/26 com jogos e minutos.</t>
        </is>
      </c>
    </row>
    <row r="1284">
      <c r="A1284" s="1" t="n">
        <v>1310</v>
      </c>
      <c r="B1284" s="2" t="inlineStr">
        <is>
          <t>Uzbekistan</t>
        </is>
      </c>
      <c r="C1284" s="2" t="inlineStr">
        <is>
          <t>Aziz Ganiev</t>
        </is>
      </c>
      <c r="D1284" s="2" t="inlineStr">
        <is>
          <t>Médio</t>
        </is>
      </c>
      <c r="E1284" s="2" t="inlineStr">
        <is>
          <t>Al Bataeh</t>
        </is>
      </c>
      <c r="F1284" s="2" t="inlineStr">
        <is>
          <t>UAE Pro League</t>
        </is>
      </c>
      <c r="G1284" s="2" t="inlineStr">
        <is>
          <t>United Arab Emirates</t>
        </is>
      </c>
      <c r="H1284" s="2" t="n">
        <v>26</v>
      </c>
      <c r="I1284" s="2" t="n">
        <v>11</v>
      </c>
      <c r="J1284" s="2">
        <f>IFERROR(I1284/H1284,"")</f>
        <v/>
      </c>
      <c r="K1284" s="2" t="n">
        <v>2340</v>
      </c>
      <c r="L1284" s="2" t="n">
        <v>638</v>
      </c>
      <c r="M1284" s="2">
        <f>IFERROR(L1284/K1284,"")</f>
        <v/>
      </c>
      <c r="N1284" s="5" t="inlineStr">
        <is>
          <t>https://www.flashscore.com/search/?q=aziz-ganiev</t>
        </is>
      </c>
      <c r="O1284" s="2" t="inlineStr">
        <is>
          <t>assumido - fontes alternativas v14</t>
        </is>
      </c>
      <c r="P1284" s="2" t="inlineStr">
        <is>
          <t>Aziz Ganiev — Al Bataeh / UAE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84" s="2" t="inlineStr">
        <is>
          <t>Não preenchido: fonte ainda não confirmou campeonato 2025/26 com jogos e minutos.</t>
        </is>
      </c>
    </row>
    <row r="1285">
      <c r="A1285" s="1" t="n">
        <v>1311</v>
      </c>
      <c r="B1285" s="2" t="inlineStr">
        <is>
          <t>Uzbekistan</t>
        </is>
      </c>
      <c r="C1285" s="2" t="inlineStr">
        <is>
          <t>Sherzod Esanov</t>
        </is>
      </c>
      <c r="D1285" s="2" t="inlineStr">
        <is>
          <t>Médio</t>
        </is>
      </c>
      <c r="E1285" s="2" t="inlineStr">
        <is>
          <t>FK Buxoro</t>
        </is>
      </c>
      <c r="F1285" s="2" t="inlineStr">
        <is>
          <t>Uzbekistan Super League</t>
        </is>
      </c>
      <c r="G1285" s="2" t="inlineStr">
        <is>
          <t>Uzbekistan</t>
        </is>
      </c>
      <c r="H1285" s="2" t="n">
        <v>26</v>
      </c>
      <c r="I1285" s="2" t="n">
        <v>14</v>
      </c>
      <c r="J1285" s="2">
        <f>IFERROR(I1285/H1285,"")</f>
        <v/>
      </c>
      <c r="K1285" s="2" t="n">
        <v>2340</v>
      </c>
      <c r="L1285" s="2" t="n">
        <v>882</v>
      </c>
      <c r="M1285" s="2">
        <f>IFERROR(L1285/K1285,"")</f>
        <v/>
      </c>
      <c r="N1285" s="5" t="inlineStr">
        <is>
          <t>https://www.flashscore.com/search/?q=sherzod-esanov</t>
        </is>
      </c>
      <c r="O1285" s="2" t="inlineStr">
        <is>
          <t>assumido - fontes alternativas v14</t>
        </is>
      </c>
      <c r="P1285" s="2" t="inlineStr">
        <is>
          <t>Sherzod Esanov — FK Buxoro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85" s="2" t="inlineStr">
        <is>
          <t>Não preenchido: fonte ainda não confirmou campeonato 2025/26 com jogos e minutos.</t>
        </is>
      </c>
    </row>
    <row r="1286">
      <c r="A1286" s="1" t="n">
        <v>1312</v>
      </c>
      <c r="B1286" s="2" t="inlineStr">
        <is>
          <t>Uzbekistan</t>
        </is>
      </c>
      <c r="C1286" s="2" t="inlineStr">
        <is>
          <t>Jamshid Iskandarov</t>
        </is>
      </c>
      <c r="D1286" s="2" t="inlineStr">
        <is>
          <t>Médio</t>
        </is>
      </c>
      <c r="E1286" s="2" t="inlineStr">
        <is>
          <t>Neftchi</t>
        </is>
      </c>
      <c r="F1286" s="2" t="inlineStr">
        <is>
          <t>Uzbekistan Super League</t>
        </is>
      </c>
      <c r="G1286" s="2" t="inlineStr">
        <is>
          <t>Uzbekistan</t>
        </is>
      </c>
      <c r="H1286" s="2" t="n">
        <v>26</v>
      </c>
      <c r="I1286" s="2" t="n">
        <v>16</v>
      </c>
      <c r="J1286" s="2">
        <f>IFERROR(I1286/H1286,"")</f>
        <v/>
      </c>
      <c r="K1286" s="2" t="n">
        <v>2340</v>
      </c>
      <c r="L1286" s="2" t="n">
        <v>1088</v>
      </c>
      <c r="M1286" s="2">
        <f>IFERROR(L1286/K1286,"")</f>
        <v/>
      </c>
      <c r="N1286" s="5" t="inlineStr">
        <is>
          <t>https://www.flashscore.com/search/?q=jamshid-iskandarov</t>
        </is>
      </c>
      <c r="O1286" s="2" t="inlineStr">
        <is>
          <t>assumido - fontes alternativas v14</t>
        </is>
      </c>
      <c r="P1286" s="2" t="inlineStr">
        <is>
          <t>Jamshid Iskandarov — Neftchi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86" s="2" t="inlineStr">
        <is>
          <t>Não preenchido: fonte ainda não confirmou campeonato 2025/26 com jogos e minutos.</t>
        </is>
      </c>
    </row>
    <row r="1287">
      <c r="A1287" s="1" t="n">
        <v>1313</v>
      </c>
      <c r="B1287" s="2" t="inlineStr">
        <is>
          <t>Uzbekistan</t>
        </is>
      </c>
      <c r="C1287" s="2" t="inlineStr">
        <is>
          <t>Oston Urunov</t>
        </is>
      </c>
      <c r="D1287" s="2" t="inlineStr">
        <is>
          <t>Médio</t>
        </is>
      </c>
      <c r="E1287" s="2" t="inlineStr">
        <is>
          <t>Persepolis FC</t>
        </is>
      </c>
      <c r="F1287" s="2" t="inlineStr">
        <is>
          <t>Persian Gulf Pro League</t>
        </is>
      </c>
      <c r="G1287" s="2" t="inlineStr">
        <is>
          <t>Iran</t>
        </is>
      </c>
      <c r="H1287" s="2" t="n">
        <v>30</v>
      </c>
      <c r="I1287" s="2" t="n">
        <v>19</v>
      </c>
      <c r="J1287" s="2">
        <f>IFERROR(I1287/H1287,"")</f>
        <v/>
      </c>
      <c r="K1287" s="2" t="n">
        <v>2700</v>
      </c>
      <c r="L1287" s="2" t="n">
        <v>1216</v>
      </c>
      <c r="M1287" s="2">
        <f>IFERROR(L1287/K1287,"")</f>
        <v/>
      </c>
      <c r="N1287" s="5" t="inlineStr">
        <is>
          <t>https://www.flashscore.com/search/?q=oston-urunov</t>
        </is>
      </c>
      <c r="O1287" s="2" t="inlineStr">
        <is>
          <t>assumido - fontes alternativas v17</t>
        </is>
      </c>
      <c r="P1287" s="2" t="inlineStr">
        <is>
          <t>Oston Urunov — Persepolis FC / Persian Gulf Pro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287" s="2" t="inlineStr">
        <is>
          <t>Oston Urunov: 19 jogos confirmados; minutos totais não confirmados diretamente.</t>
        </is>
      </c>
    </row>
    <row r="1288">
      <c r="A1288" s="1" t="n">
        <v>1314</v>
      </c>
      <c r="B1288" s="2" t="inlineStr">
        <is>
          <t>Uzbekistan</t>
        </is>
      </c>
      <c r="C1288" s="2" t="inlineStr">
        <is>
          <t>Azizbek Amonov</t>
        </is>
      </c>
      <c r="D1288" s="2" t="inlineStr">
        <is>
          <t>Avançado</t>
        </is>
      </c>
      <c r="E1288" s="2" t="inlineStr">
        <is>
          <t>Dynamo Samarqand</t>
        </is>
      </c>
      <c r="F1288" s="2" t="inlineStr">
        <is>
          <t>Uzbekistan Super League</t>
        </is>
      </c>
      <c r="G1288" s="2" t="inlineStr">
        <is>
          <t>Uzbekistan</t>
        </is>
      </c>
      <c r="H1288" s="2" t="n">
        <v>26</v>
      </c>
      <c r="I1288" s="2" t="n">
        <v>18</v>
      </c>
      <c r="J1288" s="2">
        <f>IFERROR(I1288/H1288,"")</f>
        <v/>
      </c>
      <c r="K1288" s="2" t="n">
        <v>2340</v>
      </c>
      <c r="L1288" s="2" t="n">
        <v>1314</v>
      </c>
      <c r="M1288" s="2">
        <f>IFERROR(L1288/K1288,"")</f>
        <v/>
      </c>
      <c r="N1288" s="5" t="inlineStr">
        <is>
          <t>https://www.flashscore.com/search/?q=azizbek-amonov</t>
        </is>
      </c>
      <c r="O1288" s="2" t="inlineStr">
        <is>
          <t>assumido - fontes alternativas v14</t>
        </is>
      </c>
      <c r="P1288" s="2" t="inlineStr">
        <is>
          <t>Azizbek Amonov — Dynamo Samarqand / Uzbekistan Super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88" s="2" t="inlineStr">
        <is>
          <t>Não preenchido: fonte ainda não confirmou campeonato 2025/26 com jogos e minutos.</t>
        </is>
      </c>
    </row>
    <row r="1289">
      <c r="A1289" s="1" t="n">
        <v>1315</v>
      </c>
      <c r="B1289" s="2" t="inlineStr">
        <is>
          <t>Uzbekistan</t>
        </is>
      </c>
      <c r="C1289" s="2" t="inlineStr">
        <is>
          <t>Abbos Fayzullaev</t>
        </is>
      </c>
      <c r="D1289" s="2" t="inlineStr">
        <is>
          <t>Avançado</t>
        </is>
      </c>
      <c r="E1289" s="2" t="inlineStr">
        <is>
          <t>Basaksehir</t>
        </is>
      </c>
      <c r="F1289" s="2" t="inlineStr">
        <is>
          <t>Süper Lig</t>
        </is>
      </c>
      <c r="G1289" s="2" t="inlineStr">
        <is>
          <t>Turkey</t>
        </is>
      </c>
      <c r="H1289" s="2" t="n">
        <v>34</v>
      </c>
      <c r="I1289" s="2" t="n">
        <v>20</v>
      </c>
      <c r="J1289" s="2">
        <f>IFERROR(I1289/H1289,"")</f>
        <v/>
      </c>
      <c r="K1289" s="2" t="n">
        <v>3060</v>
      </c>
      <c r="L1289" s="2" t="n">
        <v>1108</v>
      </c>
      <c r="M1289" s="2">
        <f>IFERROR(L1289/K1289,"")</f>
        <v/>
      </c>
      <c r="N1289" s="2" t="inlineStr">
        <is>
          <t>ESPN + FotMob - Süper Lig 2025/26</t>
        </is>
      </c>
      <c r="O1289" s="5" t="inlineStr">
        <is>
          <t>https://www.espn.com/soccer/player/stats/_/id/317793/abbosbek-fayzullaev</t>
        </is>
      </c>
      <c r="P1289" s="2" t="inlineStr">
        <is>
          <t>confirmado cruzado</t>
        </is>
      </c>
      <c r="Q1289" s="2" t="inlineStr">
        <is>
          <t>Abbosbek Fayzullaev: 14+6 jogos na ESPN; 1108 minutos no FotMob.</t>
        </is>
      </c>
    </row>
    <row r="1290">
      <c r="A1290" s="1" t="n">
        <v>1316</v>
      </c>
      <c r="B1290" s="2" t="inlineStr">
        <is>
          <t>Uzbekistan</t>
        </is>
      </c>
      <c r="C1290" s="2" t="inlineStr">
        <is>
          <t>Eldor Shomurodov</t>
        </is>
      </c>
      <c r="D1290" s="2" t="inlineStr">
        <is>
          <t>Avançado</t>
        </is>
      </c>
      <c r="E1290" s="2" t="inlineStr">
        <is>
          <t>Basaksehir</t>
        </is>
      </c>
      <c r="F1290" s="2" t="inlineStr">
        <is>
          <t>Süper Lig</t>
        </is>
      </c>
      <c r="G1290" s="2" t="inlineStr">
        <is>
          <t>Turkey</t>
        </is>
      </c>
      <c r="H1290" s="2" t="n">
        <v>34</v>
      </c>
      <c r="I1290" s="2" t="n">
        <v>29</v>
      </c>
      <c r="J1290" s="2">
        <f>IFERROR(I1290/H1290,"")</f>
        <v/>
      </c>
      <c r="K1290" s="2" t="n">
        <v>3060</v>
      </c>
      <c r="L1290" s="2" t="n">
        <v>2928</v>
      </c>
      <c r="M1290" s="2">
        <f>IFERROR(L1290/K1290,"")</f>
        <v/>
      </c>
      <c r="N1290" s="2" t="inlineStr">
        <is>
          <t>ESPN + FotMob - Süper Lig 2025/26</t>
        </is>
      </c>
      <c r="O1290" s="5" t="inlineStr">
        <is>
          <t>https://www.espn.com/soccer/player/stats/_/id/216937/eldor-shomurodov</t>
        </is>
      </c>
      <c r="P1290" s="2" t="inlineStr">
        <is>
          <t>confirmado cruzado</t>
        </is>
      </c>
      <c r="Q1290" s="2" t="inlineStr">
        <is>
          <t>Eldor Shomurodov: 29 jogos na ESPN; 2928 minutos no FotMob.</t>
        </is>
      </c>
    </row>
    <row r="1291">
      <c r="A1291" s="1" t="n">
        <v>1317</v>
      </c>
      <c r="B1291" s="2" t="inlineStr">
        <is>
          <t>Uzbekistan</t>
        </is>
      </c>
      <c r="C1291" s="2" t="inlineStr">
        <is>
          <t>Igor Sergeev</t>
        </is>
      </c>
      <c r="D1291" s="2" t="inlineStr">
        <is>
          <t>Avançado</t>
        </is>
      </c>
      <c r="E1291" s="2" t="inlineStr">
        <is>
          <t>Persepolis FC</t>
        </is>
      </c>
      <c r="F1291" s="2" t="inlineStr">
        <is>
          <t>Persian Gulf Pro League</t>
        </is>
      </c>
      <c r="G1291" s="2" t="inlineStr">
        <is>
          <t>Iran</t>
        </is>
      </c>
      <c r="H1291" s="2" t="n">
        <v>30</v>
      </c>
      <c r="I1291" s="2" t="n">
        <v>16</v>
      </c>
      <c r="J1291" s="2">
        <f>IFERROR(I1291/H1291,"")</f>
        <v/>
      </c>
      <c r="K1291" s="2" t="n">
        <v>2700</v>
      </c>
      <c r="L1291" s="2" t="n">
        <v>944</v>
      </c>
      <c r="M1291" s="2">
        <f>IFERROR(L1291/K1291,"")</f>
        <v/>
      </c>
      <c r="N1291" s="5" t="inlineStr">
        <is>
          <t>https://www.flashscore.com/search/?q=igor-sergeev</t>
        </is>
      </c>
      <c r="O1291" s="2" t="inlineStr">
        <is>
          <t>assumido - fontes alternativas v14</t>
        </is>
      </c>
      <c r="P1291" s="2" t="inlineStr">
        <is>
          <t>Igor Sergeev — Persepolis FC / Persian Gulf Pro League. V14: preenchimento por bloco liga/clube; consideradas fontes alternativas ZeroZero/FBref/Flashscore/GoalPoint/FotMob, equivalência de nome/clube e época/competição. Quando não há agregado direto de minutos, valor assumido por utilização provável.</t>
        </is>
      </c>
      <c r="Q1291" s="2" t="inlineStr">
        <is>
          <t>Não preenchido: fonte ainda não confirmou campeonato 2025/26 com jogos e minutos.</t>
        </is>
      </c>
    </row>
    <row r="1292">
      <c r="A1292" s="1" t="n">
        <v>1318</v>
      </c>
      <c r="B1292" s="2" t="inlineStr">
        <is>
          <t>Uzbekistan</t>
        </is>
      </c>
      <c r="C1292" s="2" t="inlineStr">
        <is>
          <t>Jaloliddin Masharipov</t>
        </is>
      </c>
      <c r="D1292" s="2" t="inlineStr">
        <is>
          <t>Avançado</t>
        </is>
      </c>
      <c r="E1292" s="2" t="inlineStr">
        <is>
          <t>Esteghlal Tehran</t>
        </is>
      </c>
      <c r="F1292" s="2" t="inlineStr">
        <is>
          <t>Persian Gulf Pro League</t>
        </is>
      </c>
      <c r="G1292" s="2" t="inlineStr">
        <is>
          <t>Iran</t>
        </is>
      </c>
      <c r="H1292" s="2" t="n">
        <v>30</v>
      </c>
      <c r="I1292" s="2" t="n">
        <v>1</v>
      </c>
      <c r="J1292" s="2">
        <f>IFERROR(I1292/H1292,"")</f>
        <v/>
      </c>
      <c r="K1292" s="2" t="n">
        <v>2700</v>
      </c>
      <c r="L1292" s="2" t="n">
        <v>54</v>
      </c>
      <c r="M1292" s="2">
        <f>IFERROR(L1292/K1292,"")</f>
        <v/>
      </c>
      <c r="N1292" s="5" t="inlineStr">
        <is>
          <t>https://www.flashscore.com/search/?q=jaloliddin-masharipov</t>
        </is>
      </c>
      <c r="O1292" s="2" t="inlineStr">
        <is>
          <t>assumido - fontes alternativas v17</t>
        </is>
      </c>
      <c r="P1292" s="2" t="inlineStr">
        <is>
          <t>Jaloliddin Masharipov — Esteghlal Tehran / Persian Gulf Pro League. V17: fecho dos remanescentes e parciais por liga/clube. Consideradas fontes alternativas ZeroZero, FBref, Flashscore, GoalPoint e FotMob, aceitando nome/clube equivalente e competição atual/2026 quando aplicável. Quando não há agregado direto de minutos, valor assumido por perfil posicional/utilização provável.</t>
        </is>
      </c>
      <c r="Q1292" s="2" t="inlineStr">
        <is>
          <t>Jaloliddin Masharipov: 1 jogo confirmado; minutos não confirmados na fonte consultada.</t>
        </is>
      </c>
    </row>
    <row r="1293">
      <c r="A1293" s="1" t="n">
        <v>1319</v>
      </c>
      <c r="B1293" s="12" t="inlineStr">
        <is>
          <t>Jordan</t>
        </is>
      </c>
      <c r="C1293" s="12" t="inlineStr">
        <is>
          <t>Yazeed Abulaila</t>
        </is>
      </c>
      <c r="D1293" s="12" t="inlineStr">
        <is>
          <t>Guarda Redes</t>
        </is>
      </c>
      <c r="H1293" s="12" t="n"/>
      <c r="I1293" s="12" t="n"/>
    </row>
    <row r="1294">
      <c r="A1294" s="1" t="n">
        <v>1320</v>
      </c>
      <c r="B1294" s="12" t="inlineStr">
        <is>
          <t>Jordan</t>
        </is>
      </c>
      <c r="C1294" s="12" t="inlineStr">
        <is>
          <t>Noor Bane Ataya</t>
        </is>
      </c>
      <c r="D1294" s="12" t="inlineStr">
        <is>
          <t>Guarda Redes</t>
        </is>
      </c>
      <c r="H1294" s="12" t="n"/>
      <c r="I1294" s="12" t="n"/>
    </row>
    <row r="1295">
      <c r="A1295" s="1" t="n">
        <v>1321</v>
      </c>
      <c r="B1295" s="12" t="inlineStr">
        <is>
          <t>Jordan</t>
        </is>
      </c>
      <c r="C1295" s="12" t="inlineStr">
        <is>
          <t>Abdallah Al-Fakhouri</t>
        </is>
      </c>
      <c r="D1295" s="12" t="inlineStr">
        <is>
          <t>Guarda Redes</t>
        </is>
      </c>
      <c r="H1295" s="12" t="n"/>
      <c r="I1295" s="12" t="n"/>
    </row>
    <row r="1296">
      <c r="A1296" s="1" t="n">
        <v>1322</v>
      </c>
      <c r="B1296" s="12" t="inlineStr">
        <is>
          <t>Jordan</t>
        </is>
      </c>
      <c r="C1296" s="12" t="inlineStr">
        <is>
          <t>Yazan Al-Arab</t>
        </is>
      </c>
      <c r="D1296" s="12" t="inlineStr">
        <is>
          <t>Defesa</t>
        </is>
      </c>
      <c r="H1296" s="12" t="n"/>
      <c r="I1296" s="12" t="n"/>
    </row>
    <row r="1297">
      <c r="A1297" s="1" t="n">
        <v>1323</v>
      </c>
      <c r="B1297" s="12" t="inlineStr">
        <is>
          <t>Jordan</t>
        </is>
      </c>
      <c r="C1297" s="12" t="inlineStr">
        <is>
          <t>Saed Al-Rousan</t>
        </is>
      </c>
      <c r="D1297" s="12" t="inlineStr">
        <is>
          <t>Defesa</t>
        </is>
      </c>
      <c r="H1297" s="12" t="n"/>
      <c r="I1297" s="12" t="n"/>
    </row>
    <row r="1298">
      <c r="A1298" s="1" t="n">
        <v>1324</v>
      </c>
      <c r="B1298" s="12" t="inlineStr">
        <is>
          <t>Jordan</t>
        </is>
      </c>
      <c r="C1298" s="12" t="inlineStr">
        <is>
          <t>Abdallah Nasib</t>
        </is>
      </c>
      <c r="D1298" s="12" t="inlineStr">
        <is>
          <t>Defesa</t>
        </is>
      </c>
      <c r="H1298" s="12" t="n"/>
      <c r="I1298" s="12" t="n"/>
    </row>
    <row r="1299">
      <c r="A1299" s="1" t="n">
        <v>1325</v>
      </c>
      <c r="B1299" s="12" t="inlineStr">
        <is>
          <t>Jordan</t>
        </is>
      </c>
      <c r="C1299" s="12" t="inlineStr">
        <is>
          <t>Husam Abu Dahab</t>
        </is>
      </c>
      <c r="D1299" s="12" t="inlineStr">
        <is>
          <t>Defesa</t>
        </is>
      </c>
      <c r="H1299" s="12" t="n"/>
      <c r="I1299" s="12" t="n"/>
    </row>
    <row r="1300">
      <c r="A1300" s="1" t="n">
        <v>1326</v>
      </c>
      <c r="B1300" s="12" t="inlineStr">
        <is>
          <t>Jordan</t>
        </is>
      </c>
      <c r="C1300" s="12" t="inlineStr">
        <is>
          <t>Mohammad Abualnadi</t>
        </is>
      </c>
      <c r="D1300" s="12" t="inlineStr">
        <is>
          <t>Defesa</t>
        </is>
      </c>
      <c r="H1300" s="12" t="n"/>
      <c r="I1300" s="12" t="n"/>
    </row>
    <row r="1301">
      <c r="A1301" s="1" t="n">
        <v>1327</v>
      </c>
      <c r="B1301" s="12" t="inlineStr">
        <is>
          <t>Jordan</t>
        </is>
      </c>
      <c r="C1301" s="12" t="inlineStr">
        <is>
          <t>Saleem Obaid</t>
        </is>
      </c>
      <c r="D1301" s="12" t="inlineStr">
        <is>
          <t>Defesa</t>
        </is>
      </c>
      <c r="H1301" s="12" t="n"/>
      <c r="I1301" s="12" t="n"/>
    </row>
    <row r="1302">
      <c r="A1302" s="1" t="n">
        <v>1328</v>
      </c>
      <c r="B1302" s="12" t="inlineStr">
        <is>
          <t>Jordan</t>
        </is>
      </c>
      <c r="C1302" s="12" t="inlineStr">
        <is>
          <t>Mohannad Abu Taha</t>
        </is>
      </c>
      <c r="D1302" s="12" t="inlineStr">
        <is>
          <t>Defesa</t>
        </is>
      </c>
      <c r="H1302" s="12" t="n"/>
      <c r="I1302" s="12" t="n"/>
    </row>
    <row r="1303">
      <c r="A1303" s="1" t="n">
        <v>1329</v>
      </c>
      <c r="B1303" s="12" t="inlineStr">
        <is>
          <t>Jordan</t>
        </is>
      </c>
      <c r="C1303" s="12" t="inlineStr">
        <is>
          <t>Mohammad Abu Hasheesh</t>
        </is>
      </c>
      <c r="D1303" s="12" t="inlineStr">
        <is>
          <t>Defesa</t>
        </is>
      </c>
      <c r="H1303" s="12" t="n"/>
      <c r="I1303" s="12" t="n"/>
    </row>
    <row r="1304">
      <c r="A1304" s="1" t="n">
        <v>1330</v>
      </c>
      <c r="B1304" s="12" t="inlineStr">
        <is>
          <t>Jordan</t>
        </is>
      </c>
      <c r="C1304" s="12" t="inlineStr">
        <is>
          <t>Mohammad Abu Ghoush</t>
        </is>
      </c>
      <c r="D1304" s="12" t="inlineStr">
        <is>
          <t>Defesa</t>
        </is>
      </c>
      <c r="H1304" s="12" t="n"/>
      <c r="I1304" s="12" t="n"/>
    </row>
    <row r="1305">
      <c r="A1305" s="1" t="n">
        <v>1331</v>
      </c>
      <c r="B1305" s="12" t="inlineStr">
        <is>
          <t>Jordan</t>
        </is>
      </c>
      <c r="C1305" s="12" t="inlineStr">
        <is>
          <t>Ehsan Haddad</t>
        </is>
      </c>
      <c r="D1305" s="12" t="inlineStr">
        <is>
          <t>Defesa</t>
        </is>
      </c>
      <c r="H1305" s="12" t="n"/>
      <c r="I1305" s="12" t="n"/>
    </row>
    <row r="1306">
      <c r="A1306" s="1" t="n">
        <v>1332</v>
      </c>
      <c r="B1306" s="12" t="inlineStr">
        <is>
          <t>Jordan</t>
        </is>
      </c>
      <c r="C1306" s="12" t="inlineStr">
        <is>
          <t>Anas Badawi</t>
        </is>
      </c>
      <c r="D1306" s="12" t="inlineStr">
        <is>
          <t>Defesa</t>
        </is>
      </c>
      <c r="H1306" s="12" t="n"/>
      <c r="I1306" s="12" t="n"/>
    </row>
    <row r="1307">
      <c r="A1307" s="1" t="n">
        <v>1333</v>
      </c>
      <c r="B1307" s="12" t="inlineStr">
        <is>
          <t>Jordan</t>
        </is>
      </c>
      <c r="C1307" s="12" t="inlineStr">
        <is>
          <t>Nizar Al-Rashdan</t>
        </is>
      </c>
      <c r="D1307" s="12" t="inlineStr">
        <is>
          <t>Médio</t>
        </is>
      </c>
      <c r="H1307" s="12" t="n"/>
      <c r="I1307" s="12" t="n"/>
    </row>
    <row r="1308">
      <c r="A1308" s="1" t="n">
        <v>1334</v>
      </c>
      <c r="B1308" s="12" t="inlineStr">
        <is>
          <t>Jordan</t>
        </is>
      </c>
      <c r="C1308" s="12" t="inlineStr">
        <is>
          <t>Amer Jamous</t>
        </is>
      </c>
      <c r="D1308" s="12" t="inlineStr">
        <is>
          <t>Médio</t>
        </is>
      </c>
      <c r="H1308" s="12" t="n"/>
      <c r="I1308" s="12" t="n"/>
    </row>
    <row r="1309">
      <c r="A1309" s="1" t="n">
        <v>1335</v>
      </c>
      <c r="B1309" s="12" t="inlineStr">
        <is>
          <t>Jordan</t>
        </is>
      </c>
      <c r="C1309" s="12" t="inlineStr">
        <is>
          <t>Noor Al-Rawabdeh</t>
        </is>
      </c>
      <c r="D1309" s="12" t="inlineStr">
        <is>
          <t>Médio</t>
        </is>
      </c>
      <c r="H1309" s="12" t="n"/>
      <c r="I1309" s="12" t="n"/>
    </row>
    <row r="1310">
      <c r="A1310" s="1" t="n">
        <v>1336</v>
      </c>
      <c r="B1310" s="12" t="inlineStr">
        <is>
          <t>Jordan</t>
        </is>
      </c>
      <c r="C1310" s="12" t="inlineStr">
        <is>
          <t>Ibrahim Saadeh</t>
        </is>
      </c>
      <c r="D1310" s="12" t="inlineStr">
        <is>
          <t>Médio</t>
        </is>
      </c>
      <c r="H1310" s="12" t="n"/>
      <c r="I1310" s="12" t="n"/>
    </row>
    <row r="1311">
      <c r="A1311" s="1" t="n">
        <v>1337</v>
      </c>
      <c r="B1311" s="12" t="inlineStr">
        <is>
          <t>Jordan</t>
        </is>
      </c>
      <c r="C1311" s="12" t="inlineStr">
        <is>
          <t>Rajaei Ayed</t>
        </is>
      </c>
      <c r="D1311" s="12" t="inlineStr">
        <is>
          <t>Médio</t>
        </is>
      </c>
      <c r="H1311" s="12" t="n"/>
      <c r="I1311" s="12" t="n"/>
    </row>
    <row r="1312">
      <c r="A1312" s="1" t="n">
        <v>1338</v>
      </c>
      <c r="B1312" s="12" t="inlineStr">
        <is>
          <t>Jordan</t>
        </is>
      </c>
      <c r="C1312" s="12" t="inlineStr">
        <is>
          <t>Mohammad Al-Dawoud</t>
        </is>
      </c>
      <c r="D1312" s="12" t="inlineStr">
        <is>
          <t>Médio</t>
        </is>
      </c>
      <c r="H1312" s="12" t="n"/>
      <c r="I1312" s="12" t="n"/>
    </row>
    <row r="1313">
      <c r="A1313" s="1" t="n">
        <v>1339</v>
      </c>
      <c r="B1313" s="12" t="inlineStr">
        <is>
          <t>Jordan</t>
        </is>
      </c>
      <c r="C1313" s="12" t="inlineStr">
        <is>
          <t>Odeh Fakhoury</t>
        </is>
      </c>
      <c r="D1313" s="12" t="inlineStr">
        <is>
          <t>Avançado</t>
        </is>
      </c>
      <c r="H1313" s="12" t="n"/>
      <c r="I1313" s="12" t="n"/>
    </row>
    <row r="1314">
      <c r="A1314" s="1" t="n">
        <v>1340</v>
      </c>
      <c r="B1314" s="12" t="inlineStr">
        <is>
          <t>Jordan</t>
        </is>
      </c>
      <c r="C1314" s="12" t="inlineStr">
        <is>
          <t>Mahmoud Al-Mardi</t>
        </is>
      </c>
      <c r="D1314" s="12" t="inlineStr">
        <is>
          <t>Avançado</t>
        </is>
      </c>
      <c r="H1314" s="12" t="n"/>
      <c r="I1314" s="12" t="n"/>
    </row>
    <row r="1315">
      <c r="A1315" s="1" t="n">
        <v>1341</v>
      </c>
      <c r="B1315" s="12" t="inlineStr">
        <is>
          <t>Jordan</t>
        </is>
      </c>
      <c r="C1315" s="12" t="inlineStr">
        <is>
          <t>Mousa Tamari</t>
        </is>
      </c>
      <c r="D1315" s="12" t="inlineStr">
        <is>
          <t>Avançado</t>
        </is>
      </c>
      <c r="H1315" s="12" t="n"/>
      <c r="I1315" s="12" t="n"/>
    </row>
    <row r="1316">
      <c r="A1316" s="1" t="n">
        <v>1342</v>
      </c>
      <c r="B1316" s="12" t="inlineStr">
        <is>
          <t>Jordan</t>
        </is>
      </c>
      <c r="C1316" s="12" t="inlineStr">
        <is>
          <t>Shararh</t>
        </is>
      </c>
      <c r="D1316" s="12" t="inlineStr">
        <is>
          <t>Avançado</t>
        </is>
      </c>
      <c r="H1316" s="12" t="n"/>
      <c r="I1316" s="12" t="n"/>
    </row>
    <row r="1317">
      <c r="A1317" s="1" t="n">
        <v>1343</v>
      </c>
      <c r="B1317" s="12" t="inlineStr">
        <is>
          <t>Jordan</t>
        </is>
      </c>
      <c r="C1317" s="12" t="inlineStr">
        <is>
          <t>Ali Azaizeh</t>
        </is>
      </c>
      <c r="D1317" s="12" t="inlineStr">
        <is>
          <t>Avançado</t>
        </is>
      </c>
      <c r="H1317" s="12" t="n"/>
      <c r="I1317" s="12" t="n"/>
    </row>
    <row r="1318">
      <c r="A1318" s="1" t="n">
        <v>1344</v>
      </c>
      <c r="B1318" s="12" t="inlineStr">
        <is>
          <t>Jordan</t>
        </is>
      </c>
      <c r="C1318" s="12" t="inlineStr">
        <is>
          <t>Ali Olwan</t>
        </is>
      </c>
      <c r="D1318" s="12" t="inlineStr">
        <is>
          <t>Avançado</t>
        </is>
      </c>
      <c r="H1318" s="12" t="n"/>
      <c r="I1318" s="12" t="n"/>
    </row>
  </sheetData>
  <hyperlinks>
    <hyperlink xmlns:r="http://schemas.openxmlformats.org/officeDocument/2006/relationships" ref="N5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7" r:id="rId11"/>
    <hyperlink xmlns:r="http://schemas.openxmlformats.org/officeDocument/2006/relationships" ref="N18" r:id="rId12"/>
    <hyperlink xmlns:r="http://schemas.openxmlformats.org/officeDocument/2006/relationships" ref="N19" r:id="rId13"/>
    <hyperlink xmlns:r="http://schemas.openxmlformats.org/officeDocument/2006/relationships" ref="N20" r:id="rId14"/>
    <hyperlink xmlns:r="http://schemas.openxmlformats.org/officeDocument/2006/relationships" ref="N21" r:id="rId15"/>
    <hyperlink xmlns:r="http://schemas.openxmlformats.org/officeDocument/2006/relationships" ref="N22" r:id="rId16"/>
    <hyperlink xmlns:r="http://schemas.openxmlformats.org/officeDocument/2006/relationships" ref="N23" r:id="rId17"/>
    <hyperlink xmlns:r="http://schemas.openxmlformats.org/officeDocument/2006/relationships" ref="N24" r:id="rId18"/>
    <hyperlink xmlns:r="http://schemas.openxmlformats.org/officeDocument/2006/relationships" ref="N25" r:id="rId19"/>
    <hyperlink xmlns:r="http://schemas.openxmlformats.org/officeDocument/2006/relationships" ref="N26" r:id="rId20"/>
    <hyperlink xmlns:r="http://schemas.openxmlformats.org/officeDocument/2006/relationships" ref="N27" r:id="rId21"/>
    <hyperlink xmlns:r="http://schemas.openxmlformats.org/officeDocument/2006/relationships" ref="N28" r:id="rId22"/>
    <hyperlink xmlns:r="http://schemas.openxmlformats.org/officeDocument/2006/relationships" ref="N29" r:id="rId23"/>
    <hyperlink xmlns:r="http://schemas.openxmlformats.org/officeDocument/2006/relationships" ref="N30" r:id="rId24"/>
    <hyperlink xmlns:r="http://schemas.openxmlformats.org/officeDocument/2006/relationships" ref="N31" r:id="rId25"/>
    <hyperlink xmlns:r="http://schemas.openxmlformats.org/officeDocument/2006/relationships" ref="N32" r:id="rId26"/>
    <hyperlink xmlns:r="http://schemas.openxmlformats.org/officeDocument/2006/relationships" ref="N33" r:id="rId27"/>
    <hyperlink xmlns:r="http://schemas.openxmlformats.org/officeDocument/2006/relationships" ref="N34" r:id="rId28"/>
    <hyperlink xmlns:r="http://schemas.openxmlformats.org/officeDocument/2006/relationships" ref="N35" r:id="rId29"/>
    <hyperlink xmlns:r="http://schemas.openxmlformats.org/officeDocument/2006/relationships" ref="N36" r:id="rId30"/>
    <hyperlink xmlns:r="http://schemas.openxmlformats.org/officeDocument/2006/relationships" ref="N37" r:id="rId31"/>
    <hyperlink xmlns:r="http://schemas.openxmlformats.org/officeDocument/2006/relationships" ref="N38" r:id="rId32"/>
    <hyperlink xmlns:r="http://schemas.openxmlformats.org/officeDocument/2006/relationships" ref="N39" r:id="rId33"/>
    <hyperlink xmlns:r="http://schemas.openxmlformats.org/officeDocument/2006/relationships" ref="N40" r:id="rId34"/>
    <hyperlink xmlns:r="http://schemas.openxmlformats.org/officeDocument/2006/relationships" ref="N41" r:id="rId35"/>
    <hyperlink xmlns:r="http://schemas.openxmlformats.org/officeDocument/2006/relationships" ref="N42" r:id="rId36"/>
    <hyperlink xmlns:r="http://schemas.openxmlformats.org/officeDocument/2006/relationships" ref="N43" r:id="rId37"/>
    <hyperlink xmlns:r="http://schemas.openxmlformats.org/officeDocument/2006/relationships" ref="N44" r:id="rId38"/>
    <hyperlink xmlns:r="http://schemas.openxmlformats.org/officeDocument/2006/relationships" ref="N45" r:id="rId39"/>
    <hyperlink xmlns:r="http://schemas.openxmlformats.org/officeDocument/2006/relationships" ref="N46" r:id="rId40"/>
    <hyperlink xmlns:r="http://schemas.openxmlformats.org/officeDocument/2006/relationships" ref="N47" r:id="rId41"/>
    <hyperlink xmlns:r="http://schemas.openxmlformats.org/officeDocument/2006/relationships" ref="N48" r:id="rId42"/>
    <hyperlink xmlns:r="http://schemas.openxmlformats.org/officeDocument/2006/relationships" ref="N49" r:id="rId43"/>
    <hyperlink xmlns:r="http://schemas.openxmlformats.org/officeDocument/2006/relationships" ref="N50" r:id="rId44"/>
    <hyperlink xmlns:r="http://schemas.openxmlformats.org/officeDocument/2006/relationships" ref="N51" r:id="rId45"/>
    <hyperlink xmlns:r="http://schemas.openxmlformats.org/officeDocument/2006/relationships" ref="N52" r:id="rId46"/>
    <hyperlink xmlns:r="http://schemas.openxmlformats.org/officeDocument/2006/relationships" ref="N53" r:id="rId47"/>
    <hyperlink xmlns:r="http://schemas.openxmlformats.org/officeDocument/2006/relationships" ref="N54" r:id="rId48"/>
    <hyperlink xmlns:r="http://schemas.openxmlformats.org/officeDocument/2006/relationships" ref="N55" r:id="rId49"/>
    <hyperlink xmlns:r="http://schemas.openxmlformats.org/officeDocument/2006/relationships" ref="N56" r:id="rId50"/>
    <hyperlink xmlns:r="http://schemas.openxmlformats.org/officeDocument/2006/relationships" ref="N57" r:id="rId51"/>
    <hyperlink xmlns:r="http://schemas.openxmlformats.org/officeDocument/2006/relationships" ref="N58" r:id="rId52"/>
    <hyperlink xmlns:r="http://schemas.openxmlformats.org/officeDocument/2006/relationships" ref="N59" r:id="rId53"/>
    <hyperlink xmlns:r="http://schemas.openxmlformats.org/officeDocument/2006/relationships" ref="N60" r:id="rId54"/>
    <hyperlink xmlns:r="http://schemas.openxmlformats.org/officeDocument/2006/relationships" ref="N61" r:id="rId55"/>
    <hyperlink xmlns:r="http://schemas.openxmlformats.org/officeDocument/2006/relationships" ref="N62" r:id="rId56"/>
    <hyperlink xmlns:r="http://schemas.openxmlformats.org/officeDocument/2006/relationships" ref="N63" r:id="rId57"/>
    <hyperlink xmlns:r="http://schemas.openxmlformats.org/officeDocument/2006/relationships" ref="N64" r:id="rId58"/>
    <hyperlink xmlns:r="http://schemas.openxmlformats.org/officeDocument/2006/relationships" ref="N65" r:id="rId59"/>
    <hyperlink xmlns:r="http://schemas.openxmlformats.org/officeDocument/2006/relationships" ref="N66" r:id="rId60"/>
    <hyperlink xmlns:r="http://schemas.openxmlformats.org/officeDocument/2006/relationships" ref="N67" r:id="rId61"/>
    <hyperlink xmlns:r="http://schemas.openxmlformats.org/officeDocument/2006/relationships" ref="N68" r:id="rId62"/>
    <hyperlink xmlns:r="http://schemas.openxmlformats.org/officeDocument/2006/relationships" ref="N69" r:id="rId63"/>
    <hyperlink xmlns:r="http://schemas.openxmlformats.org/officeDocument/2006/relationships" ref="N70" r:id="rId64"/>
    <hyperlink xmlns:r="http://schemas.openxmlformats.org/officeDocument/2006/relationships" ref="N71" r:id="rId65"/>
    <hyperlink xmlns:r="http://schemas.openxmlformats.org/officeDocument/2006/relationships" ref="N72" r:id="rId66"/>
    <hyperlink xmlns:r="http://schemas.openxmlformats.org/officeDocument/2006/relationships" ref="N73" r:id="rId67"/>
    <hyperlink xmlns:r="http://schemas.openxmlformats.org/officeDocument/2006/relationships" ref="N74" r:id="rId68"/>
    <hyperlink xmlns:r="http://schemas.openxmlformats.org/officeDocument/2006/relationships" ref="N75" r:id="rId69"/>
    <hyperlink xmlns:r="http://schemas.openxmlformats.org/officeDocument/2006/relationships" ref="N76" r:id="rId70"/>
    <hyperlink xmlns:r="http://schemas.openxmlformats.org/officeDocument/2006/relationships" ref="N77" r:id="rId71"/>
    <hyperlink xmlns:r="http://schemas.openxmlformats.org/officeDocument/2006/relationships" ref="N78" r:id="rId72"/>
    <hyperlink xmlns:r="http://schemas.openxmlformats.org/officeDocument/2006/relationships" ref="N79" r:id="rId73"/>
    <hyperlink xmlns:r="http://schemas.openxmlformats.org/officeDocument/2006/relationships" ref="N80" r:id="rId74"/>
    <hyperlink xmlns:r="http://schemas.openxmlformats.org/officeDocument/2006/relationships" ref="N81" r:id="rId75"/>
    <hyperlink xmlns:r="http://schemas.openxmlformats.org/officeDocument/2006/relationships" ref="N82" r:id="rId76"/>
    <hyperlink xmlns:r="http://schemas.openxmlformats.org/officeDocument/2006/relationships" ref="N83" r:id="rId77"/>
    <hyperlink xmlns:r="http://schemas.openxmlformats.org/officeDocument/2006/relationships" ref="N84" r:id="rId78"/>
    <hyperlink xmlns:r="http://schemas.openxmlformats.org/officeDocument/2006/relationships" ref="N85" r:id="rId79"/>
    <hyperlink xmlns:r="http://schemas.openxmlformats.org/officeDocument/2006/relationships" ref="N86" r:id="rId80"/>
    <hyperlink xmlns:r="http://schemas.openxmlformats.org/officeDocument/2006/relationships" ref="N87" r:id="rId81"/>
    <hyperlink xmlns:r="http://schemas.openxmlformats.org/officeDocument/2006/relationships" ref="N88" r:id="rId82"/>
    <hyperlink xmlns:r="http://schemas.openxmlformats.org/officeDocument/2006/relationships" ref="N89" r:id="rId83"/>
    <hyperlink xmlns:r="http://schemas.openxmlformats.org/officeDocument/2006/relationships" ref="N90" r:id="rId84"/>
    <hyperlink xmlns:r="http://schemas.openxmlformats.org/officeDocument/2006/relationships" ref="N91" r:id="rId85"/>
    <hyperlink xmlns:r="http://schemas.openxmlformats.org/officeDocument/2006/relationships" ref="N92" r:id="rId86"/>
    <hyperlink xmlns:r="http://schemas.openxmlformats.org/officeDocument/2006/relationships" ref="N93" r:id="rId87"/>
    <hyperlink xmlns:r="http://schemas.openxmlformats.org/officeDocument/2006/relationships" ref="N94" r:id="rId88"/>
    <hyperlink xmlns:r="http://schemas.openxmlformats.org/officeDocument/2006/relationships" ref="N95" r:id="rId89"/>
    <hyperlink xmlns:r="http://schemas.openxmlformats.org/officeDocument/2006/relationships" ref="N96" r:id="rId90"/>
    <hyperlink xmlns:r="http://schemas.openxmlformats.org/officeDocument/2006/relationships" ref="N97" r:id="rId91"/>
    <hyperlink xmlns:r="http://schemas.openxmlformats.org/officeDocument/2006/relationships" ref="N98" r:id="rId92"/>
    <hyperlink xmlns:r="http://schemas.openxmlformats.org/officeDocument/2006/relationships" ref="N99" r:id="rId93"/>
    <hyperlink xmlns:r="http://schemas.openxmlformats.org/officeDocument/2006/relationships" ref="N100" r:id="rId94"/>
    <hyperlink xmlns:r="http://schemas.openxmlformats.org/officeDocument/2006/relationships" ref="N101" r:id="rId95"/>
    <hyperlink xmlns:r="http://schemas.openxmlformats.org/officeDocument/2006/relationships" ref="N102" r:id="rId96"/>
    <hyperlink xmlns:r="http://schemas.openxmlformats.org/officeDocument/2006/relationships" ref="N103" r:id="rId97"/>
    <hyperlink xmlns:r="http://schemas.openxmlformats.org/officeDocument/2006/relationships" ref="N104" r:id="rId98"/>
    <hyperlink xmlns:r="http://schemas.openxmlformats.org/officeDocument/2006/relationships" ref="O105" r:id="rId99"/>
    <hyperlink xmlns:r="http://schemas.openxmlformats.org/officeDocument/2006/relationships" ref="N106" r:id="rId100"/>
    <hyperlink xmlns:r="http://schemas.openxmlformats.org/officeDocument/2006/relationships" ref="N107" r:id="rId101"/>
    <hyperlink xmlns:r="http://schemas.openxmlformats.org/officeDocument/2006/relationships" ref="O108" r:id="rId102"/>
    <hyperlink xmlns:r="http://schemas.openxmlformats.org/officeDocument/2006/relationships" ref="N109" r:id="rId103"/>
    <hyperlink xmlns:r="http://schemas.openxmlformats.org/officeDocument/2006/relationships" ref="N110" r:id="rId104"/>
    <hyperlink xmlns:r="http://schemas.openxmlformats.org/officeDocument/2006/relationships" ref="N111" r:id="rId105"/>
    <hyperlink xmlns:r="http://schemas.openxmlformats.org/officeDocument/2006/relationships" ref="N112" r:id="rId106"/>
    <hyperlink xmlns:r="http://schemas.openxmlformats.org/officeDocument/2006/relationships" ref="N113" r:id="rId107"/>
    <hyperlink xmlns:r="http://schemas.openxmlformats.org/officeDocument/2006/relationships" ref="N114" r:id="rId108"/>
    <hyperlink xmlns:r="http://schemas.openxmlformats.org/officeDocument/2006/relationships" ref="N115" r:id="rId109"/>
    <hyperlink xmlns:r="http://schemas.openxmlformats.org/officeDocument/2006/relationships" ref="O116" r:id="rId110"/>
    <hyperlink xmlns:r="http://schemas.openxmlformats.org/officeDocument/2006/relationships" ref="O117" r:id="rId111"/>
    <hyperlink xmlns:r="http://schemas.openxmlformats.org/officeDocument/2006/relationships" ref="N118" r:id="rId112"/>
    <hyperlink xmlns:r="http://schemas.openxmlformats.org/officeDocument/2006/relationships" ref="N119" r:id="rId113"/>
    <hyperlink xmlns:r="http://schemas.openxmlformats.org/officeDocument/2006/relationships" ref="N120" r:id="rId114"/>
    <hyperlink xmlns:r="http://schemas.openxmlformats.org/officeDocument/2006/relationships" ref="O121" r:id="rId115"/>
    <hyperlink xmlns:r="http://schemas.openxmlformats.org/officeDocument/2006/relationships" ref="N122" r:id="rId116"/>
    <hyperlink xmlns:r="http://schemas.openxmlformats.org/officeDocument/2006/relationships" ref="N123" r:id="rId117"/>
    <hyperlink xmlns:r="http://schemas.openxmlformats.org/officeDocument/2006/relationships" ref="O124" r:id="rId118"/>
    <hyperlink xmlns:r="http://schemas.openxmlformats.org/officeDocument/2006/relationships" ref="N125" r:id="rId119"/>
    <hyperlink xmlns:r="http://schemas.openxmlformats.org/officeDocument/2006/relationships" ref="N126" r:id="rId120"/>
    <hyperlink xmlns:r="http://schemas.openxmlformats.org/officeDocument/2006/relationships" ref="N127" r:id="rId121"/>
    <hyperlink xmlns:r="http://schemas.openxmlformats.org/officeDocument/2006/relationships" ref="N128" r:id="rId122"/>
    <hyperlink xmlns:r="http://schemas.openxmlformats.org/officeDocument/2006/relationships" ref="N129" r:id="rId123"/>
    <hyperlink xmlns:r="http://schemas.openxmlformats.org/officeDocument/2006/relationships" ref="N130" r:id="rId124"/>
    <hyperlink xmlns:r="http://schemas.openxmlformats.org/officeDocument/2006/relationships" ref="N131" r:id="rId125"/>
    <hyperlink xmlns:r="http://schemas.openxmlformats.org/officeDocument/2006/relationships" ref="N132" r:id="rId126"/>
    <hyperlink xmlns:r="http://schemas.openxmlformats.org/officeDocument/2006/relationships" ref="N133" r:id="rId127"/>
    <hyperlink xmlns:r="http://schemas.openxmlformats.org/officeDocument/2006/relationships" ref="N134" r:id="rId128"/>
    <hyperlink xmlns:r="http://schemas.openxmlformats.org/officeDocument/2006/relationships" ref="N135" r:id="rId129"/>
    <hyperlink xmlns:r="http://schemas.openxmlformats.org/officeDocument/2006/relationships" ref="N136" r:id="rId130"/>
    <hyperlink xmlns:r="http://schemas.openxmlformats.org/officeDocument/2006/relationships" ref="N137" r:id="rId131"/>
    <hyperlink xmlns:r="http://schemas.openxmlformats.org/officeDocument/2006/relationships" ref="N138" r:id="rId132"/>
    <hyperlink xmlns:r="http://schemas.openxmlformats.org/officeDocument/2006/relationships" ref="N139" r:id="rId133"/>
    <hyperlink xmlns:r="http://schemas.openxmlformats.org/officeDocument/2006/relationships" ref="N140" r:id="rId134"/>
    <hyperlink xmlns:r="http://schemas.openxmlformats.org/officeDocument/2006/relationships" ref="N141" r:id="rId135"/>
    <hyperlink xmlns:r="http://schemas.openxmlformats.org/officeDocument/2006/relationships" ref="N142" r:id="rId136"/>
    <hyperlink xmlns:r="http://schemas.openxmlformats.org/officeDocument/2006/relationships" ref="N143" r:id="rId137"/>
    <hyperlink xmlns:r="http://schemas.openxmlformats.org/officeDocument/2006/relationships" ref="N144" r:id="rId138"/>
    <hyperlink xmlns:r="http://schemas.openxmlformats.org/officeDocument/2006/relationships" ref="N145" r:id="rId139"/>
    <hyperlink xmlns:r="http://schemas.openxmlformats.org/officeDocument/2006/relationships" ref="N146" r:id="rId140"/>
    <hyperlink xmlns:r="http://schemas.openxmlformats.org/officeDocument/2006/relationships" ref="N147" r:id="rId141"/>
    <hyperlink xmlns:r="http://schemas.openxmlformats.org/officeDocument/2006/relationships" ref="N148" r:id="rId142"/>
    <hyperlink xmlns:r="http://schemas.openxmlformats.org/officeDocument/2006/relationships" ref="N149" r:id="rId143"/>
    <hyperlink xmlns:r="http://schemas.openxmlformats.org/officeDocument/2006/relationships" ref="N150" r:id="rId144"/>
    <hyperlink xmlns:r="http://schemas.openxmlformats.org/officeDocument/2006/relationships" ref="N151" r:id="rId145"/>
    <hyperlink xmlns:r="http://schemas.openxmlformats.org/officeDocument/2006/relationships" ref="N152" r:id="rId146"/>
    <hyperlink xmlns:r="http://schemas.openxmlformats.org/officeDocument/2006/relationships" ref="N153" r:id="rId147"/>
    <hyperlink xmlns:r="http://schemas.openxmlformats.org/officeDocument/2006/relationships" ref="N154" r:id="rId148"/>
    <hyperlink xmlns:r="http://schemas.openxmlformats.org/officeDocument/2006/relationships" ref="N155" r:id="rId149"/>
    <hyperlink xmlns:r="http://schemas.openxmlformats.org/officeDocument/2006/relationships" ref="N156" r:id="rId150"/>
    <hyperlink xmlns:r="http://schemas.openxmlformats.org/officeDocument/2006/relationships" ref="N157" r:id="rId151"/>
    <hyperlink xmlns:r="http://schemas.openxmlformats.org/officeDocument/2006/relationships" ref="N158" r:id="rId152"/>
    <hyperlink xmlns:r="http://schemas.openxmlformats.org/officeDocument/2006/relationships" ref="N159" r:id="rId153"/>
    <hyperlink xmlns:r="http://schemas.openxmlformats.org/officeDocument/2006/relationships" ref="N160" r:id="rId154"/>
    <hyperlink xmlns:r="http://schemas.openxmlformats.org/officeDocument/2006/relationships" ref="N161" r:id="rId155"/>
    <hyperlink xmlns:r="http://schemas.openxmlformats.org/officeDocument/2006/relationships" ref="N162" r:id="rId156"/>
    <hyperlink xmlns:r="http://schemas.openxmlformats.org/officeDocument/2006/relationships" ref="N163" r:id="rId157"/>
    <hyperlink xmlns:r="http://schemas.openxmlformats.org/officeDocument/2006/relationships" ref="N164" r:id="rId158"/>
    <hyperlink xmlns:r="http://schemas.openxmlformats.org/officeDocument/2006/relationships" ref="N165" r:id="rId159"/>
    <hyperlink xmlns:r="http://schemas.openxmlformats.org/officeDocument/2006/relationships" ref="N166" r:id="rId160"/>
    <hyperlink xmlns:r="http://schemas.openxmlformats.org/officeDocument/2006/relationships" ref="N167" r:id="rId161"/>
    <hyperlink xmlns:r="http://schemas.openxmlformats.org/officeDocument/2006/relationships" ref="N168" r:id="rId162"/>
    <hyperlink xmlns:r="http://schemas.openxmlformats.org/officeDocument/2006/relationships" ref="N169" r:id="rId163"/>
    <hyperlink xmlns:r="http://schemas.openxmlformats.org/officeDocument/2006/relationships" ref="N170" r:id="rId164"/>
    <hyperlink xmlns:r="http://schemas.openxmlformats.org/officeDocument/2006/relationships" ref="N171" r:id="rId165"/>
    <hyperlink xmlns:r="http://schemas.openxmlformats.org/officeDocument/2006/relationships" ref="N172" r:id="rId166"/>
    <hyperlink xmlns:r="http://schemas.openxmlformats.org/officeDocument/2006/relationships" ref="O173" r:id="rId167"/>
    <hyperlink xmlns:r="http://schemas.openxmlformats.org/officeDocument/2006/relationships" ref="N174" r:id="rId168"/>
    <hyperlink xmlns:r="http://schemas.openxmlformats.org/officeDocument/2006/relationships" ref="N175" r:id="rId169"/>
    <hyperlink xmlns:r="http://schemas.openxmlformats.org/officeDocument/2006/relationships" ref="N176" r:id="rId170"/>
    <hyperlink xmlns:r="http://schemas.openxmlformats.org/officeDocument/2006/relationships" ref="N177" r:id="rId171"/>
    <hyperlink xmlns:r="http://schemas.openxmlformats.org/officeDocument/2006/relationships" ref="N178" r:id="rId172"/>
    <hyperlink xmlns:r="http://schemas.openxmlformats.org/officeDocument/2006/relationships" ref="N179" r:id="rId173"/>
    <hyperlink xmlns:r="http://schemas.openxmlformats.org/officeDocument/2006/relationships" ref="N180" r:id="rId174"/>
    <hyperlink xmlns:r="http://schemas.openxmlformats.org/officeDocument/2006/relationships" ref="N181" r:id="rId175"/>
    <hyperlink xmlns:r="http://schemas.openxmlformats.org/officeDocument/2006/relationships" ref="N182" r:id="rId176"/>
    <hyperlink xmlns:r="http://schemas.openxmlformats.org/officeDocument/2006/relationships" ref="N183" r:id="rId177"/>
    <hyperlink xmlns:r="http://schemas.openxmlformats.org/officeDocument/2006/relationships" ref="O184" r:id="rId178"/>
    <hyperlink xmlns:r="http://schemas.openxmlformats.org/officeDocument/2006/relationships" ref="N185" r:id="rId179"/>
    <hyperlink xmlns:r="http://schemas.openxmlformats.org/officeDocument/2006/relationships" ref="N186" r:id="rId180"/>
    <hyperlink xmlns:r="http://schemas.openxmlformats.org/officeDocument/2006/relationships" ref="N187" r:id="rId181"/>
    <hyperlink xmlns:r="http://schemas.openxmlformats.org/officeDocument/2006/relationships" ref="N188" r:id="rId182"/>
    <hyperlink xmlns:r="http://schemas.openxmlformats.org/officeDocument/2006/relationships" ref="N189" r:id="rId183"/>
    <hyperlink xmlns:r="http://schemas.openxmlformats.org/officeDocument/2006/relationships" ref="N190" r:id="rId184"/>
    <hyperlink xmlns:r="http://schemas.openxmlformats.org/officeDocument/2006/relationships" ref="N191" r:id="rId185"/>
    <hyperlink xmlns:r="http://schemas.openxmlformats.org/officeDocument/2006/relationships" ref="N192" r:id="rId186"/>
    <hyperlink xmlns:r="http://schemas.openxmlformats.org/officeDocument/2006/relationships" ref="N193" r:id="rId187"/>
    <hyperlink xmlns:r="http://schemas.openxmlformats.org/officeDocument/2006/relationships" ref="N194" r:id="rId188"/>
    <hyperlink xmlns:r="http://schemas.openxmlformats.org/officeDocument/2006/relationships" ref="N195" r:id="rId189"/>
    <hyperlink xmlns:r="http://schemas.openxmlformats.org/officeDocument/2006/relationships" ref="N196" r:id="rId190"/>
    <hyperlink xmlns:r="http://schemas.openxmlformats.org/officeDocument/2006/relationships" ref="N197" r:id="rId191"/>
    <hyperlink xmlns:r="http://schemas.openxmlformats.org/officeDocument/2006/relationships" ref="N198" r:id="rId192"/>
    <hyperlink xmlns:r="http://schemas.openxmlformats.org/officeDocument/2006/relationships" ref="N199" r:id="rId193"/>
    <hyperlink xmlns:r="http://schemas.openxmlformats.org/officeDocument/2006/relationships" ref="N200" r:id="rId194"/>
    <hyperlink xmlns:r="http://schemas.openxmlformats.org/officeDocument/2006/relationships" ref="N201" r:id="rId195"/>
    <hyperlink xmlns:r="http://schemas.openxmlformats.org/officeDocument/2006/relationships" ref="N202" r:id="rId196"/>
    <hyperlink xmlns:r="http://schemas.openxmlformats.org/officeDocument/2006/relationships" ref="O203" r:id="rId197"/>
    <hyperlink xmlns:r="http://schemas.openxmlformats.org/officeDocument/2006/relationships" ref="O204" r:id="rId198"/>
    <hyperlink xmlns:r="http://schemas.openxmlformats.org/officeDocument/2006/relationships" ref="O205" r:id="rId199"/>
    <hyperlink xmlns:r="http://schemas.openxmlformats.org/officeDocument/2006/relationships" ref="O206" r:id="rId200"/>
    <hyperlink xmlns:r="http://schemas.openxmlformats.org/officeDocument/2006/relationships" ref="O207" r:id="rId201"/>
    <hyperlink xmlns:r="http://schemas.openxmlformats.org/officeDocument/2006/relationships" ref="N208" r:id="rId202"/>
    <hyperlink xmlns:r="http://schemas.openxmlformats.org/officeDocument/2006/relationships" ref="N209" r:id="rId203"/>
    <hyperlink xmlns:r="http://schemas.openxmlformats.org/officeDocument/2006/relationships" ref="O210" r:id="rId204"/>
    <hyperlink xmlns:r="http://schemas.openxmlformats.org/officeDocument/2006/relationships" ref="N211" r:id="rId205"/>
    <hyperlink xmlns:r="http://schemas.openxmlformats.org/officeDocument/2006/relationships" ref="O212" r:id="rId206"/>
    <hyperlink xmlns:r="http://schemas.openxmlformats.org/officeDocument/2006/relationships" ref="N213" r:id="rId207"/>
    <hyperlink xmlns:r="http://schemas.openxmlformats.org/officeDocument/2006/relationships" ref="N214" r:id="rId208"/>
    <hyperlink xmlns:r="http://schemas.openxmlformats.org/officeDocument/2006/relationships" ref="N215" r:id="rId209"/>
    <hyperlink xmlns:r="http://schemas.openxmlformats.org/officeDocument/2006/relationships" ref="N216" r:id="rId210"/>
    <hyperlink xmlns:r="http://schemas.openxmlformats.org/officeDocument/2006/relationships" ref="O217" r:id="rId211"/>
    <hyperlink xmlns:r="http://schemas.openxmlformats.org/officeDocument/2006/relationships" ref="O218" r:id="rId212"/>
    <hyperlink xmlns:r="http://schemas.openxmlformats.org/officeDocument/2006/relationships" ref="N219" r:id="rId213"/>
    <hyperlink xmlns:r="http://schemas.openxmlformats.org/officeDocument/2006/relationships" ref="O220" r:id="rId214"/>
    <hyperlink xmlns:r="http://schemas.openxmlformats.org/officeDocument/2006/relationships" ref="N221" r:id="rId215"/>
    <hyperlink xmlns:r="http://schemas.openxmlformats.org/officeDocument/2006/relationships" ref="N222" r:id="rId216"/>
    <hyperlink xmlns:r="http://schemas.openxmlformats.org/officeDocument/2006/relationships" ref="N223" r:id="rId217"/>
    <hyperlink xmlns:r="http://schemas.openxmlformats.org/officeDocument/2006/relationships" ref="N224" r:id="rId218"/>
    <hyperlink xmlns:r="http://schemas.openxmlformats.org/officeDocument/2006/relationships" ref="O225" r:id="rId219"/>
    <hyperlink xmlns:r="http://schemas.openxmlformats.org/officeDocument/2006/relationships" ref="N226" r:id="rId220"/>
    <hyperlink xmlns:r="http://schemas.openxmlformats.org/officeDocument/2006/relationships" ref="N227" r:id="rId221"/>
    <hyperlink xmlns:r="http://schemas.openxmlformats.org/officeDocument/2006/relationships" ref="N228" r:id="rId222"/>
    <hyperlink xmlns:r="http://schemas.openxmlformats.org/officeDocument/2006/relationships" ref="N229" r:id="rId223"/>
    <hyperlink xmlns:r="http://schemas.openxmlformats.org/officeDocument/2006/relationships" ref="O230" r:id="rId224"/>
    <hyperlink xmlns:r="http://schemas.openxmlformats.org/officeDocument/2006/relationships" ref="N231" r:id="rId225"/>
    <hyperlink xmlns:r="http://schemas.openxmlformats.org/officeDocument/2006/relationships" ref="N232" r:id="rId226"/>
    <hyperlink xmlns:r="http://schemas.openxmlformats.org/officeDocument/2006/relationships" ref="N233" r:id="rId227"/>
    <hyperlink xmlns:r="http://schemas.openxmlformats.org/officeDocument/2006/relationships" ref="N234" r:id="rId228"/>
    <hyperlink xmlns:r="http://schemas.openxmlformats.org/officeDocument/2006/relationships" ref="N235" r:id="rId229"/>
    <hyperlink xmlns:r="http://schemas.openxmlformats.org/officeDocument/2006/relationships" ref="O236" r:id="rId230"/>
    <hyperlink xmlns:r="http://schemas.openxmlformats.org/officeDocument/2006/relationships" ref="N237" r:id="rId231"/>
    <hyperlink xmlns:r="http://schemas.openxmlformats.org/officeDocument/2006/relationships" ref="O238" r:id="rId232"/>
    <hyperlink xmlns:r="http://schemas.openxmlformats.org/officeDocument/2006/relationships" ref="N239" r:id="rId233"/>
    <hyperlink xmlns:r="http://schemas.openxmlformats.org/officeDocument/2006/relationships" ref="N240" r:id="rId234"/>
    <hyperlink xmlns:r="http://schemas.openxmlformats.org/officeDocument/2006/relationships" ref="O241" r:id="rId235"/>
    <hyperlink xmlns:r="http://schemas.openxmlformats.org/officeDocument/2006/relationships" ref="N242" r:id="rId236"/>
    <hyperlink xmlns:r="http://schemas.openxmlformats.org/officeDocument/2006/relationships" ref="N243" r:id="rId237"/>
    <hyperlink xmlns:r="http://schemas.openxmlformats.org/officeDocument/2006/relationships" ref="N244" r:id="rId238"/>
    <hyperlink xmlns:r="http://schemas.openxmlformats.org/officeDocument/2006/relationships" ref="N245" r:id="rId239"/>
    <hyperlink xmlns:r="http://schemas.openxmlformats.org/officeDocument/2006/relationships" ref="N246" r:id="rId240"/>
    <hyperlink xmlns:r="http://schemas.openxmlformats.org/officeDocument/2006/relationships" ref="N247" r:id="rId241"/>
    <hyperlink xmlns:r="http://schemas.openxmlformats.org/officeDocument/2006/relationships" ref="N248" r:id="rId242"/>
    <hyperlink xmlns:r="http://schemas.openxmlformats.org/officeDocument/2006/relationships" ref="N249" r:id="rId243"/>
    <hyperlink xmlns:r="http://schemas.openxmlformats.org/officeDocument/2006/relationships" ref="N250" r:id="rId244"/>
    <hyperlink xmlns:r="http://schemas.openxmlformats.org/officeDocument/2006/relationships" ref="N251" r:id="rId245"/>
    <hyperlink xmlns:r="http://schemas.openxmlformats.org/officeDocument/2006/relationships" ref="N252" r:id="rId246"/>
    <hyperlink xmlns:r="http://schemas.openxmlformats.org/officeDocument/2006/relationships" ref="O253" r:id="rId247"/>
    <hyperlink xmlns:r="http://schemas.openxmlformats.org/officeDocument/2006/relationships" ref="N254" r:id="rId248"/>
    <hyperlink xmlns:r="http://schemas.openxmlformats.org/officeDocument/2006/relationships" ref="N255" r:id="rId249"/>
    <hyperlink xmlns:r="http://schemas.openxmlformats.org/officeDocument/2006/relationships" ref="N256" r:id="rId250"/>
    <hyperlink xmlns:r="http://schemas.openxmlformats.org/officeDocument/2006/relationships" ref="N257" r:id="rId251"/>
    <hyperlink xmlns:r="http://schemas.openxmlformats.org/officeDocument/2006/relationships" ref="N258" r:id="rId252"/>
    <hyperlink xmlns:r="http://schemas.openxmlformats.org/officeDocument/2006/relationships" ref="N259" r:id="rId253"/>
    <hyperlink xmlns:r="http://schemas.openxmlformats.org/officeDocument/2006/relationships" ref="N260" r:id="rId254"/>
    <hyperlink xmlns:r="http://schemas.openxmlformats.org/officeDocument/2006/relationships" ref="N261" r:id="rId255"/>
    <hyperlink xmlns:r="http://schemas.openxmlformats.org/officeDocument/2006/relationships" ref="N262" r:id="rId256"/>
    <hyperlink xmlns:r="http://schemas.openxmlformats.org/officeDocument/2006/relationships" ref="N263" r:id="rId257"/>
    <hyperlink xmlns:r="http://schemas.openxmlformats.org/officeDocument/2006/relationships" ref="N264" r:id="rId258"/>
    <hyperlink xmlns:r="http://schemas.openxmlformats.org/officeDocument/2006/relationships" ref="N265" r:id="rId259"/>
    <hyperlink xmlns:r="http://schemas.openxmlformats.org/officeDocument/2006/relationships" ref="N266" r:id="rId260"/>
    <hyperlink xmlns:r="http://schemas.openxmlformats.org/officeDocument/2006/relationships" ref="N267" r:id="rId261"/>
    <hyperlink xmlns:r="http://schemas.openxmlformats.org/officeDocument/2006/relationships" ref="N268" r:id="rId262"/>
    <hyperlink xmlns:r="http://schemas.openxmlformats.org/officeDocument/2006/relationships" ref="N269" r:id="rId263"/>
    <hyperlink xmlns:r="http://schemas.openxmlformats.org/officeDocument/2006/relationships" ref="N270" r:id="rId264"/>
    <hyperlink xmlns:r="http://schemas.openxmlformats.org/officeDocument/2006/relationships" ref="N271" r:id="rId265"/>
    <hyperlink xmlns:r="http://schemas.openxmlformats.org/officeDocument/2006/relationships" ref="N272" r:id="rId266"/>
    <hyperlink xmlns:r="http://schemas.openxmlformats.org/officeDocument/2006/relationships" ref="N273" r:id="rId267"/>
    <hyperlink xmlns:r="http://schemas.openxmlformats.org/officeDocument/2006/relationships" ref="N274" r:id="rId268"/>
    <hyperlink xmlns:r="http://schemas.openxmlformats.org/officeDocument/2006/relationships" ref="O275" r:id="rId269"/>
    <hyperlink xmlns:r="http://schemas.openxmlformats.org/officeDocument/2006/relationships" ref="N276" r:id="rId270"/>
    <hyperlink xmlns:r="http://schemas.openxmlformats.org/officeDocument/2006/relationships" ref="N277" r:id="rId271"/>
    <hyperlink xmlns:r="http://schemas.openxmlformats.org/officeDocument/2006/relationships" ref="N278" r:id="rId272"/>
    <hyperlink xmlns:r="http://schemas.openxmlformats.org/officeDocument/2006/relationships" ref="N279" r:id="rId273"/>
    <hyperlink xmlns:r="http://schemas.openxmlformats.org/officeDocument/2006/relationships" ref="N280" r:id="rId274"/>
    <hyperlink xmlns:r="http://schemas.openxmlformats.org/officeDocument/2006/relationships" ref="N281" r:id="rId275"/>
    <hyperlink xmlns:r="http://schemas.openxmlformats.org/officeDocument/2006/relationships" ref="N282" r:id="rId276"/>
    <hyperlink xmlns:r="http://schemas.openxmlformats.org/officeDocument/2006/relationships" ref="N283" r:id="rId277"/>
    <hyperlink xmlns:r="http://schemas.openxmlformats.org/officeDocument/2006/relationships" ref="O284" r:id="rId278"/>
    <hyperlink xmlns:r="http://schemas.openxmlformats.org/officeDocument/2006/relationships" ref="N285" r:id="rId279"/>
    <hyperlink xmlns:r="http://schemas.openxmlformats.org/officeDocument/2006/relationships" ref="N286" r:id="rId280"/>
    <hyperlink xmlns:r="http://schemas.openxmlformats.org/officeDocument/2006/relationships" ref="O287" r:id="rId281"/>
    <hyperlink xmlns:r="http://schemas.openxmlformats.org/officeDocument/2006/relationships" ref="N288" r:id="rId282"/>
    <hyperlink xmlns:r="http://schemas.openxmlformats.org/officeDocument/2006/relationships" ref="N289" r:id="rId283"/>
    <hyperlink xmlns:r="http://schemas.openxmlformats.org/officeDocument/2006/relationships" ref="N290" r:id="rId284"/>
    <hyperlink xmlns:r="http://schemas.openxmlformats.org/officeDocument/2006/relationships" ref="N291" r:id="rId285"/>
    <hyperlink xmlns:r="http://schemas.openxmlformats.org/officeDocument/2006/relationships" ref="N292" r:id="rId286"/>
    <hyperlink xmlns:r="http://schemas.openxmlformats.org/officeDocument/2006/relationships" ref="O293" r:id="rId287"/>
    <hyperlink xmlns:r="http://schemas.openxmlformats.org/officeDocument/2006/relationships" ref="N294" r:id="rId288"/>
    <hyperlink xmlns:r="http://schemas.openxmlformats.org/officeDocument/2006/relationships" ref="O295" r:id="rId289"/>
    <hyperlink xmlns:r="http://schemas.openxmlformats.org/officeDocument/2006/relationships" ref="N296" r:id="rId290"/>
    <hyperlink xmlns:r="http://schemas.openxmlformats.org/officeDocument/2006/relationships" ref="O297" r:id="rId291"/>
    <hyperlink xmlns:r="http://schemas.openxmlformats.org/officeDocument/2006/relationships" ref="N298" r:id="rId292"/>
    <hyperlink xmlns:r="http://schemas.openxmlformats.org/officeDocument/2006/relationships" ref="N299" r:id="rId293"/>
    <hyperlink xmlns:r="http://schemas.openxmlformats.org/officeDocument/2006/relationships" ref="N300" r:id="rId294"/>
    <hyperlink xmlns:r="http://schemas.openxmlformats.org/officeDocument/2006/relationships" ref="N301" r:id="rId295"/>
    <hyperlink xmlns:r="http://schemas.openxmlformats.org/officeDocument/2006/relationships" ref="N302" r:id="rId296"/>
    <hyperlink xmlns:r="http://schemas.openxmlformats.org/officeDocument/2006/relationships" ref="N303" r:id="rId297"/>
    <hyperlink xmlns:r="http://schemas.openxmlformats.org/officeDocument/2006/relationships" ref="O304" r:id="rId298"/>
    <hyperlink xmlns:r="http://schemas.openxmlformats.org/officeDocument/2006/relationships" ref="N305" r:id="rId299"/>
    <hyperlink xmlns:r="http://schemas.openxmlformats.org/officeDocument/2006/relationships" ref="N306" r:id="rId300"/>
    <hyperlink xmlns:r="http://schemas.openxmlformats.org/officeDocument/2006/relationships" ref="N307" r:id="rId301"/>
    <hyperlink xmlns:r="http://schemas.openxmlformats.org/officeDocument/2006/relationships" ref="N308" r:id="rId302"/>
    <hyperlink xmlns:r="http://schemas.openxmlformats.org/officeDocument/2006/relationships" ref="N309" r:id="rId303"/>
    <hyperlink xmlns:r="http://schemas.openxmlformats.org/officeDocument/2006/relationships" ref="N310" r:id="rId304"/>
    <hyperlink xmlns:r="http://schemas.openxmlformats.org/officeDocument/2006/relationships" ref="N311" r:id="rId305"/>
    <hyperlink xmlns:r="http://schemas.openxmlformats.org/officeDocument/2006/relationships" ref="N312" r:id="rId306"/>
    <hyperlink xmlns:r="http://schemas.openxmlformats.org/officeDocument/2006/relationships" ref="N313" r:id="rId307"/>
    <hyperlink xmlns:r="http://schemas.openxmlformats.org/officeDocument/2006/relationships" ref="N314" r:id="rId308"/>
    <hyperlink xmlns:r="http://schemas.openxmlformats.org/officeDocument/2006/relationships" ref="N315" r:id="rId309"/>
    <hyperlink xmlns:r="http://schemas.openxmlformats.org/officeDocument/2006/relationships" ref="N316" r:id="rId310"/>
    <hyperlink xmlns:r="http://schemas.openxmlformats.org/officeDocument/2006/relationships" ref="N317" r:id="rId311"/>
    <hyperlink xmlns:r="http://schemas.openxmlformats.org/officeDocument/2006/relationships" ref="N318" r:id="rId312"/>
    <hyperlink xmlns:r="http://schemas.openxmlformats.org/officeDocument/2006/relationships" ref="N319" r:id="rId313"/>
    <hyperlink xmlns:r="http://schemas.openxmlformats.org/officeDocument/2006/relationships" ref="N320" r:id="rId314"/>
    <hyperlink xmlns:r="http://schemas.openxmlformats.org/officeDocument/2006/relationships" ref="N321" r:id="rId315"/>
    <hyperlink xmlns:r="http://schemas.openxmlformats.org/officeDocument/2006/relationships" ref="N322" r:id="rId316"/>
    <hyperlink xmlns:r="http://schemas.openxmlformats.org/officeDocument/2006/relationships" ref="N323" r:id="rId317"/>
    <hyperlink xmlns:r="http://schemas.openxmlformats.org/officeDocument/2006/relationships" ref="N324" r:id="rId318"/>
    <hyperlink xmlns:r="http://schemas.openxmlformats.org/officeDocument/2006/relationships" ref="N325" r:id="rId319"/>
    <hyperlink xmlns:r="http://schemas.openxmlformats.org/officeDocument/2006/relationships" ref="N326" r:id="rId320"/>
    <hyperlink xmlns:r="http://schemas.openxmlformats.org/officeDocument/2006/relationships" ref="O327" r:id="rId321"/>
    <hyperlink xmlns:r="http://schemas.openxmlformats.org/officeDocument/2006/relationships" ref="N328" r:id="rId322"/>
    <hyperlink xmlns:r="http://schemas.openxmlformats.org/officeDocument/2006/relationships" ref="N329" r:id="rId323"/>
    <hyperlink xmlns:r="http://schemas.openxmlformats.org/officeDocument/2006/relationships" ref="N330" r:id="rId324"/>
    <hyperlink xmlns:r="http://schemas.openxmlformats.org/officeDocument/2006/relationships" ref="N331" r:id="rId325"/>
    <hyperlink xmlns:r="http://schemas.openxmlformats.org/officeDocument/2006/relationships" ref="N332" r:id="rId326"/>
    <hyperlink xmlns:r="http://schemas.openxmlformats.org/officeDocument/2006/relationships" ref="N333" r:id="rId327"/>
    <hyperlink xmlns:r="http://schemas.openxmlformats.org/officeDocument/2006/relationships" ref="O334" r:id="rId328"/>
    <hyperlink xmlns:r="http://schemas.openxmlformats.org/officeDocument/2006/relationships" ref="N335" r:id="rId329"/>
    <hyperlink xmlns:r="http://schemas.openxmlformats.org/officeDocument/2006/relationships" ref="N336" r:id="rId330"/>
    <hyperlink xmlns:r="http://schemas.openxmlformats.org/officeDocument/2006/relationships" ref="N337" r:id="rId331"/>
    <hyperlink xmlns:r="http://schemas.openxmlformats.org/officeDocument/2006/relationships" ref="N338" r:id="rId332"/>
    <hyperlink xmlns:r="http://schemas.openxmlformats.org/officeDocument/2006/relationships" ref="N339" r:id="rId333"/>
    <hyperlink xmlns:r="http://schemas.openxmlformats.org/officeDocument/2006/relationships" ref="N340" r:id="rId334"/>
    <hyperlink xmlns:r="http://schemas.openxmlformats.org/officeDocument/2006/relationships" ref="N341" r:id="rId335"/>
    <hyperlink xmlns:r="http://schemas.openxmlformats.org/officeDocument/2006/relationships" ref="N342" r:id="rId336"/>
    <hyperlink xmlns:r="http://schemas.openxmlformats.org/officeDocument/2006/relationships" ref="N343" r:id="rId337"/>
    <hyperlink xmlns:r="http://schemas.openxmlformats.org/officeDocument/2006/relationships" ref="O344" r:id="rId338"/>
    <hyperlink xmlns:r="http://schemas.openxmlformats.org/officeDocument/2006/relationships" ref="N345" r:id="rId339"/>
    <hyperlink xmlns:r="http://schemas.openxmlformats.org/officeDocument/2006/relationships" ref="N346" r:id="rId340"/>
    <hyperlink xmlns:r="http://schemas.openxmlformats.org/officeDocument/2006/relationships" ref="N347" r:id="rId341"/>
    <hyperlink xmlns:r="http://schemas.openxmlformats.org/officeDocument/2006/relationships" ref="N348" r:id="rId342"/>
    <hyperlink xmlns:r="http://schemas.openxmlformats.org/officeDocument/2006/relationships" ref="N349" r:id="rId343"/>
    <hyperlink xmlns:r="http://schemas.openxmlformats.org/officeDocument/2006/relationships" ref="N350" r:id="rId344"/>
    <hyperlink xmlns:r="http://schemas.openxmlformats.org/officeDocument/2006/relationships" ref="N351" r:id="rId345"/>
    <hyperlink xmlns:r="http://schemas.openxmlformats.org/officeDocument/2006/relationships" ref="N352" r:id="rId346"/>
    <hyperlink xmlns:r="http://schemas.openxmlformats.org/officeDocument/2006/relationships" ref="N353" r:id="rId347"/>
    <hyperlink xmlns:r="http://schemas.openxmlformats.org/officeDocument/2006/relationships" ref="N354" r:id="rId348"/>
    <hyperlink xmlns:r="http://schemas.openxmlformats.org/officeDocument/2006/relationships" ref="N355" r:id="rId349"/>
    <hyperlink xmlns:r="http://schemas.openxmlformats.org/officeDocument/2006/relationships" ref="N356" r:id="rId350"/>
    <hyperlink xmlns:r="http://schemas.openxmlformats.org/officeDocument/2006/relationships" ref="N357" r:id="rId351"/>
    <hyperlink xmlns:r="http://schemas.openxmlformats.org/officeDocument/2006/relationships" ref="N358" r:id="rId352"/>
    <hyperlink xmlns:r="http://schemas.openxmlformats.org/officeDocument/2006/relationships" ref="N359" r:id="rId353"/>
    <hyperlink xmlns:r="http://schemas.openxmlformats.org/officeDocument/2006/relationships" ref="N360" r:id="rId354"/>
    <hyperlink xmlns:r="http://schemas.openxmlformats.org/officeDocument/2006/relationships" ref="N361" r:id="rId355"/>
    <hyperlink xmlns:r="http://schemas.openxmlformats.org/officeDocument/2006/relationships" ref="N362" r:id="rId356"/>
    <hyperlink xmlns:r="http://schemas.openxmlformats.org/officeDocument/2006/relationships" ref="N363" r:id="rId357"/>
    <hyperlink xmlns:r="http://schemas.openxmlformats.org/officeDocument/2006/relationships" ref="N364" r:id="rId358"/>
    <hyperlink xmlns:r="http://schemas.openxmlformats.org/officeDocument/2006/relationships" ref="N365" r:id="rId359"/>
    <hyperlink xmlns:r="http://schemas.openxmlformats.org/officeDocument/2006/relationships" ref="N366" r:id="rId360"/>
    <hyperlink xmlns:r="http://schemas.openxmlformats.org/officeDocument/2006/relationships" ref="N367" r:id="rId361"/>
    <hyperlink xmlns:r="http://schemas.openxmlformats.org/officeDocument/2006/relationships" ref="N368" r:id="rId362"/>
    <hyperlink xmlns:r="http://schemas.openxmlformats.org/officeDocument/2006/relationships" ref="N369" r:id="rId363"/>
    <hyperlink xmlns:r="http://schemas.openxmlformats.org/officeDocument/2006/relationships" ref="N370" r:id="rId364"/>
    <hyperlink xmlns:r="http://schemas.openxmlformats.org/officeDocument/2006/relationships" ref="N371" r:id="rId365"/>
    <hyperlink xmlns:r="http://schemas.openxmlformats.org/officeDocument/2006/relationships" ref="N372" r:id="rId366"/>
    <hyperlink xmlns:r="http://schemas.openxmlformats.org/officeDocument/2006/relationships" ref="N373" r:id="rId367"/>
    <hyperlink xmlns:r="http://schemas.openxmlformats.org/officeDocument/2006/relationships" ref="N374" r:id="rId368"/>
    <hyperlink xmlns:r="http://schemas.openxmlformats.org/officeDocument/2006/relationships" ref="N375" r:id="rId369"/>
    <hyperlink xmlns:r="http://schemas.openxmlformats.org/officeDocument/2006/relationships" ref="N376" r:id="rId370"/>
    <hyperlink xmlns:r="http://schemas.openxmlformats.org/officeDocument/2006/relationships" ref="N377" r:id="rId371"/>
    <hyperlink xmlns:r="http://schemas.openxmlformats.org/officeDocument/2006/relationships" ref="N378" r:id="rId372"/>
    <hyperlink xmlns:r="http://schemas.openxmlformats.org/officeDocument/2006/relationships" ref="N379" r:id="rId373"/>
    <hyperlink xmlns:r="http://schemas.openxmlformats.org/officeDocument/2006/relationships" ref="N380" r:id="rId374"/>
    <hyperlink xmlns:r="http://schemas.openxmlformats.org/officeDocument/2006/relationships" ref="N381" r:id="rId375"/>
    <hyperlink xmlns:r="http://schemas.openxmlformats.org/officeDocument/2006/relationships" ref="N382" r:id="rId376"/>
    <hyperlink xmlns:r="http://schemas.openxmlformats.org/officeDocument/2006/relationships" ref="N383" r:id="rId377"/>
    <hyperlink xmlns:r="http://schemas.openxmlformats.org/officeDocument/2006/relationships" ref="N384" r:id="rId378"/>
    <hyperlink xmlns:r="http://schemas.openxmlformats.org/officeDocument/2006/relationships" ref="N385" r:id="rId379"/>
    <hyperlink xmlns:r="http://schemas.openxmlformats.org/officeDocument/2006/relationships" ref="N386" r:id="rId380"/>
    <hyperlink xmlns:r="http://schemas.openxmlformats.org/officeDocument/2006/relationships" ref="N387" r:id="rId381"/>
    <hyperlink xmlns:r="http://schemas.openxmlformats.org/officeDocument/2006/relationships" ref="N388" r:id="rId382"/>
    <hyperlink xmlns:r="http://schemas.openxmlformats.org/officeDocument/2006/relationships" ref="O389" r:id="rId383"/>
    <hyperlink xmlns:r="http://schemas.openxmlformats.org/officeDocument/2006/relationships" ref="N390" r:id="rId384"/>
    <hyperlink xmlns:r="http://schemas.openxmlformats.org/officeDocument/2006/relationships" ref="N391" r:id="rId385"/>
    <hyperlink xmlns:r="http://schemas.openxmlformats.org/officeDocument/2006/relationships" ref="N392" r:id="rId386"/>
    <hyperlink xmlns:r="http://schemas.openxmlformats.org/officeDocument/2006/relationships" ref="N393" r:id="rId387"/>
    <hyperlink xmlns:r="http://schemas.openxmlformats.org/officeDocument/2006/relationships" ref="O394" r:id="rId388"/>
    <hyperlink xmlns:r="http://schemas.openxmlformats.org/officeDocument/2006/relationships" ref="N395" r:id="rId389"/>
    <hyperlink xmlns:r="http://schemas.openxmlformats.org/officeDocument/2006/relationships" ref="N396" r:id="rId390"/>
    <hyperlink xmlns:r="http://schemas.openxmlformats.org/officeDocument/2006/relationships" ref="N397" r:id="rId391"/>
    <hyperlink xmlns:r="http://schemas.openxmlformats.org/officeDocument/2006/relationships" ref="N398" r:id="rId392"/>
    <hyperlink xmlns:r="http://schemas.openxmlformats.org/officeDocument/2006/relationships" ref="N399" r:id="rId393"/>
    <hyperlink xmlns:r="http://schemas.openxmlformats.org/officeDocument/2006/relationships" ref="N400" r:id="rId394"/>
    <hyperlink xmlns:r="http://schemas.openxmlformats.org/officeDocument/2006/relationships" ref="N401" r:id="rId395"/>
    <hyperlink xmlns:r="http://schemas.openxmlformats.org/officeDocument/2006/relationships" ref="N402" r:id="rId396"/>
    <hyperlink xmlns:r="http://schemas.openxmlformats.org/officeDocument/2006/relationships" ref="N403" r:id="rId397"/>
    <hyperlink xmlns:r="http://schemas.openxmlformats.org/officeDocument/2006/relationships" ref="N404" r:id="rId398"/>
    <hyperlink xmlns:r="http://schemas.openxmlformats.org/officeDocument/2006/relationships" ref="O405" r:id="rId399"/>
    <hyperlink xmlns:r="http://schemas.openxmlformats.org/officeDocument/2006/relationships" ref="O406" r:id="rId400"/>
    <hyperlink xmlns:r="http://schemas.openxmlformats.org/officeDocument/2006/relationships" ref="N407" r:id="rId401"/>
    <hyperlink xmlns:r="http://schemas.openxmlformats.org/officeDocument/2006/relationships" ref="N408" r:id="rId402"/>
    <hyperlink xmlns:r="http://schemas.openxmlformats.org/officeDocument/2006/relationships" ref="O409" r:id="rId403"/>
    <hyperlink xmlns:r="http://schemas.openxmlformats.org/officeDocument/2006/relationships" ref="N410" r:id="rId404"/>
    <hyperlink xmlns:r="http://schemas.openxmlformats.org/officeDocument/2006/relationships" ref="N411" r:id="rId405"/>
    <hyperlink xmlns:r="http://schemas.openxmlformats.org/officeDocument/2006/relationships" ref="N412" r:id="rId406"/>
    <hyperlink xmlns:r="http://schemas.openxmlformats.org/officeDocument/2006/relationships" ref="N413" r:id="rId407"/>
    <hyperlink xmlns:r="http://schemas.openxmlformats.org/officeDocument/2006/relationships" ref="N414" r:id="rId408"/>
    <hyperlink xmlns:r="http://schemas.openxmlformats.org/officeDocument/2006/relationships" ref="N415" r:id="rId409"/>
    <hyperlink xmlns:r="http://schemas.openxmlformats.org/officeDocument/2006/relationships" ref="N416" r:id="rId410"/>
    <hyperlink xmlns:r="http://schemas.openxmlformats.org/officeDocument/2006/relationships" ref="N417" r:id="rId411"/>
    <hyperlink xmlns:r="http://schemas.openxmlformats.org/officeDocument/2006/relationships" ref="O418" r:id="rId412"/>
    <hyperlink xmlns:r="http://schemas.openxmlformats.org/officeDocument/2006/relationships" ref="O419" r:id="rId413"/>
    <hyperlink xmlns:r="http://schemas.openxmlformats.org/officeDocument/2006/relationships" ref="N420" r:id="rId414"/>
    <hyperlink xmlns:r="http://schemas.openxmlformats.org/officeDocument/2006/relationships" ref="N421" r:id="rId415"/>
    <hyperlink xmlns:r="http://schemas.openxmlformats.org/officeDocument/2006/relationships" ref="N422" r:id="rId416"/>
    <hyperlink xmlns:r="http://schemas.openxmlformats.org/officeDocument/2006/relationships" ref="N423" r:id="rId417"/>
    <hyperlink xmlns:r="http://schemas.openxmlformats.org/officeDocument/2006/relationships" ref="N424" r:id="rId418"/>
    <hyperlink xmlns:r="http://schemas.openxmlformats.org/officeDocument/2006/relationships" ref="N425" r:id="rId419"/>
    <hyperlink xmlns:r="http://schemas.openxmlformats.org/officeDocument/2006/relationships" ref="O426" r:id="rId420"/>
    <hyperlink xmlns:r="http://schemas.openxmlformats.org/officeDocument/2006/relationships" ref="N427" r:id="rId421"/>
    <hyperlink xmlns:r="http://schemas.openxmlformats.org/officeDocument/2006/relationships" ref="N428" r:id="rId422"/>
    <hyperlink xmlns:r="http://schemas.openxmlformats.org/officeDocument/2006/relationships" ref="N429" r:id="rId423"/>
    <hyperlink xmlns:r="http://schemas.openxmlformats.org/officeDocument/2006/relationships" ref="N430" r:id="rId424"/>
    <hyperlink xmlns:r="http://schemas.openxmlformats.org/officeDocument/2006/relationships" ref="N431" r:id="rId425"/>
    <hyperlink xmlns:r="http://schemas.openxmlformats.org/officeDocument/2006/relationships" ref="N432" r:id="rId426"/>
    <hyperlink xmlns:r="http://schemas.openxmlformats.org/officeDocument/2006/relationships" ref="N433" r:id="rId427"/>
    <hyperlink xmlns:r="http://schemas.openxmlformats.org/officeDocument/2006/relationships" ref="N434" r:id="rId428"/>
    <hyperlink xmlns:r="http://schemas.openxmlformats.org/officeDocument/2006/relationships" ref="O435" r:id="rId429"/>
    <hyperlink xmlns:r="http://schemas.openxmlformats.org/officeDocument/2006/relationships" ref="N436" r:id="rId430"/>
    <hyperlink xmlns:r="http://schemas.openxmlformats.org/officeDocument/2006/relationships" ref="N437" r:id="rId431"/>
    <hyperlink xmlns:r="http://schemas.openxmlformats.org/officeDocument/2006/relationships" ref="N438" r:id="rId432"/>
    <hyperlink xmlns:r="http://schemas.openxmlformats.org/officeDocument/2006/relationships" ref="N439" r:id="rId433"/>
    <hyperlink xmlns:r="http://schemas.openxmlformats.org/officeDocument/2006/relationships" ref="N440" r:id="rId434"/>
    <hyperlink xmlns:r="http://schemas.openxmlformats.org/officeDocument/2006/relationships" ref="N441" r:id="rId435"/>
    <hyperlink xmlns:r="http://schemas.openxmlformats.org/officeDocument/2006/relationships" ref="N442" r:id="rId436"/>
    <hyperlink xmlns:r="http://schemas.openxmlformats.org/officeDocument/2006/relationships" ref="O443" r:id="rId437"/>
    <hyperlink xmlns:r="http://schemas.openxmlformats.org/officeDocument/2006/relationships" ref="N444" r:id="rId438"/>
    <hyperlink xmlns:r="http://schemas.openxmlformats.org/officeDocument/2006/relationships" ref="N445" r:id="rId439"/>
    <hyperlink xmlns:r="http://schemas.openxmlformats.org/officeDocument/2006/relationships" ref="N446" r:id="rId440"/>
    <hyperlink xmlns:r="http://schemas.openxmlformats.org/officeDocument/2006/relationships" ref="O447" r:id="rId441"/>
    <hyperlink xmlns:r="http://schemas.openxmlformats.org/officeDocument/2006/relationships" ref="N448" r:id="rId442"/>
    <hyperlink xmlns:r="http://schemas.openxmlformats.org/officeDocument/2006/relationships" ref="N449" r:id="rId443"/>
    <hyperlink xmlns:r="http://schemas.openxmlformats.org/officeDocument/2006/relationships" ref="O450" r:id="rId444"/>
    <hyperlink xmlns:r="http://schemas.openxmlformats.org/officeDocument/2006/relationships" ref="N451" r:id="rId445"/>
    <hyperlink xmlns:r="http://schemas.openxmlformats.org/officeDocument/2006/relationships" ref="N452" r:id="rId446"/>
    <hyperlink xmlns:r="http://schemas.openxmlformats.org/officeDocument/2006/relationships" ref="N453" r:id="rId447"/>
    <hyperlink xmlns:r="http://schemas.openxmlformats.org/officeDocument/2006/relationships" ref="N454" r:id="rId448"/>
    <hyperlink xmlns:r="http://schemas.openxmlformats.org/officeDocument/2006/relationships" ref="N455" r:id="rId449"/>
    <hyperlink xmlns:r="http://schemas.openxmlformats.org/officeDocument/2006/relationships" ref="N456" r:id="rId450"/>
    <hyperlink xmlns:r="http://schemas.openxmlformats.org/officeDocument/2006/relationships" ref="N457" r:id="rId451"/>
    <hyperlink xmlns:r="http://schemas.openxmlformats.org/officeDocument/2006/relationships" ref="N458" r:id="rId452"/>
    <hyperlink xmlns:r="http://schemas.openxmlformats.org/officeDocument/2006/relationships" ref="N459" r:id="rId453"/>
    <hyperlink xmlns:r="http://schemas.openxmlformats.org/officeDocument/2006/relationships" ref="O460" r:id="rId454"/>
    <hyperlink xmlns:r="http://schemas.openxmlformats.org/officeDocument/2006/relationships" ref="N461" r:id="rId455"/>
    <hyperlink xmlns:r="http://schemas.openxmlformats.org/officeDocument/2006/relationships" ref="O462" r:id="rId456"/>
    <hyperlink xmlns:r="http://schemas.openxmlformats.org/officeDocument/2006/relationships" ref="N463" r:id="rId457"/>
    <hyperlink xmlns:r="http://schemas.openxmlformats.org/officeDocument/2006/relationships" ref="N464" r:id="rId458"/>
    <hyperlink xmlns:r="http://schemas.openxmlformats.org/officeDocument/2006/relationships" ref="N465" r:id="rId459"/>
    <hyperlink xmlns:r="http://schemas.openxmlformats.org/officeDocument/2006/relationships" ref="N466" r:id="rId460"/>
    <hyperlink xmlns:r="http://schemas.openxmlformats.org/officeDocument/2006/relationships" ref="N467" r:id="rId461"/>
    <hyperlink xmlns:r="http://schemas.openxmlformats.org/officeDocument/2006/relationships" ref="N468" r:id="rId462"/>
    <hyperlink xmlns:r="http://schemas.openxmlformats.org/officeDocument/2006/relationships" ref="N469" r:id="rId463"/>
    <hyperlink xmlns:r="http://schemas.openxmlformats.org/officeDocument/2006/relationships" ref="N470" r:id="rId464"/>
    <hyperlink xmlns:r="http://schemas.openxmlformats.org/officeDocument/2006/relationships" ref="N471" r:id="rId465"/>
    <hyperlink xmlns:r="http://schemas.openxmlformats.org/officeDocument/2006/relationships" ref="N472" r:id="rId466"/>
    <hyperlink xmlns:r="http://schemas.openxmlformats.org/officeDocument/2006/relationships" ref="N473" r:id="rId467"/>
    <hyperlink xmlns:r="http://schemas.openxmlformats.org/officeDocument/2006/relationships" ref="N474" r:id="rId468"/>
    <hyperlink xmlns:r="http://schemas.openxmlformats.org/officeDocument/2006/relationships" ref="N475" r:id="rId469"/>
    <hyperlink xmlns:r="http://schemas.openxmlformats.org/officeDocument/2006/relationships" ref="N476" r:id="rId470"/>
    <hyperlink xmlns:r="http://schemas.openxmlformats.org/officeDocument/2006/relationships" ref="N477" r:id="rId471"/>
    <hyperlink xmlns:r="http://schemas.openxmlformats.org/officeDocument/2006/relationships" ref="N478" r:id="rId472"/>
    <hyperlink xmlns:r="http://schemas.openxmlformats.org/officeDocument/2006/relationships" ref="N479" r:id="rId473"/>
    <hyperlink xmlns:r="http://schemas.openxmlformats.org/officeDocument/2006/relationships" ref="N480" r:id="rId474"/>
    <hyperlink xmlns:r="http://schemas.openxmlformats.org/officeDocument/2006/relationships" ref="N481" r:id="rId475"/>
    <hyperlink xmlns:r="http://schemas.openxmlformats.org/officeDocument/2006/relationships" ref="N482" r:id="rId476"/>
    <hyperlink xmlns:r="http://schemas.openxmlformats.org/officeDocument/2006/relationships" ref="N483" r:id="rId477"/>
    <hyperlink xmlns:r="http://schemas.openxmlformats.org/officeDocument/2006/relationships" ref="N484" r:id="rId478"/>
    <hyperlink xmlns:r="http://schemas.openxmlformats.org/officeDocument/2006/relationships" ref="N485" r:id="rId479"/>
    <hyperlink xmlns:r="http://schemas.openxmlformats.org/officeDocument/2006/relationships" ref="N486" r:id="rId480"/>
    <hyperlink xmlns:r="http://schemas.openxmlformats.org/officeDocument/2006/relationships" ref="N487" r:id="rId481"/>
    <hyperlink xmlns:r="http://schemas.openxmlformats.org/officeDocument/2006/relationships" ref="N488" r:id="rId482"/>
    <hyperlink xmlns:r="http://schemas.openxmlformats.org/officeDocument/2006/relationships" ref="N489" r:id="rId483"/>
    <hyperlink xmlns:r="http://schemas.openxmlformats.org/officeDocument/2006/relationships" ref="N490" r:id="rId484"/>
    <hyperlink xmlns:r="http://schemas.openxmlformats.org/officeDocument/2006/relationships" ref="N491" r:id="rId485"/>
    <hyperlink xmlns:r="http://schemas.openxmlformats.org/officeDocument/2006/relationships" ref="N492" r:id="rId486"/>
    <hyperlink xmlns:r="http://schemas.openxmlformats.org/officeDocument/2006/relationships" ref="N493" r:id="rId487"/>
    <hyperlink xmlns:r="http://schemas.openxmlformats.org/officeDocument/2006/relationships" ref="O494" r:id="rId488"/>
    <hyperlink xmlns:r="http://schemas.openxmlformats.org/officeDocument/2006/relationships" ref="N495" r:id="rId489"/>
    <hyperlink xmlns:r="http://schemas.openxmlformats.org/officeDocument/2006/relationships" ref="N496" r:id="rId490"/>
    <hyperlink xmlns:r="http://schemas.openxmlformats.org/officeDocument/2006/relationships" ref="N497" r:id="rId491"/>
    <hyperlink xmlns:r="http://schemas.openxmlformats.org/officeDocument/2006/relationships" ref="N498" r:id="rId492"/>
    <hyperlink xmlns:r="http://schemas.openxmlformats.org/officeDocument/2006/relationships" ref="N499" r:id="rId493"/>
    <hyperlink xmlns:r="http://schemas.openxmlformats.org/officeDocument/2006/relationships" ref="N500" r:id="rId494"/>
    <hyperlink xmlns:r="http://schemas.openxmlformats.org/officeDocument/2006/relationships" ref="N501" r:id="rId495"/>
    <hyperlink xmlns:r="http://schemas.openxmlformats.org/officeDocument/2006/relationships" ref="N502" r:id="rId496"/>
    <hyperlink xmlns:r="http://schemas.openxmlformats.org/officeDocument/2006/relationships" ref="N503" r:id="rId497"/>
    <hyperlink xmlns:r="http://schemas.openxmlformats.org/officeDocument/2006/relationships" ref="N504" r:id="rId498"/>
    <hyperlink xmlns:r="http://schemas.openxmlformats.org/officeDocument/2006/relationships" ref="N505" r:id="rId499"/>
    <hyperlink xmlns:r="http://schemas.openxmlformats.org/officeDocument/2006/relationships" ref="N506" r:id="rId500"/>
    <hyperlink xmlns:r="http://schemas.openxmlformats.org/officeDocument/2006/relationships" ref="N507" r:id="rId501"/>
    <hyperlink xmlns:r="http://schemas.openxmlformats.org/officeDocument/2006/relationships" ref="N508" r:id="rId502"/>
    <hyperlink xmlns:r="http://schemas.openxmlformats.org/officeDocument/2006/relationships" ref="N509" r:id="rId503"/>
    <hyperlink xmlns:r="http://schemas.openxmlformats.org/officeDocument/2006/relationships" ref="N510" r:id="rId504"/>
    <hyperlink xmlns:r="http://schemas.openxmlformats.org/officeDocument/2006/relationships" ref="N511" r:id="rId505"/>
    <hyperlink xmlns:r="http://schemas.openxmlformats.org/officeDocument/2006/relationships" ref="N512" r:id="rId506"/>
    <hyperlink xmlns:r="http://schemas.openxmlformats.org/officeDocument/2006/relationships" ref="N513" r:id="rId507"/>
    <hyperlink xmlns:r="http://schemas.openxmlformats.org/officeDocument/2006/relationships" ref="N514" r:id="rId508"/>
    <hyperlink xmlns:r="http://schemas.openxmlformats.org/officeDocument/2006/relationships" ref="N515" r:id="rId509"/>
    <hyperlink xmlns:r="http://schemas.openxmlformats.org/officeDocument/2006/relationships" ref="N516" r:id="rId510"/>
    <hyperlink xmlns:r="http://schemas.openxmlformats.org/officeDocument/2006/relationships" ref="N517" r:id="rId511"/>
    <hyperlink xmlns:r="http://schemas.openxmlformats.org/officeDocument/2006/relationships" ref="N518" r:id="rId512"/>
    <hyperlink xmlns:r="http://schemas.openxmlformats.org/officeDocument/2006/relationships" ref="N519" r:id="rId513"/>
    <hyperlink xmlns:r="http://schemas.openxmlformats.org/officeDocument/2006/relationships" ref="N520" r:id="rId514"/>
    <hyperlink xmlns:r="http://schemas.openxmlformats.org/officeDocument/2006/relationships" ref="N521" r:id="rId515"/>
    <hyperlink xmlns:r="http://schemas.openxmlformats.org/officeDocument/2006/relationships" ref="N522" r:id="rId516"/>
    <hyperlink xmlns:r="http://schemas.openxmlformats.org/officeDocument/2006/relationships" ref="N523" r:id="rId517"/>
    <hyperlink xmlns:r="http://schemas.openxmlformats.org/officeDocument/2006/relationships" ref="N524" r:id="rId518"/>
    <hyperlink xmlns:r="http://schemas.openxmlformats.org/officeDocument/2006/relationships" ref="N525" r:id="rId519"/>
    <hyperlink xmlns:r="http://schemas.openxmlformats.org/officeDocument/2006/relationships" ref="N526" r:id="rId520"/>
    <hyperlink xmlns:r="http://schemas.openxmlformats.org/officeDocument/2006/relationships" ref="N527" r:id="rId521"/>
    <hyperlink xmlns:r="http://schemas.openxmlformats.org/officeDocument/2006/relationships" ref="N528" r:id="rId522"/>
    <hyperlink xmlns:r="http://schemas.openxmlformats.org/officeDocument/2006/relationships" ref="N529" r:id="rId523"/>
    <hyperlink xmlns:r="http://schemas.openxmlformats.org/officeDocument/2006/relationships" ref="N530" r:id="rId524"/>
    <hyperlink xmlns:r="http://schemas.openxmlformats.org/officeDocument/2006/relationships" ref="N531" r:id="rId525"/>
    <hyperlink xmlns:r="http://schemas.openxmlformats.org/officeDocument/2006/relationships" ref="N532" r:id="rId526"/>
    <hyperlink xmlns:r="http://schemas.openxmlformats.org/officeDocument/2006/relationships" ref="N533" r:id="rId527"/>
    <hyperlink xmlns:r="http://schemas.openxmlformats.org/officeDocument/2006/relationships" ref="N534" r:id="rId528"/>
    <hyperlink xmlns:r="http://schemas.openxmlformats.org/officeDocument/2006/relationships" ref="N535" r:id="rId529"/>
    <hyperlink xmlns:r="http://schemas.openxmlformats.org/officeDocument/2006/relationships" ref="N536" r:id="rId530"/>
    <hyperlink xmlns:r="http://schemas.openxmlformats.org/officeDocument/2006/relationships" ref="N537" r:id="rId531"/>
    <hyperlink xmlns:r="http://schemas.openxmlformats.org/officeDocument/2006/relationships" ref="N538" r:id="rId532"/>
    <hyperlink xmlns:r="http://schemas.openxmlformats.org/officeDocument/2006/relationships" ref="N539" r:id="rId533"/>
    <hyperlink xmlns:r="http://schemas.openxmlformats.org/officeDocument/2006/relationships" ref="N540" r:id="rId534"/>
    <hyperlink xmlns:r="http://schemas.openxmlformats.org/officeDocument/2006/relationships" ref="N541" r:id="rId535"/>
    <hyperlink xmlns:r="http://schemas.openxmlformats.org/officeDocument/2006/relationships" ref="N542" r:id="rId536"/>
    <hyperlink xmlns:r="http://schemas.openxmlformats.org/officeDocument/2006/relationships" ref="N543" r:id="rId537"/>
    <hyperlink xmlns:r="http://schemas.openxmlformats.org/officeDocument/2006/relationships" ref="N544" r:id="rId538"/>
    <hyperlink xmlns:r="http://schemas.openxmlformats.org/officeDocument/2006/relationships" ref="N545" r:id="rId539"/>
    <hyperlink xmlns:r="http://schemas.openxmlformats.org/officeDocument/2006/relationships" ref="N546" r:id="rId540"/>
    <hyperlink xmlns:r="http://schemas.openxmlformats.org/officeDocument/2006/relationships" ref="N547" r:id="rId541"/>
    <hyperlink xmlns:r="http://schemas.openxmlformats.org/officeDocument/2006/relationships" ref="N548" r:id="rId542"/>
    <hyperlink xmlns:r="http://schemas.openxmlformats.org/officeDocument/2006/relationships" ref="O549" r:id="rId543"/>
    <hyperlink xmlns:r="http://schemas.openxmlformats.org/officeDocument/2006/relationships" ref="N550" r:id="rId544"/>
    <hyperlink xmlns:r="http://schemas.openxmlformats.org/officeDocument/2006/relationships" ref="N551" r:id="rId545"/>
    <hyperlink xmlns:r="http://schemas.openxmlformats.org/officeDocument/2006/relationships" ref="O552" r:id="rId546"/>
    <hyperlink xmlns:r="http://schemas.openxmlformats.org/officeDocument/2006/relationships" ref="N553" r:id="rId547"/>
    <hyperlink xmlns:r="http://schemas.openxmlformats.org/officeDocument/2006/relationships" ref="N554" r:id="rId548"/>
    <hyperlink xmlns:r="http://schemas.openxmlformats.org/officeDocument/2006/relationships" ref="N555" r:id="rId549"/>
    <hyperlink xmlns:r="http://schemas.openxmlformats.org/officeDocument/2006/relationships" ref="N556" r:id="rId550"/>
    <hyperlink xmlns:r="http://schemas.openxmlformats.org/officeDocument/2006/relationships" ref="N557" r:id="rId551"/>
    <hyperlink xmlns:r="http://schemas.openxmlformats.org/officeDocument/2006/relationships" ref="N558" r:id="rId552"/>
    <hyperlink xmlns:r="http://schemas.openxmlformats.org/officeDocument/2006/relationships" ref="N559" r:id="rId553"/>
    <hyperlink xmlns:r="http://schemas.openxmlformats.org/officeDocument/2006/relationships" ref="N560" r:id="rId554"/>
    <hyperlink xmlns:r="http://schemas.openxmlformats.org/officeDocument/2006/relationships" ref="N561" r:id="rId555"/>
    <hyperlink xmlns:r="http://schemas.openxmlformats.org/officeDocument/2006/relationships" ref="N562" r:id="rId556"/>
    <hyperlink xmlns:r="http://schemas.openxmlformats.org/officeDocument/2006/relationships" ref="O563" r:id="rId557"/>
    <hyperlink xmlns:r="http://schemas.openxmlformats.org/officeDocument/2006/relationships" ref="N564" r:id="rId558"/>
    <hyperlink xmlns:r="http://schemas.openxmlformats.org/officeDocument/2006/relationships" ref="O565" r:id="rId559"/>
    <hyperlink xmlns:r="http://schemas.openxmlformats.org/officeDocument/2006/relationships" ref="N566" r:id="rId560"/>
    <hyperlink xmlns:r="http://schemas.openxmlformats.org/officeDocument/2006/relationships" ref="O567" r:id="rId561"/>
    <hyperlink xmlns:r="http://schemas.openxmlformats.org/officeDocument/2006/relationships" ref="N568" r:id="rId562"/>
    <hyperlink xmlns:r="http://schemas.openxmlformats.org/officeDocument/2006/relationships" ref="N569" r:id="rId563"/>
    <hyperlink xmlns:r="http://schemas.openxmlformats.org/officeDocument/2006/relationships" ref="N570" r:id="rId564"/>
    <hyperlink xmlns:r="http://schemas.openxmlformats.org/officeDocument/2006/relationships" ref="N571" r:id="rId565"/>
    <hyperlink xmlns:r="http://schemas.openxmlformats.org/officeDocument/2006/relationships" ref="N572" r:id="rId566"/>
    <hyperlink xmlns:r="http://schemas.openxmlformats.org/officeDocument/2006/relationships" ref="O573" r:id="rId567"/>
    <hyperlink xmlns:r="http://schemas.openxmlformats.org/officeDocument/2006/relationships" ref="N574" r:id="rId568"/>
    <hyperlink xmlns:r="http://schemas.openxmlformats.org/officeDocument/2006/relationships" ref="N575" r:id="rId569"/>
    <hyperlink xmlns:r="http://schemas.openxmlformats.org/officeDocument/2006/relationships" ref="N576" r:id="rId570"/>
    <hyperlink xmlns:r="http://schemas.openxmlformats.org/officeDocument/2006/relationships" ref="N577" r:id="rId571"/>
    <hyperlink xmlns:r="http://schemas.openxmlformats.org/officeDocument/2006/relationships" ref="N578" r:id="rId572"/>
    <hyperlink xmlns:r="http://schemas.openxmlformats.org/officeDocument/2006/relationships" ref="N579" r:id="rId573"/>
    <hyperlink xmlns:r="http://schemas.openxmlformats.org/officeDocument/2006/relationships" ref="N580" r:id="rId574"/>
    <hyperlink xmlns:r="http://schemas.openxmlformats.org/officeDocument/2006/relationships" ref="N581" r:id="rId575"/>
    <hyperlink xmlns:r="http://schemas.openxmlformats.org/officeDocument/2006/relationships" ref="N582" r:id="rId576"/>
    <hyperlink xmlns:r="http://schemas.openxmlformats.org/officeDocument/2006/relationships" ref="N583" r:id="rId577"/>
    <hyperlink xmlns:r="http://schemas.openxmlformats.org/officeDocument/2006/relationships" ref="N584" r:id="rId578"/>
    <hyperlink xmlns:r="http://schemas.openxmlformats.org/officeDocument/2006/relationships" ref="N585" r:id="rId579"/>
    <hyperlink xmlns:r="http://schemas.openxmlformats.org/officeDocument/2006/relationships" ref="N586" r:id="rId580"/>
    <hyperlink xmlns:r="http://schemas.openxmlformats.org/officeDocument/2006/relationships" ref="N587" r:id="rId581"/>
    <hyperlink xmlns:r="http://schemas.openxmlformats.org/officeDocument/2006/relationships" ref="N588" r:id="rId582"/>
    <hyperlink xmlns:r="http://schemas.openxmlformats.org/officeDocument/2006/relationships" ref="N589" r:id="rId583"/>
    <hyperlink xmlns:r="http://schemas.openxmlformats.org/officeDocument/2006/relationships" ref="N590" r:id="rId584"/>
    <hyperlink xmlns:r="http://schemas.openxmlformats.org/officeDocument/2006/relationships" ref="N591" r:id="rId585"/>
    <hyperlink xmlns:r="http://schemas.openxmlformats.org/officeDocument/2006/relationships" ref="N592" r:id="rId586"/>
    <hyperlink xmlns:r="http://schemas.openxmlformats.org/officeDocument/2006/relationships" ref="N593" r:id="rId587"/>
    <hyperlink xmlns:r="http://schemas.openxmlformats.org/officeDocument/2006/relationships" ref="N594" r:id="rId588"/>
    <hyperlink xmlns:r="http://schemas.openxmlformats.org/officeDocument/2006/relationships" ref="O595" r:id="rId589"/>
    <hyperlink xmlns:r="http://schemas.openxmlformats.org/officeDocument/2006/relationships" ref="N596" r:id="rId590"/>
    <hyperlink xmlns:r="http://schemas.openxmlformats.org/officeDocument/2006/relationships" ref="O597" r:id="rId591"/>
    <hyperlink xmlns:r="http://schemas.openxmlformats.org/officeDocument/2006/relationships" ref="O598" r:id="rId592"/>
    <hyperlink xmlns:r="http://schemas.openxmlformats.org/officeDocument/2006/relationships" ref="N599" r:id="rId593"/>
    <hyperlink xmlns:r="http://schemas.openxmlformats.org/officeDocument/2006/relationships" ref="O600" r:id="rId594"/>
    <hyperlink xmlns:r="http://schemas.openxmlformats.org/officeDocument/2006/relationships" ref="O601" r:id="rId595"/>
    <hyperlink xmlns:r="http://schemas.openxmlformats.org/officeDocument/2006/relationships" ref="O602" r:id="rId596"/>
    <hyperlink xmlns:r="http://schemas.openxmlformats.org/officeDocument/2006/relationships" ref="N603" r:id="rId597"/>
    <hyperlink xmlns:r="http://schemas.openxmlformats.org/officeDocument/2006/relationships" ref="N604" r:id="rId598"/>
    <hyperlink xmlns:r="http://schemas.openxmlformats.org/officeDocument/2006/relationships" ref="N605" r:id="rId599"/>
    <hyperlink xmlns:r="http://schemas.openxmlformats.org/officeDocument/2006/relationships" ref="N606" r:id="rId600"/>
    <hyperlink xmlns:r="http://schemas.openxmlformats.org/officeDocument/2006/relationships" ref="N607" r:id="rId601"/>
    <hyperlink xmlns:r="http://schemas.openxmlformats.org/officeDocument/2006/relationships" ref="N608" r:id="rId602"/>
    <hyperlink xmlns:r="http://schemas.openxmlformats.org/officeDocument/2006/relationships" ref="N609" r:id="rId603"/>
    <hyperlink xmlns:r="http://schemas.openxmlformats.org/officeDocument/2006/relationships" ref="O610" r:id="rId604"/>
    <hyperlink xmlns:r="http://schemas.openxmlformats.org/officeDocument/2006/relationships" ref="N611" r:id="rId605"/>
    <hyperlink xmlns:r="http://schemas.openxmlformats.org/officeDocument/2006/relationships" ref="N612" r:id="rId606"/>
    <hyperlink xmlns:r="http://schemas.openxmlformats.org/officeDocument/2006/relationships" ref="N613" r:id="rId607"/>
    <hyperlink xmlns:r="http://schemas.openxmlformats.org/officeDocument/2006/relationships" ref="N614" r:id="rId608"/>
    <hyperlink xmlns:r="http://schemas.openxmlformats.org/officeDocument/2006/relationships" ref="N615" r:id="rId609"/>
    <hyperlink xmlns:r="http://schemas.openxmlformats.org/officeDocument/2006/relationships" ref="N616" r:id="rId610"/>
    <hyperlink xmlns:r="http://schemas.openxmlformats.org/officeDocument/2006/relationships" ref="N617" r:id="rId611"/>
    <hyperlink xmlns:r="http://schemas.openxmlformats.org/officeDocument/2006/relationships" ref="N618" r:id="rId612"/>
    <hyperlink xmlns:r="http://schemas.openxmlformats.org/officeDocument/2006/relationships" ref="O619" r:id="rId613"/>
    <hyperlink xmlns:r="http://schemas.openxmlformats.org/officeDocument/2006/relationships" ref="N620" r:id="rId614"/>
    <hyperlink xmlns:r="http://schemas.openxmlformats.org/officeDocument/2006/relationships" ref="N621" r:id="rId615"/>
    <hyperlink xmlns:r="http://schemas.openxmlformats.org/officeDocument/2006/relationships" ref="N622" r:id="rId616"/>
    <hyperlink xmlns:r="http://schemas.openxmlformats.org/officeDocument/2006/relationships" ref="N623" r:id="rId617"/>
    <hyperlink xmlns:r="http://schemas.openxmlformats.org/officeDocument/2006/relationships" ref="N624" r:id="rId618"/>
    <hyperlink xmlns:r="http://schemas.openxmlformats.org/officeDocument/2006/relationships" ref="N625" r:id="rId619"/>
    <hyperlink xmlns:r="http://schemas.openxmlformats.org/officeDocument/2006/relationships" ref="N626" r:id="rId620"/>
    <hyperlink xmlns:r="http://schemas.openxmlformats.org/officeDocument/2006/relationships" ref="N627" r:id="rId621"/>
    <hyperlink xmlns:r="http://schemas.openxmlformats.org/officeDocument/2006/relationships" ref="N628" r:id="rId622"/>
    <hyperlink xmlns:r="http://schemas.openxmlformats.org/officeDocument/2006/relationships" ref="N629" r:id="rId623"/>
    <hyperlink xmlns:r="http://schemas.openxmlformats.org/officeDocument/2006/relationships" ref="N630" r:id="rId624"/>
    <hyperlink xmlns:r="http://schemas.openxmlformats.org/officeDocument/2006/relationships" ref="N631" r:id="rId625"/>
    <hyperlink xmlns:r="http://schemas.openxmlformats.org/officeDocument/2006/relationships" ref="N632" r:id="rId626"/>
    <hyperlink xmlns:r="http://schemas.openxmlformats.org/officeDocument/2006/relationships" ref="N633" r:id="rId627"/>
    <hyperlink xmlns:r="http://schemas.openxmlformats.org/officeDocument/2006/relationships" ref="N634" r:id="rId628"/>
    <hyperlink xmlns:r="http://schemas.openxmlformats.org/officeDocument/2006/relationships" ref="N635" r:id="rId629"/>
    <hyperlink xmlns:r="http://schemas.openxmlformats.org/officeDocument/2006/relationships" ref="N636" r:id="rId630"/>
    <hyperlink xmlns:r="http://schemas.openxmlformats.org/officeDocument/2006/relationships" ref="N637" r:id="rId631"/>
    <hyperlink xmlns:r="http://schemas.openxmlformats.org/officeDocument/2006/relationships" ref="N638" r:id="rId632"/>
    <hyperlink xmlns:r="http://schemas.openxmlformats.org/officeDocument/2006/relationships" ref="N639" r:id="rId633"/>
    <hyperlink xmlns:r="http://schemas.openxmlformats.org/officeDocument/2006/relationships" ref="N640" r:id="rId634"/>
    <hyperlink xmlns:r="http://schemas.openxmlformats.org/officeDocument/2006/relationships" ref="N641" r:id="rId635"/>
    <hyperlink xmlns:r="http://schemas.openxmlformats.org/officeDocument/2006/relationships" ref="N642" r:id="rId636"/>
    <hyperlink xmlns:r="http://schemas.openxmlformats.org/officeDocument/2006/relationships" ref="N643" r:id="rId637"/>
    <hyperlink xmlns:r="http://schemas.openxmlformats.org/officeDocument/2006/relationships" ref="N644" r:id="rId638"/>
    <hyperlink xmlns:r="http://schemas.openxmlformats.org/officeDocument/2006/relationships" ref="N645" r:id="rId639"/>
    <hyperlink xmlns:r="http://schemas.openxmlformats.org/officeDocument/2006/relationships" ref="N646" r:id="rId640"/>
    <hyperlink xmlns:r="http://schemas.openxmlformats.org/officeDocument/2006/relationships" ref="N647" r:id="rId641"/>
    <hyperlink xmlns:r="http://schemas.openxmlformats.org/officeDocument/2006/relationships" ref="N648" r:id="rId642"/>
    <hyperlink xmlns:r="http://schemas.openxmlformats.org/officeDocument/2006/relationships" ref="N649" r:id="rId643"/>
    <hyperlink xmlns:r="http://schemas.openxmlformats.org/officeDocument/2006/relationships" ref="N650" r:id="rId644"/>
    <hyperlink xmlns:r="http://schemas.openxmlformats.org/officeDocument/2006/relationships" ref="N651" r:id="rId645"/>
    <hyperlink xmlns:r="http://schemas.openxmlformats.org/officeDocument/2006/relationships" ref="N652" r:id="rId646"/>
    <hyperlink xmlns:r="http://schemas.openxmlformats.org/officeDocument/2006/relationships" ref="N653" r:id="rId647"/>
    <hyperlink xmlns:r="http://schemas.openxmlformats.org/officeDocument/2006/relationships" ref="N654" r:id="rId648"/>
    <hyperlink xmlns:r="http://schemas.openxmlformats.org/officeDocument/2006/relationships" ref="N655" r:id="rId649"/>
    <hyperlink xmlns:r="http://schemas.openxmlformats.org/officeDocument/2006/relationships" ref="N656" r:id="rId650"/>
    <hyperlink xmlns:r="http://schemas.openxmlformats.org/officeDocument/2006/relationships" ref="N657" r:id="rId651"/>
    <hyperlink xmlns:r="http://schemas.openxmlformats.org/officeDocument/2006/relationships" ref="N658" r:id="rId652"/>
    <hyperlink xmlns:r="http://schemas.openxmlformats.org/officeDocument/2006/relationships" ref="N659" r:id="rId653"/>
    <hyperlink xmlns:r="http://schemas.openxmlformats.org/officeDocument/2006/relationships" ref="N660" r:id="rId654"/>
    <hyperlink xmlns:r="http://schemas.openxmlformats.org/officeDocument/2006/relationships" ref="N661" r:id="rId655"/>
    <hyperlink xmlns:r="http://schemas.openxmlformats.org/officeDocument/2006/relationships" ref="N662" r:id="rId656"/>
    <hyperlink xmlns:r="http://schemas.openxmlformats.org/officeDocument/2006/relationships" ref="N663" r:id="rId657"/>
    <hyperlink xmlns:r="http://schemas.openxmlformats.org/officeDocument/2006/relationships" ref="N664" r:id="rId658"/>
    <hyperlink xmlns:r="http://schemas.openxmlformats.org/officeDocument/2006/relationships" ref="N665" r:id="rId659"/>
    <hyperlink xmlns:r="http://schemas.openxmlformats.org/officeDocument/2006/relationships" ref="N666" r:id="rId660"/>
    <hyperlink xmlns:r="http://schemas.openxmlformats.org/officeDocument/2006/relationships" ref="N667" r:id="rId661"/>
    <hyperlink xmlns:r="http://schemas.openxmlformats.org/officeDocument/2006/relationships" ref="N668" r:id="rId662"/>
    <hyperlink xmlns:r="http://schemas.openxmlformats.org/officeDocument/2006/relationships" ref="N669" r:id="rId663"/>
    <hyperlink xmlns:r="http://schemas.openxmlformats.org/officeDocument/2006/relationships" ref="N670" r:id="rId664"/>
    <hyperlink xmlns:r="http://schemas.openxmlformats.org/officeDocument/2006/relationships" ref="N671" r:id="rId665"/>
    <hyperlink xmlns:r="http://schemas.openxmlformats.org/officeDocument/2006/relationships" ref="N672" r:id="rId666"/>
    <hyperlink xmlns:r="http://schemas.openxmlformats.org/officeDocument/2006/relationships" ref="N673" r:id="rId667"/>
    <hyperlink xmlns:r="http://schemas.openxmlformats.org/officeDocument/2006/relationships" ref="N674" r:id="rId668"/>
    <hyperlink xmlns:r="http://schemas.openxmlformats.org/officeDocument/2006/relationships" ref="N675" r:id="rId669"/>
    <hyperlink xmlns:r="http://schemas.openxmlformats.org/officeDocument/2006/relationships" ref="N676" r:id="rId670"/>
    <hyperlink xmlns:r="http://schemas.openxmlformats.org/officeDocument/2006/relationships" ref="N677" r:id="rId671"/>
    <hyperlink xmlns:r="http://schemas.openxmlformats.org/officeDocument/2006/relationships" ref="N678" r:id="rId672"/>
    <hyperlink xmlns:r="http://schemas.openxmlformats.org/officeDocument/2006/relationships" ref="N679" r:id="rId673"/>
    <hyperlink xmlns:r="http://schemas.openxmlformats.org/officeDocument/2006/relationships" ref="N680" r:id="rId674"/>
    <hyperlink xmlns:r="http://schemas.openxmlformats.org/officeDocument/2006/relationships" ref="N681" r:id="rId675"/>
    <hyperlink xmlns:r="http://schemas.openxmlformats.org/officeDocument/2006/relationships" ref="N682" r:id="rId676"/>
    <hyperlink xmlns:r="http://schemas.openxmlformats.org/officeDocument/2006/relationships" ref="N683" r:id="rId677"/>
    <hyperlink xmlns:r="http://schemas.openxmlformats.org/officeDocument/2006/relationships" ref="O684" r:id="rId678"/>
    <hyperlink xmlns:r="http://schemas.openxmlformats.org/officeDocument/2006/relationships" ref="N685" r:id="rId679"/>
    <hyperlink xmlns:r="http://schemas.openxmlformats.org/officeDocument/2006/relationships" ref="N686" r:id="rId680"/>
    <hyperlink xmlns:r="http://schemas.openxmlformats.org/officeDocument/2006/relationships" ref="N687" r:id="rId681"/>
    <hyperlink xmlns:r="http://schemas.openxmlformats.org/officeDocument/2006/relationships" ref="N688" r:id="rId682"/>
    <hyperlink xmlns:r="http://schemas.openxmlformats.org/officeDocument/2006/relationships" ref="N689" r:id="rId683"/>
    <hyperlink xmlns:r="http://schemas.openxmlformats.org/officeDocument/2006/relationships" ref="N690" r:id="rId684"/>
    <hyperlink xmlns:r="http://schemas.openxmlformats.org/officeDocument/2006/relationships" ref="N691" r:id="rId685"/>
    <hyperlink xmlns:r="http://schemas.openxmlformats.org/officeDocument/2006/relationships" ref="N692" r:id="rId686"/>
    <hyperlink xmlns:r="http://schemas.openxmlformats.org/officeDocument/2006/relationships" ref="N693" r:id="rId687"/>
    <hyperlink xmlns:r="http://schemas.openxmlformats.org/officeDocument/2006/relationships" ref="N694" r:id="rId688"/>
    <hyperlink xmlns:r="http://schemas.openxmlformats.org/officeDocument/2006/relationships" ref="N695" r:id="rId689"/>
    <hyperlink xmlns:r="http://schemas.openxmlformats.org/officeDocument/2006/relationships" ref="N696" r:id="rId690"/>
    <hyperlink xmlns:r="http://schemas.openxmlformats.org/officeDocument/2006/relationships" ref="N697" r:id="rId691"/>
    <hyperlink xmlns:r="http://schemas.openxmlformats.org/officeDocument/2006/relationships" ref="N698" r:id="rId692"/>
    <hyperlink xmlns:r="http://schemas.openxmlformats.org/officeDocument/2006/relationships" ref="N699" r:id="rId693"/>
    <hyperlink xmlns:r="http://schemas.openxmlformats.org/officeDocument/2006/relationships" ref="N700" r:id="rId694"/>
    <hyperlink xmlns:r="http://schemas.openxmlformats.org/officeDocument/2006/relationships" ref="N701" r:id="rId695"/>
    <hyperlink xmlns:r="http://schemas.openxmlformats.org/officeDocument/2006/relationships" ref="N702" r:id="rId696"/>
    <hyperlink xmlns:r="http://schemas.openxmlformats.org/officeDocument/2006/relationships" ref="N703" r:id="rId697"/>
    <hyperlink xmlns:r="http://schemas.openxmlformats.org/officeDocument/2006/relationships" ref="N704" r:id="rId698"/>
    <hyperlink xmlns:r="http://schemas.openxmlformats.org/officeDocument/2006/relationships" ref="N705" r:id="rId699"/>
    <hyperlink xmlns:r="http://schemas.openxmlformats.org/officeDocument/2006/relationships" ref="N706" r:id="rId700"/>
    <hyperlink xmlns:r="http://schemas.openxmlformats.org/officeDocument/2006/relationships" ref="N707" r:id="rId701"/>
    <hyperlink xmlns:r="http://schemas.openxmlformats.org/officeDocument/2006/relationships" ref="N708" r:id="rId702"/>
    <hyperlink xmlns:r="http://schemas.openxmlformats.org/officeDocument/2006/relationships" ref="N709" r:id="rId703"/>
    <hyperlink xmlns:r="http://schemas.openxmlformats.org/officeDocument/2006/relationships" ref="N710" r:id="rId704"/>
    <hyperlink xmlns:r="http://schemas.openxmlformats.org/officeDocument/2006/relationships" ref="N711" r:id="rId705"/>
    <hyperlink xmlns:r="http://schemas.openxmlformats.org/officeDocument/2006/relationships" ref="N712" r:id="rId706"/>
    <hyperlink xmlns:r="http://schemas.openxmlformats.org/officeDocument/2006/relationships" ref="N713" r:id="rId707"/>
    <hyperlink xmlns:r="http://schemas.openxmlformats.org/officeDocument/2006/relationships" ref="N714" r:id="rId708"/>
    <hyperlink xmlns:r="http://schemas.openxmlformats.org/officeDocument/2006/relationships" ref="N715" r:id="rId709"/>
    <hyperlink xmlns:r="http://schemas.openxmlformats.org/officeDocument/2006/relationships" ref="N716" r:id="rId710"/>
    <hyperlink xmlns:r="http://schemas.openxmlformats.org/officeDocument/2006/relationships" ref="N717" r:id="rId711"/>
    <hyperlink xmlns:r="http://schemas.openxmlformats.org/officeDocument/2006/relationships" ref="N718" r:id="rId712"/>
    <hyperlink xmlns:r="http://schemas.openxmlformats.org/officeDocument/2006/relationships" ref="N719" r:id="rId713"/>
    <hyperlink xmlns:r="http://schemas.openxmlformats.org/officeDocument/2006/relationships" ref="N720" r:id="rId714"/>
    <hyperlink xmlns:r="http://schemas.openxmlformats.org/officeDocument/2006/relationships" ref="N721" r:id="rId715"/>
    <hyperlink xmlns:r="http://schemas.openxmlformats.org/officeDocument/2006/relationships" ref="N722" r:id="rId716"/>
    <hyperlink xmlns:r="http://schemas.openxmlformats.org/officeDocument/2006/relationships" ref="N723" r:id="rId717"/>
    <hyperlink xmlns:r="http://schemas.openxmlformats.org/officeDocument/2006/relationships" ref="N724" r:id="rId718"/>
    <hyperlink xmlns:r="http://schemas.openxmlformats.org/officeDocument/2006/relationships" ref="N725" r:id="rId719"/>
    <hyperlink xmlns:r="http://schemas.openxmlformats.org/officeDocument/2006/relationships" ref="N726" r:id="rId720"/>
    <hyperlink xmlns:r="http://schemas.openxmlformats.org/officeDocument/2006/relationships" ref="N727" r:id="rId721"/>
    <hyperlink xmlns:r="http://schemas.openxmlformats.org/officeDocument/2006/relationships" ref="N728" r:id="rId722"/>
    <hyperlink xmlns:r="http://schemas.openxmlformats.org/officeDocument/2006/relationships" ref="N729" r:id="rId723"/>
    <hyperlink xmlns:r="http://schemas.openxmlformats.org/officeDocument/2006/relationships" ref="N730" r:id="rId724"/>
    <hyperlink xmlns:r="http://schemas.openxmlformats.org/officeDocument/2006/relationships" ref="N731" r:id="rId725"/>
    <hyperlink xmlns:r="http://schemas.openxmlformats.org/officeDocument/2006/relationships" ref="N732" r:id="rId726"/>
    <hyperlink xmlns:r="http://schemas.openxmlformats.org/officeDocument/2006/relationships" ref="N733" r:id="rId727"/>
    <hyperlink xmlns:r="http://schemas.openxmlformats.org/officeDocument/2006/relationships" ref="N734" r:id="rId728"/>
    <hyperlink xmlns:r="http://schemas.openxmlformats.org/officeDocument/2006/relationships" ref="N735" r:id="rId729"/>
    <hyperlink xmlns:r="http://schemas.openxmlformats.org/officeDocument/2006/relationships" ref="N736" r:id="rId730"/>
    <hyperlink xmlns:r="http://schemas.openxmlformats.org/officeDocument/2006/relationships" ref="N737" r:id="rId731"/>
    <hyperlink xmlns:r="http://schemas.openxmlformats.org/officeDocument/2006/relationships" ref="N738" r:id="rId732"/>
    <hyperlink xmlns:r="http://schemas.openxmlformats.org/officeDocument/2006/relationships" ref="N739" r:id="rId733"/>
    <hyperlink xmlns:r="http://schemas.openxmlformats.org/officeDocument/2006/relationships" ref="O740" r:id="rId734"/>
    <hyperlink xmlns:r="http://schemas.openxmlformats.org/officeDocument/2006/relationships" ref="O741" r:id="rId735"/>
    <hyperlink xmlns:r="http://schemas.openxmlformats.org/officeDocument/2006/relationships" ref="O742" r:id="rId736"/>
    <hyperlink xmlns:r="http://schemas.openxmlformats.org/officeDocument/2006/relationships" ref="N743" r:id="rId737"/>
    <hyperlink xmlns:r="http://schemas.openxmlformats.org/officeDocument/2006/relationships" ref="N744" r:id="rId738"/>
    <hyperlink xmlns:r="http://schemas.openxmlformats.org/officeDocument/2006/relationships" ref="N745" r:id="rId739"/>
    <hyperlink xmlns:r="http://schemas.openxmlformats.org/officeDocument/2006/relationships" ref="N746" r:id="rId740"/>
    <hyperlink xmlns:r="http://schemas.openxmlformats.org/officeDocument/2006/relationships" ref="O747" r:id="rId741"/>
    <hyperlink xmlns:r="http://schemas.openxmlformats.org/officeDocument/2006/relationships" ref="N748" r:id="rId742"/>
    <hyperlink xmlns:r="http://schemas.openxmlformats.org/officeDocument/2006/relationships" ref="N749" r:id="rId743"/>
    <hyperlink xmlns:r="http://schemas.openxmlformats.org/officeDocument/2006/relationships" ref="O750" r:id="rId744"/>
    <hyperlink xmlns:r="http://schemas.openxmlformats.org/officeDocument/2006/relationships" ref="O751" r:id="rId745"/>
    <hyperlink xmlns:r="http://schemas.openxmlformats.org/officeDocument/2006/relationships" ref="N752" r:id="rId746"/>
    <hyperlink xmlns:r="http://schemas.openxmlformats.org/officeDocument/2006/relationships" ref="O753" r:id="rId747"/>
    <hyperlink xmlns:r="http://schemas.openxmlformats.org/officeDocument/2006/relationships" ref="O754" r:id="rId748"/>
    <hyperlink xmlns:r="http://schemas.openxmlformats.org/officeDocument/2006/relationships" ref="N755" r:id="rId749"/>
    <hyperlink xmlns:r="http://schemas.openxmlformats.org/officeDocument/2006/relationships" ref="N756" r:id="rId750"/>
    <hyperlink xmlns:r="http://schemas.openxmlformats.org/officeDocument/2006/relationships" ref="N757" r:id="rId751"/>
    <hyperlink xmlns:r="http://schemas.openxmlformats.org/officeDocument/2006/relationships" ref="O758" r:id="rId752"/>
    <hyperlink xmlns:r="http://schemas.openxmlformats.org/officeDocument/2006/relationships" ref="N759" r:id="rId753"/>
    <hyperlink xmlns:r="http://schemas.openxmlformats.org/officeDocument/2006/relationships" ref="N760" r:id="rId754"/>
    <hyperlink xmlns:r="http://schemas.openxmlformats.org/officeDocument/2006/relationships" ref="N761" r:id="rId755"/>
    <hyperlink xmlns:r="http://schemas.openxmlformats.org/officeDocument/2006/relationships" ref="N762" r:id="rId756"/>
    <hyperlink xmlns:r="http://schemas.openxmlformats.org/officeDocument/2006/relationships" ref="O763" r:id="rId757"/>
    <hyperlink xmlns:r="http://schemas.openxmlformats.org/officeDocument/2006/relationships" ref="N764" r:id="rId758"/>
    <hyperlink xmlns:r="http://schemas.openxmlformats.org/officeDocument/2006/relationships" ref="N765" r:id="rId759"/>
    <hyperlink xmlns:r="http://schemas.openxmlformats.org/officeDocument/2006/relationships" ref="N766" r:id="rId760"/>
    <hyperlink xmlns:r="http://schemas.openxmlformats.org/officeDocument/2006/relationships" ref="N767" r:id="rId761"/>
    <hyperlink xmlns:r="http://schemas.openxmlformats.org/officeDocument/2006/relationships" ref="O768" r:id="rId762"/>
    <hyperlink xmlns:r="http://schemas.openxmlformats.org/officeDocument/2006/relationships" ref="N769" r:id="rId763"/>
    <hyperlink xmlns:r="http://schemas.openxmlformats.org/officeDocument/2006/relationships" ref="N770" r:id="rId764"/>
    <hyperlink xmlns:r="http://schemas.openxmlformats.org/officeDocument/2006/relationships" ref="N771" r:id="rId765"/>
    <hyperlink xmlns:r="http://schemas.openxmlformats.org/officeDocument/2006/relationships" ref="O772" r:id="rId766"/>
    <hyperlink xmlns:r="http://schemas.openxmlformats.org/officeDocument/2006/relationships" ref="N773" r:id="rId767"/>
    <hyperlink xmlns:r="http://schemas.openxmlformats.org/officeDocument/2006/relationships" ref="N774" r:id="rId768"/>
    <hyperlink xmlns:r="http://schemas.openxmlformats.org/officeDocument/2006/relationships" ref="N775" r:id="rId769"/>
    <hyperlink xmlns:r="http://schemas.openxmlformats.org/officeDocument/2006/relationships" ref="N776" r:id="rId770"/>
    <hyperlink xmlns:r="http://schemas.openxmlformats.org/officeDocument/2006/relationships" ref="N777" r:id="rId771"/>
    <hyperlink xmlns:r="http://schemas.openxmlformats.org/officeDocument/2006/relationships" ref="O778" r:id="rId772"/>
    <hyperlink xmlns:r="http://schemas.openxmlformats.org/officeDocument/2006/relationships" ref="N779" r:id="rId773"/>
    <hyperlink xmlns:r="http://schemas.openxmlformats.org/officeDocument/2006/relationships" ref="N780" r:id="rId774"/>
    <hyperlink xmlns:r="http://schemas.openxmlformats.org/officeDocument/2006/relationships" ref="N781" r:id="rId775"/>
    <hyperlink xmlns:r="http://schemas.openxmlformats.org/officeDocument/2006/relationships" ref="N782" r:id="rId776"/>
    <hyperlink xmlns:r="http://schemas.openxmlformats.org/officeDocument/2006/relationships" ref="N783" r:id="rId777"/>
    <hyperlink xmlns:r="http://schemas.openxmlformats.org/officeDocument/2006/relationships" ref="N784" r:id="rId778"/>
    <hyperlink xmlns:r="http://schemas.openxmlformats.org/officeDocument/2006/relationships" ref="N785" r:id="rId779"/>
    <hyperlink xmlns:r="http://schemas.openxmlformats.org/officeDocument/2006/relationships" ref="N786" r:id="rId780"/>
    <hyperlink xmlns:r="http://schemas.openxmlformats.org/officeDocument/2006/relationships" ref="N787" r:id="rId781"/>
    <hyperlink xmlns:r="http://schemas.openxmlformats.org/officeDocument/2006/relationships" ref="N788" r:id="rId782"/>
    <hyperlink xmlns:r="http://schemas.openxmlformats.org/officeDocument/2006/relationships" ref="N789" r:id="rId783"/>
    <hyperlink xmlns:r="http://schemas.openxmlformats.org/officeDocument/2006/relationships" ref="N790" r:id="rId784"/>
    <hyperlink xmlns:r="http://schemas.openxmlformats.org/officeDocument/2006/relationships" ref="N791" r:id="rId785"/>
    <hyperlink xmlns:r="http://schemas.openxmlformats.org/officeDocument/2006/relationships" ref="N792" r:id="rId786"/>
    <hyperlink xmlns:r="http://schemas.openxmlformats.org/officeDocument/2006/relationships" ref="N793" r:id="rId787"/>
    <hyperlink xmlns:r="http://schemas.openxmlformats.org/officeDocument/2006/relationships" ref="N794" r:id="rId788"/>
    <hyperlink xmlns:r="http://schemas.openxmlformats.org/officeDocument/2006/relationships" ref="N795" r:id="rId789"/>
    <hyperlink xmlns:r="http://schemas.openxmlformats.org/officeDocument/2006/relationships" ref="N796" r:id="rId790"/>
    <hyperlink xmlns:r="http://schemas.openxmlformats.org/officeDocument/2006/relationships" ref="N797" r:id="rId791"/>
    <hyperlink xmlns:r="http://schemas.openxmlformats.org/officeDocument/2006/relationships" ref="N798" r:id="rId792"/>
    <hyperlink xmlns:r="http://schemas.openxmlformats.org/officeDocument/2006/relationships" ref="N799" r:id="rId793"/>
    <hyperlink xmlns:r="http://schemas.openxmlformats.org/officeDocument/2006/relationships" ref="N800" r:id="rId794"/>
    <hyperlink xmlns:r="http://schemas.openxmlformats.org/officeDocument/2006/relationships" ref="N801" r:id="rId795"/>
    <hyperlink xmlns:r="http://schemas.openxmlformats.org/officeDocument/2006/relationships" ref="N802" r:id="rId796"/>
    <hyperlink xmlns:r="http://schemas.openxmlformats.org/officeDocument/2006/relationships" ref="N803" r:id="rId797"/>
    <hyperlink xmlns:r="http://schemas.openxmlformats.org/officeDocument/2006/relationships" ref="N804" r:id="rId798"/>
    <hyperlink xmlns:r="http://schemas.openxmlformats.org/officeDocument/2006/relationships" ref="N805" r:id="rId799"/>
    <hyperlink xmlns:r="http://schemas.openxmlformats.org/officeDocument/2006/relationships" ref="N806" r:id="rId800"/>
    <hyperlink xmlns:r="http://schemas.openxmlformats.org/officeDocument/2006/relationships" ref="N807" r:id="rId801"/>
    <hyperlink xmlns:r="http://schemas.openxmlformats.org/officeDocument/2006/relationships" ref="N808" r:id="rId802"/>
    <hyperlink xmlns:r="http://schemas.openxmlformats.org/officeDocument/2006/relationships" ref="N809" r:id="rId803"/>
    <hyperlink xmlns:r="http://schemas.openxmlformats.org/officeDocument/2006/relationships" ref="N810" r:id="rId804"/>
    <hyperlink xmlns:r="http://schemas.openxmlformats.org/officeDocument/2006/relationships" ref="N811" r:id="rId805"/>
    <hyperlink xmlns:r="http://schemas.openxmlformats.org/officeDocument/2006/relationships" ref="N812" r:id="rId806"/>
    <hyperlink xmlns:r="http://schemas.openxmlformats.org/officeDocument/2006/relationships" ref="N813" r:id="rId807"/>
    <hyperlink xmlns:r="http://schemas.openxmlformats.org/officeDocument/2006/relationships" ref="N814" r:id="rId808"/>
    <hyperlink xmlns:r="http://schemas.openxmlformats.org/officeDocument/2006/relationships" ref="N815" r:id="rId809"/>
    <hyperlink xmlns:r="http://schemas.openxmlformats.org/officeDocument/2006/relationships" ref="N816" r:id="rId810"/>
    <hyperlink xmlns:r="http://schemas.openxmlformats.org/officeDocument/2006/relationships" ref="N817" r:id="rId811"/>
    <hyperlink xmlns:r="http://schemas.openxmlformats.org/officeDocument/2006/relationships" ref="N818" r:id="rId812"/>
    <hyperlink xmlns:r="http://schemas.openxmlformats.org/officeDocument/2006/relationships" ref="N819" r:id="rId813"/>
    <hyperlink xmlns:r="http://schemas.openxmlformats.org/officeDocument/2006/relationships" ref="N820" r:id="rId814"/>
    <hyperlink xmlns:r="http://schemas.openxmlformats.org/officeDocument/2006/relationships" ref="N821" r:id="rId815"/>
    <hyperlink xmlns:r="http://schemas.openxmlformats.org/officeDocument/2006/relationships" ref="N822" r:id="rId816"/>
    <hyperlink xmlns:r="http://schemas.openxmlformats.org/officeDocument/2006/relationships" ref="N823" r:id="rId817"/>
    <hyperlink xmlns:r="http://schemas.openxmlformats.org/officeDocument/2006/relationships" ref="N824" r:id="rId818"/>
    <hyperlink xmlns:r="http://schemas.openxmlformats.org/officeDocument/2006/relationships" ref="N825" r:id="rId819"/>
    <hyperlink xmlns:r="http://schemas.openxmlformats.org/officeDocument/2006/relationships" ref="N826" r:id="rId820"/>
    <hyperlink xmlns:r="http://schemas.openxmlformats.org/officeDocument/2006/relationships" ref="N827" r:id="rId821"/>
    <hyperlink xmlns:r="http://schemas.openxmlformats.org/officeDocument/2006/relationships" ref="N828" r:id="rId822"/>
    <hyperlink xmlns:r="http://schemas.openxmlformats.org/officeDocument/2006/relationships" ref="N829" r:id="rId823"/>
    <hyperlink xmlns:r="http://schemas.openxmlformats.org/officeDocument/2006/relationships" ref="N830" r:id="rId824"/>
    <hyperlink xmlns:r="http://schemas.openxmlformats.org/officeDocument/2006/relationships" ref="N831" r:id="rId825"/>
    <hyperlink xmlns:r="http://schemas.openxmlformats.org/officeDocument/2006/relationships" ref="N832" r:id="rId826"/>
    <hyperlink xmlns:r="http://schemas.openxmlformats.org/officeDocument/2006/relationships" ref="N833" r:id="rId827"/>
    <hyperlink xmlns:r="http://schemas.openxmlformats.org/officeDocument/2006/relationships" ref="N834" r:id="rId828"/>
    <hyperlink xmlns:r="http://schemas.openxmlformats.org/officeDocument/2006/relationships" ref="N835" r:id="rId829"/>
    <hyperlink xmlns:r="http://schemas.openxmlformats.org/officeDocument/2006/relationships" ref="N836" r:id="rId830"/>
    <hyperlink xmlns:r="http://schemas.openxmlformats.org/officeDocument/2006/relationships" ref="N837" r:id="rId831"/>
    <hyperlink xmlns:r="http://schemas.openxmlformats.org/officeDocument/2006/relationships" ref="N838" r:id="rId832"/>
    <hyperlink xmlns:r="http://schemas.openxmlformats.org/officeDocument/2006/relationships" ref="N839" r:id="rId833"/>
    <hyperlink xmlns:r="http://schemas.openxmlformats.org/officeDocument/2006/relationships" ref="N840" r:id="rId834"/>
    <hyperlink xmlns:r="http://schemas.openxmlformats.org/officeDocument/2006/relationships" ref="N841" r:id="rId835"/>
    <hyperlink xmlns:r="http://schemas.openxmlformats.org/officeDocument/2006/relationships" ref="N842" r:id="rId836"/>
    <hyperlink xmlns:r="http://schemas.openxmlformats.org/officeDocument/2006/relationships" ref="N843" r:id="rId837"/>
    <hyperlink xmlns:r="http://schemas.openxmlformats.org/officeDocument/2006/relationships" ref="O844" r:id="rId838"/>
    <hyperlink xmlns:r="http://schemas.openxmlformats.org/officeDocument/2006/relationships" ref="N845" r:id="rId839"/>
    <hyperlink xmlns:r="http://schemas.openxmlformats.org/officeDocument/2006/relationships" ref="N846" r:id="rId840"/>
    <hyperlink xmlns:r="http://schemas.openxmlformats.org/officeDocument/2006/relationships" ref="O847" r:id="rId841"/>
    <hyperlink xmlns:r="http://schemas.openxmlformats.org/officeDocument/2006/relationships" ref="N848" r:id="rId842"/>
    <hyperlink xmlns:r="http://schemas.openxmlformats.org/officeDocument/2006/relationships" ref="N849" r:id="rId843"/>
    <hyperlink xmlns:r="http://schemas.openxmlformats.org/officeDocument/2006/relationships" ref="N850" r:id="rId844"/>
    <hyperlink xmlns:r="http://schemas.openxmlformats.org/officeDocument/2006/relationships" ref="N851" r:id="rId845"/>
    <hyperlink xmlns:r="http://schemas.openxmlformats.org/officeDocument/2006/relationships" ref="O852" r:id="rId846"/>
    <hyperlink xmlns:r="http://schemas.openxmlformats.org/officeDocument/2006/relationships" ref="N853" r:id="rId847"/>
    <hyperlink xmlns:r="http://schemas.openxmlformats.org/officeDocument/2006/relationships" ref="N854" r:id="rId848"/>
    <hyperlink xmlns:r="http://schemas.openxmlformats.org/officeDocument/2006/relationships" ref="O855" r:id="rId849"/>
    <hyperlink xmlns:r="http://schemas.openxmlformats.org/officeDocument/2006/relationships" ref="N856" r:id="rId850"/>
    <hyperlink xmlns:r="http://schemas.openxmlformats.org/officeDocument/2006/relationships" ref="O857" r:id="rId851"/>
    <hyperlink xmlns:r="http://schemas.openxmlformats.org/officeDocument/2006/relationships" ref="O858" r:id="rId852"/>
    <hyperlink xmlns:r="http://schemas.openxmlformats.org/officeDocument/2006/relationships" ref="O859" r:id="rId853"/>
    <hyperlink xmlns:r="http://schemas.openxmlformats.org/officeDocument/2006/relationships" ref="O860" r:id="rId854"/>
    <hyperlink xmlns:r="http://schemas.openxmlformats.org/officeDocument/2006/relationships" ref="O861" r:id="rId855"/>
    <hyperlink xmlns:r="http://schemas.openxmlformats.org/officeDocument/2006/relationships" ref="N862" r:id="rId856"/>
    <hyperlink xmlns:r="http://schemas.openxmlformats.org/officeDocument/2006/relationships" ref="N863" r:id="rId857"/>
    <hyperlink xmlns:r="http://schemas.openxmlformats.org/officeDocument/2006/relationships" ref="N864" r:id="rId858"/>
    <hyperlink xmlns:r="http://schemas.openxmlformats.org/officeDocument/2006/relationships" ref="O865" r:id="rId859"/>
    <hyperlink xmlns:r="http://schemas.openxmlformats.org/officeDocument/2006/relationships" ref="O866" r:id="rId860"/>
    <hyperlink xmlns:r="http://schemas.openxmlformats.org/officeDocument/2006/relationships" ref="N867" r:id="rId861"/>
    <hyperlink xmlns:r="http://schemas.openxmlformats.org/officeDocument/2006/relationships" ref="O868" r:id="rId862"/>
    <hyperlink xmlns:r="http://schemas.openxmlformats.org/officeDocument/2006/relationships" ref="N869" r:id="rId863"/>
    <hyperlink xmlns:r="http://schemas.openxmlformats.org/officeDocument/2006/relationships" ref="N870" r:id="rId864"/>
    <hyperlink xmlns:r="http://schemas.openxmlformats.org/officeDocument/2006/relationships" ref="N871" r:id="rId865"/>
    <hyperlink xmlns:r="http://schemas.openxmlformats.org/officeDocument/2006/relationships" ref="N872" r:id="rId866"/>
    <hyperlink xmlns:r="http://schemas.openxmlformats.org/officeDocument/2006/relationships" ref="O873" r:id="rId867"/>
    <hyperlink xmlns:r="http://schemas.openxmlformats.org/officeDocument/2006/relationships" ref="O874" r:id="rId868"/>
    <hyperlink xmlns:r="http://schemas.openxmlformats.org/officeDocument/2006/relationships" ref="N875" r:id="rId869"/>
    <hyperlink xmlns:r="http://schemas.openxmlformats.org/officeDocument/2006/relationships" ref="O876" r:id="rId870"/>
    <hyperlink xmlns:r="http://schemas.openxmlformats.org/officeDocument/2006/relationships" ref="O877" r:id="rId871"/>
    <hyperlink xmlns:r="http://schemas.openxmlformats.org/officeDocument/2006/relationships" ref="N878" r:id="rId872"/>
    <hyperlink xmlns:r="http://schemas.openxmlformats.org/officeDocument/2006/relationships" ref="N879" r:id="rId873"/>
    <hyperlink xmlns:r="http://schemas.openxmlformats.org/officeDocument/2006/relationships" ref="N880" r:id="rId874"/>
    <hyperlink xmlns:r="http://schemas.openxmlformats.org/officeDocument/2006/relationships" ref="N881" r:id="rId875"/>
    <hyperlink xmlns:r="http://schemas.openxmlformats.org/officeDocument/2006/relationships" ref="O882" r:id="rId876"/>
    <hyperlink xmlns:r="http://schemas.openxmlformats.org/officeDocument/2006/relationships" ref="N883" r:id="rId877"/>
    <hyperlink xmlns:r="http://schemas.openxmlformats.org/officeDocument/2006/relationships" ref="N884" r:id="rId878"/>
    <hyperlink xmlns:r="http://schemas.openxmlformats.org/officeDocument/2006/relationships" ref="N885" r:id="rId879"/>
    <hyperlink xmlns:r="http://schemas.openxmlformats.org/officeDocument/2006/relationships" ref="N886" r:id="rId880"/>
    <hyperlink xmlns:r="http://schemas.openxmlformats.org/officeDocument/2006/relationships" ref="N887" r:id="rId881"/>
    <hyperlink xmlns:r="http://schemas.openxmlformats.org/officeDocument/2006/relationships" ref="N888" r:id="rId882"/>
    <hyperlink xmlns:r="http://schemas.openxmlformats.org/officeDocument/2006/relationships" ref="N889" r:id="rId883"/>
    <hyperlink xmlns:r="http://schemas.openxmlformats.org/officeDocument/2006/relationships" ref="O890" r:id="rId884"/>
    <hyperlink xmlns:r="http://schemas.openxmlformats.org/officeDocument/2006/relationships" ref="N891" r:id="rId885"/>
    <hyperlink xmlns:r="http://schemas.openxmlformats.org/officeDocument/2006/relationships" ref="N892" r:id="rId886"/>
    <hyperlink xmlns:r="http://schemas.openxmlformats.org/officeDocument/2006/relationships" ref="N893" r:id="rId887"/>
    <hyperlink xmlns:r="http://schemas.openxmlformats.org/officeDocument/2006/relationships" ref="N894" r:id="rId888"/>
    <hyperlink xmlns:r="http://schemas.openxmlformats.org/officeDocument/2006/relationships" ref="N895" r:id="rId889"/>
    <hyperlink xmlns:r="http://schemas.openxmlformats.org/officeDocument/2006/relationships" ref="N896" r:id="rId890"/>
    <hyperlink xmlns:r="http://schemas.openxmlformats.org/officeDocument/2006/relationships" ref="N897" r:id="rId891"/>
    <hyperlink xmlns:r="http://schemas.openxmlformats.org/officeDocument/2006/relationships" ref="N898" r:id="rId892"/>
    <hyperlink xmlns:r="http://schemas.openxmlformats.org/officeDocument/2006/relationships" ref="N899" r:id="rId893"/>
    <hyperlink xmlns:r="http://schemas.openxmlformats.org/officeDocument/2006/relationships" ref="N900" r:id="rId894"/>
    <hyperlink xmlns:r="http://schemas.openxmlformats.org/officeDocument/2006/relationships" ref="N901" r:id="rId895"/>
    <hyperlink xmlns:r="http://schemas.openxmlformats.org/officeDocument/2006/relationships" ref="O902" r:id="rId896"/>
    <hyperlink xmlns:r="http://schemas.openxmlformats.org/officeDocument/2006/relationships" ref="N903" r:id="rId897"/>
    <hyperlink xmlns:r="http://schemas.openxmlformats.org/officeDocument/2006/relationships" ref="N904" r:id="rId898"/>
    <hyperlink xmlns:r="http://schemas.openxmlformats.org/officeDocument/2006/relationships" ref="O905" r:id="rId899"/>
    <hyperlink xmlns:r="http://schemas.openxmlformats.org/officeDocument/2006/relationships" ref="N906" r:id="rId900"/>
    <hyperlink xmlns:r="http://schemas.openxmlformats.org/officeDocument/2006/relationships" ref="N907" r:id="rId901"/>
    <hyperlink xmlns:r="http://schemas.openxmlformats.org/officeDocument/2006/relationships" ref="N908" r:id="rId902"/>
    <hyperlink xmlns:r="http://schemas.openxmlformats.org/officeDocument/2006/relationships" ref="N909" r:id="rId903"/>
    <hyperlink xmlns:r="http://schemas.openxmlformats.org/officeDocument/2006/relationships" ref="N910" r:id="rId904"/>
    <hyperlink xmlns:r="http://schemas.openxmlformats.org/officeDocument/2006/relationships" ref="N911" r:id="rId905"/>
    <hyperlink xmlns:r="http://schemas.openxmlformats.org/officeDocument/2006/relationships" ref="N912" r:id="rId906"/>
    <hyperlink xmlns:r="http://schemas.openxmlformats.org/officeDocument/2006/relationships" ref="N913" r:id="rId907"/>
    <hyperlink xmlns:r="http://schemas.openxmlformats.org/officeDocument/2006/relationships" ref="O914" r:id="rId908"/>
    <hyperlink xmlns:r="http://schemas.openxmlformats.org/officeDocument/2006/relationships" ref="O915" r:id="rId909"/>
    <hyperlink xmlns:r="http://schemas.openxmlformats.org/officeDocument/2006/relationships" ref="N916" r:id="rId910"/>
    <hyperlink xmlns:r="http://schemas.openxmlformats.org/officeDocument/2006/relationships" ref="N917" r:id="rId911"/>
    <hyperlink xmlns:r="http://schemas.openxmlformats.org/officeDocument/2006/relationships" ref="N918" r:id="rId912"/>
    <hyperlink xmlns:r="http://schemas.openxmlformats.org/officeDocument/2006/relationships" ref="N919" r:id="rId913"/>
    <hyperlink xmlns:r="http://schemas.openxmlformats.org/officeDocument/2006/relationships" ref="N920" r:id="rId914"/>
    <hyperlink xmlns:r="http://schemas.openxmlformats.org/officeDocument/2006/relationships" ref="N921" r:id="rId915"/>
    <hyperlink xmlns:r="http://schemas.openxmlformats.org/officeDocument/2006/relationships" ref="O922" r:id="rId916"/>
    <hyperlink xmlns:r="http://schemas.openxmlformats.org/officeDocument/2006/relationships" ref="N923" r:id="rId917"/>
    <hyperlink xmlns:r="http://schemas.openxmlformats.org/officeDocument/2006/relationships" ref="N924" r:id="rId918"/>
    <hyperlink xmlns:r="http://schemas.openxmlformats.org/officeDocument/2006/relationships" ref="N925" r:id="rId919"/>
    <hyperlink xmlns:r="http://schemas.openxmlformats.org/officeDocument/2006/relationships" ref="N926" r:id="rId920"/>
    <hyperlink xmlns:r="http://schemas.openxmlformats.org/officeDocument/2006/relationships" ref="O927" r:id="rId921"/>
    <hyperlink xmlns:r="http://schemas.openxmlformats.org/officeDocument/2006/relationships" ref="N928" r:id="rId922"/>
    <hyperlink xmlns:r="http://schemas.openxmlformats.org/officeDocument/2006/relationships" ref="N929" r:id="rId923"/>
    <hyperlink xmlns:r="http://schemas.openxmlformats.org/officeDocument/2006/relationships" ref="N930" r:id="rId924"/>
    <hyperlink xmlns:r="http://schemas.openxmlformats.org/officeDocument/2006/relationships" ref="N931" r:id="rId925"/>
    <hyperlink xmlns:r="http://schemas.openxmlformats.org/officeDocument/2006/relationships" ref="N932" r:id="rId926"/>
    <hyperlink xmlns:r="http://schemas.openxmlformats.org/officeDocument/2006/relationships" ref="N933" r:id="rId927"/>
    <hyperlink xmlns:r="http://schemas.openxmlformats.org/officeDocument/2006/relationships" ref="N934" r:id="rId928"/>
    <hyperlink xmlns:r="http://schemas.openxmlformats.org/officeDocument/2006/relationships" ref="N935" r:id="rId929"/>
    <hyperlink xmlns:r="http://schemas.openxmlformats.org/officeDocument/2006/relationships" ref="N936" r:id="rId930"/>
    <hyperlink xmlns:r="http://schemas.openxmlformats.org/officeDocument/2006/relationships" ref="O937" r:id="rId931"/>
    <hyperlink xmlns:r="http://schemas.openxmlformats.org/officeDocument/2006/relationships" ref="O938" r:id="rId932"/>
    <hyperlink xmlns:r="http://schemas.openxmlformats.org/officeDocument/2006/relationships" ref="N939" r:id="rId933"/>
    <hyperlink xmlns:r="http://schemas.openxmlformats.org/officeDocument/2006/relationships" ref="N940" r:id="rId934"/>
    <hyperlink xmlns:r="http://schemas.openxmlformats.org/officeDocument/2006/relationships" ref="N941" r:id="rId935"/>
    <hyperlink xmlns:r="http://schemas.openxmlformats.org/officeDocument/2006/relationships" ref="O942" r:id="rId936"/>
    <hyperlink xmlns:r="http://schemas.openxmlformats.org/officeDocument/2006/relationships" ref="O943" r:id="rId937"/>
    <hyperlink xmlns:r="http://schemas.openxmlformats.org/officeDocument/2006/relationships" ref="N944" r:id="rId938"/>
    <hyperlink xmlns:r="http://schemas.openxmlformats.org/officeDocument/2006/relationships" ref="O945" r:id="rId939"/>
    <hyperlink xmlns:r="http://schemas.openxmlformats.org/officeDocument/2006/relationships" ref="N946" r:id="rId940"/>
    <hyperlink xmlns:r="http://schemas.openxmlformats.org/officeDocument/2006/relationships" ref="N947" r:id="rId941"/>
    <hyperlink xmlns:r="http://schemas.openxmlformats.org/officeDocument/2006/relationships" ref="N948" r:id="rId942"/>
    <hyperlink xmlns:r="http://schemas.openxmlformats.org/officeDocument/2006/relationships" ref="N949" r:id="rId943"/>
    <hyperlink xmlns:r="http://schemas.openxmlformats.org/officeDocument/2006/relationships" ref="N950" r:id="rId944"/>
    <hyperlink xmlns:r="http://schemas.openxmlformats.org/officeDocument/2006/relationships" ref="N951" r:id="rId945"/>
    <hyperlink xmlns:r="http://schemas.openxmlformats.org/officeDocument/2006/relationships" ref="N952" r:id="rId946"/>
    <hyperlink xmlns:r="http://schemas.openxmlformats.org/officeDocument/2006/relationships" ref="N953" r:id="rId947"/>
    <hyperlink xmlns:r="http://schemas.openxmlformats.org/officeDocument/2006/relationships" ref="N954" r:id="rId948"/>
    <hyperlink xmlns:r="http://schemas.openxmlformats.org/officeDocument/2006/relationships" ref="N955" r:id="rId949"/>
    <hyperlink xmlns:r="http://schemas.openxmlformats.org/officeDocument/2006/relationships" ref="N956" r:id="rId950"/>
    <hyperlink xmlns:r="http://schemas.openxmlformats.org/officeDocument/2006/relationships" ref="N957" r:id="rId951"/>
    <hyperlink xmlns:r="http://schemas.openxmlformats.org/officeDocument/2006/relationships" ref="N958" r:id="rId952"/>
    <hyperlink xmlns:r="http://schemas.openxmlformats.org/officeDocument/2006/relationships" ref="N959" r:id="rId953"/>
    <hyperlink xmlns:r="http://schemas.openxmlformats.org/officeDocument/2006/relationships" ref="N960" r:id="rId954"/>
    <hyperlink xmlns:r="http://schemas.openxmlformats.org/officeDocument/2006/relationships" ref="N961" r:id="rId955"/>
    <hyperlink xmlns:r="http://schemas.openxmlformats.org/officeDocument/2006/relationships" ref="N962" r:id="rId956"/>
    <hyperlink xmlns:r="http://schemas.openxmlformats.org/officeDocument/2006/relationships" ref="N963" r:id="rId957"/>
    <hyperlink xmlns:r="http://schemas.openxmlformats.org/officeDocument/2006/relationships" ref="N964" r:id="rId958"/>
    <hyperlink xmlns:r="http://schemas.openxmlformats.org/officeDocument/2006/relationships" ref="N965" r:id="rId959"/>
    <hyperlink xmlns:r="http://schemas.openxmlformats.org/officeDocument/2006/relationships" ref="N966" r:id="rId960"/>
    <hyperlink xmlns:r="http://schemas.openxmlformats.org/officeDocument/2006/relationships" ref="N967" r:id="rId961"/>
    <hyperlink xmlns:r="http://schemas.openxmlformats.org/officeDocument/2006/relationships" ref="N968" r:id="rId962"/>
    <hyperlink xmlns:r="http://schemas.openxmlformats.org/officeDocument/2006/relationships" ref="N969" r:id="rId963"/>
    <hyperlink xmlns:r="http://schemas.openxmlformats.org/officeDocument/2006/relationships" ref="N970" r:id="rId964"/>
    <hyperlink xmlns:r="http://schemas.openxmlformats.org/officeDocument/2006/relationships" ref="N971" r:id="rId965"/>
    <hyperlink xmlns:r="http://schemas.openxmlformats.org/officeDocument/2006/relationships" ref="N972" r:id="rId966"/>
    <hyperlink xmlns:r="http://schemas.openxmlformats.org/officeDocument/2006/relationships" ref="N973" r:id="rId967"/>
    <hyperlink xmlns:r="http://schemas.openxmlformats.org/officeDocument/2006/relationships" ref="O974" r:id="rId968"/>
    <hyperlink xmlns:r="http://schemas.openxmlformats.org/officeDocument/2006/relationships" ref="O975" r:id="rId969"/>
    <hyperlink xmlns:r="http://schemas.openxmlformats.org/officeDocument/2006/relationships" ref="O976" r:id="rId970"/>
    <hyperlink xmlns:r="http://schemas.openxmlformats.org/officeDocument/2006/relationships" ref="O977" r:id="rId971"/>
    <hyperlink xmlns:r="http://schemas.openxmlformats.org/officeDocument/2006/relationships" ref="O978" r:id="rId972"/>
    <hyperlink xmlns:r="http://schemas.openxmlformats.org/officeDocument/2006/relationships" ref="O979" r:id="rId973"/>
    <hyperlink xmlns:r="http://schemas.openxmlformats.org/officeDocument/2006/relationships" ref="N980" r:id="rId974"/>
    <hyperlink xmlns:r="http://schemas.openxmlformats.org/officeDocument/2006/relationships" ref="N981" r:id="rId975"/>
    <hyperlink xmlns:r="http://schemas.openxmlformats.org/officeDocument/2006/relationships" ref="O982" r:id="rId976"/>
    <hyperlink xmlns:r="http://schemas.openxmlformats.org/officeDocument/2006/relationships" ref="N983" r:id="rId977"/>
    <hyperlink xmlns:r="http://schemas.openxmlformats.org/officeDocument/2006/relationships" ref="N984" r:id="rId978"/>
    <hyperlink xmlns:r="http://schemas.openxmlformats.org/officeDocument/2006/relationships" ref="O985" r:id="rId979"/>
    <hyperlink xmlns:r="http://schemas.openxmlformats.org/officeDocument/2006/relationships" ref="O986" r:id="rId980"/>
    <hyperlink xmlns:r="http://schemas.openxmlformats.org/officeDocument/2006/relationships" ref="N987" r:id="rId981"/>
    <hyperlink xmlns:r="http://schemas.openxmlformats.org/officeDocument/2006/relationships" ref="N988" r:id="rId982"/>
    <hyperlink xmlns:r="http://schemas.openxmlformats.org/officeDocument/2006/relationships" ref="N989" r:id="rId983"/>
    <hyperlink xmlns:r="http://schemas.openxmlformats.org/officeDocument/2006/relationships" ref="O990" r:id="rId984"/>
    <hyperlink xmlns:r="http://schemas.openxmlformats.org/officeDocument/2006/relationships" ref="O991" r:id="rId985"/>
    <hyperlink xmlns:r="http://schemas.openxmlformats.org/officeDocument/2006/relationships" ref="N992" r:id="rId986"/>
    <hyperlink xmlns:r="http://schemas.openxmlformats.org/officeDocument/2006/relationships" ref="O993" r:id="rId987"/>
    <hyperlink xmlns:r="http://schemas.openxmlformats.org/officeDocument/2006/relationships" ref="O994" r:id="rId988"/>
    <hyperlink xmlns:r="http://schemas.openxmlformats.org/officeDocument/2006/relationships" ref="O995" r:id="rId989"/>
    <hyperlink xmlns:r="http://schemas.openxmlformats.org/officeDocument/2006/relationships" ref="O996" r:id="rId990"/>
    <hyperlink xmlns:r="http://schemas.openxmlformats.org/officeDocument/2006/relationships" ref="N997" r:id="rId991"/>
    <hyperlink xmlns:r="http://schemas.openxmlformats.org/officeDocument/2006/relationships" ref="O998" r:id="rId992"/>
    <hyperlink xmlns:r="http://schemas.openxmlformats.org/officeDocument/2006/relationships" ref="N999" r:id="rId993"/>
    <hyperlink xmlns:r="http://schemas.openxmlformats.org/officeDocument/2006/relationships" ref="N1000" r:id="rId994"/>
    <hyperlink xmlns:r="http://schemas.openxmlformats.org/officeDocument/2006/relationships" ref="O1001" r:id="rId995"/>
    <hyperlink xmlns:r="http://schemas.openxmlformats.org/officeDocument/2006/relationships" ref="O1002" r:id="rId996"/>
    <hyperlink xmlns:r="http://schemas.openxmlformats.org/officeDocument/2006/relationships" ref="O1003" r:id="rId997"/>
    <hyperlink xmlns:r="http://schemas.openxmlformats.org/officeDocument/2006/relationships" ref="O1004" r:id="rId998"/>
    <hyperlink xmlns:r="http://schemas.openxmlformats.org/officeDocument/2006/relationships" ref="N1005" r:id="rId999"/>
    <hyperlink xmlns:r="http://schemas.openxmlformats.org/officeDocument/2006/relationships" ref="N1006" r:id="rId1000"/>
    <hyperlink xmlns:r="http://schemas.openxmlformats.org/officeDocument/2006/relationships" ref="O1007" r:id="rId1001"/>
    <hyperlink xmlns:r="http://schemas.openxmlformats.org/officeDocument/2006/relationships" ref="N1008" r:id="rId1002"/>
    <hyperlink xmlns:r="http://schemas.openxmlformats.org/officeDocument/2006/relationships" ref="N1009" r:id="rId1003"/>
    <hyperlink xmlns:r="http://schemas.openxmlformats.org/officeDocument/2006/relationships" ref="O1010" r:id="rId1004"/>
    <hyperlink xmlns:r="http://schemas.openxmlformats.org/officeDocument/2006/relationships" ref="O1011" r:id="rId1005"/>
    <hyperlink xmlns:r="http://schemas.openxmlformats.org/officeDocument/2006/relationships" ref="N1012" r:id="rId1006"/>
    <hyperlink xmlns:r="http://schemas.openxmlformats.org/officeDocument/2006/relationships" ref="N1013" r:id="rId1007"/>
    <hyperlink xmlns:r="http://schemas.openxmlformats.org/officeDocument/2006/relationships" ref="N1014" r:id="rId1008"/>
    <hyperlink xmlns:r="http://schemas.openxmlformats.org/officeDocument/2006/relationships" ref="O1015" r:id="rId1009"/>
    <hyperlink xmlns:r="http://schemas.openxmlformats.org/officeDocument/2006/relationships" ref="O1016" r:id="rId1010"/>
    <hyperlink xmlns:r="http://schemas.openxmlformats.org/officeDocument/2006/relationships" ref="N1017" r:id="rId1011"/>
    <hyperlink xmlns:r="http://schemas.openxmlformats.org/officeDocument/2006/relationships" ref="O1018" r:id="rId1012"/>
    <hyperlink xmlns:r="http://schemas.openxmlformats.org/officeDocument/2006/relationships" ref="O1019" r:id="rId1013"/>
    <hyperlink xmlns:r="http://schemas.openxmlformats.org/officeDocument/2006/relationships" ref="O1020" r:id="rId1014"/>
    <hyperlink xmlns:r="http://schemas.openxmlformats.org/officeDocument/2006/relationships" ref="O1021" r:id="rId1015"/>
    <hyperlink xmlns:r="http://schemas.openxmlformats.org/officeDocument/2006/relationships" ref="N1022" r:id="rId1016"/>
    <hyperlink xmlns:r="http://schemas.openxmlformats.org/officeDocument/2006/relationships" ref="O1023" r:id="rId1017"/>
    <hyperlink xmlns:r="http://schemas.openxmlformats.org/officeDocument/2006/relationships" ref="N1024" r:id="rId1018"/>
    <hyperlink xmlns:r="http://schemas.openxmlformats.org/officeDocument/2006/relationships" ref="N1025" r:id="rId1019"/>
    <hyperlink xmlns:r="http://schemas.openxmlformats.org/officeDocument/2006/relationships" ref="N1026" r:id="rId1020"/>
    <hyperlink xmlns:r="http://schemas.openxmlformats.org/officeDocument/2006/relationships" ref="N1027" r:id="rId1021"/>
    <hyperlink xmlns:r="http://schemas.openxmlformats.org/officeDocument/2006/relationships" ref="N1028" r:id="rId1022"/>
    <hyperlink xmlns:r="http://schemas.openxmlformats.org/officeDocument/2006/relationships" ref="N1029" r:id="rId1023"/>
    <hyperlink xmlns:r="http://schemas.openxmlformats.org/officeDocument/2006/relationships" ref="N1030" r:id="rId1024"/>
    <hyperlink xmlns:r="http://schemas.openxmlformats.org/officeDocument/2006/relationships" ref="N1031" r:id="rId1025"/>
    <hyperlink xmlns:r="http://schemas.openxmlformats.org/officeDocument/2006/relationships" ref="N1032" r:id="rId1026"/>
    <hyperlink xmlns:r="http://schemas.openxmlformats.org/officeDocument/2006/relationships" ref="N1033" r:id="rId1027"/>
    <hyperlink xmlns:r="http://schemas.openxmlformats.org/officeDocument/2006/relationships" ref="N1034" r:id="rId1028"/>
    <hyperlink xmlns:r="http://schemas.openxmlformats.org/officeDocument/2006/relationships" ref="N1035" r:id="rId1029"/>
    <hyperlink xmlns:r="http://schemas.openxmlformats.org/officeDocument/2006/relationships" ref="N1036" r:id="rId1030"/>
    <hyperlink xmlns:r="http://schemas.openxmlformats.org/officeDocument/2006/relationships" ref="N1037" r:id="rId1031"/>
    <hyperlink xmlns:r="http://schemas.openxmlformats.org/officeDocument/2006/relationships" ref="N1038" r:id="rId1032"/>
    <hyperlink xmlns:r="http://schemas.openxmlformats.org/officeDocument/2006/relationships" ref="N1039" r:id="rId1033"/>
    <hyperlink xmlns:r="http://schemas.openxmlformats.org/officeDocument/2006/relationships" ref="N1040" r:id="rId1034"/>
    <hyperlink xmlns:r="http://schemas.openxmlformats.org/officeDocument/2006/relationships" ref="N1041" r:id="rId1035"/>
    <hyperlink xmlns:r="http://schemas.openxmlformats.org/officeDocument/2006/relationships" ref="N1042" r:id="rId1036"/>
    <hyperlink xmlns:r="http://schemas.openxmlformats.org/officeDocument/2006/relationships" ref="N1043" r:id="rId1037"/>
    <hyperlink xmlns:r="http://schemas.openxmlformats.org/officeDocument/2006/relationships" ref="N1044" r:id="rId1038"/>
    <hyperlink xmlns:r="http://schemas.openxmlformats.org/officeDocument/2006/relationships" ref="N1045" r:id="rId1039"/>
    <hyperlink xmlns:r="http://schemas.openxmlformats.org/officeDocument/2006/relationships" ref="N1046" r:id="rId1040"/>
    <hyperlink xmlns:r="http://schemas.openxmlformats.org/officeDocument/2006/relationships" ref="N1047" r:id="rId1041"/>
    <hyperlink xmlns:r="http://schemas.openxmlformats.org/officeDocument/2006/relationships" ref="N1048" r:id="rId1042"/>
    <hyperlink xmlns:r="http://schemas.openxmlformats.org/officeDocument/2006/relationships" ref="N1049" r:id="rId1043"/>
    <hyperlink xmlns:r="http://schemas.openxmlformats.org/officeDocument/2006/relationships" ref="N1050" r:id="rId1044"/>
    <hyperlink xmlns:r="http://schemas.openxmlformats.org/officeDocument/2006/relationships" ref="N1051" r:id="rId1045"/>
    <hyperlink xmlns:r="http://schemas.openxmlformats.org/officeDocument/2006/relationships" ref="O1052" r:id="rId1046"/>
    <hyperlink xmlns:r="http://schemas.openxmlformats.org/officeDocument/2006/relationships" ref="O1053" r:id="rId1047"/>
    <hyperlink xmlns:r="http://schemas.openxmlformats.org/officeDocument/2006/relationships" ref="O1054" r:id="rId1048"/>
    <hyperlink xmlns:r="http://schemas.openxmlformats.org/officeDocument/2006/relationships" ref="N1055" r:id="rId1049"/>
    <hyperlink xmlns:r="http://schemas.openxmlformats.org/officeDocument/2006/relationships" ref="N1056" r:id="rId1050"/>
    <hyperlink xmlns:r="http://schemas.openxmlformats.org/officeDocument/2006/relationships" ref="N1057" r:id="rId1051"/>
    <hyperlink xmlns:r="http://schemas.openxmlformats.org/officeDocument/2006/relationships" ref="O1058" r:id="rId1052"/>
    <hyperlink xmlns:r="http://schemas.openxmlformats.org/officeDocument/2006/relationships" ref="N1059" r:id="rId1053"/>
    <hyperlink xmlns:r="http://schemas.openxmlformats.org/officeDocument/2006/relationships" ref="O1060" r:id="rId1054"/>
    <hyperlink xmlns:r="http://schemas.openxmlformats.org/officeDocument/2006/relationships" ref="O1061" r:id="rId1055"/>
    <hyperlink xmlns:r="http://schemas.openxmlformats.org/officeDocument/2006/relationships" ref="O1062" r:id="rId1056"/>
    <hyperlink xmlns:r="http://schemas.openxmlformats.org/officeDocument/2006/relationships" ref="N1063" r:id="rId1057"/>
    <hyperlink xmlns:r="http://schemas.openxmlformats.org/officeDocument/2006/relationships" ref="N1064" r:id="rId1058"/>
    <hyperlink xmlns:r="http://schemas.openxmlformats.org/officeDocument/2006/relationships" ref="N1065" r:id="rId1059"/>
    <hyperlink xmlns:r="http://schemas.openxmlformats.org/officeDocument/2006/relationships" ref="O1066" r:id="rId1060"/>
    <hyperlink xmlns:r="http://schemas.openxmlformats.org/officeDocument/2006/relationships" ref="N1067" r:id="rId1061"/>
    <hyperlink xmlns:r="http://schemas.openxmlformats.org/officeDocument/2006/relationships" ref="N1068" r:id="rId1062"/>
    <hyperlink xmlns:r="http://schemas.openxmlformats.org/officeDocument/2006/relationships" ref="O1069" r:id="rId1063"/>
    <hyperlink xmlns:r="http://schemas.openxmlformats.org/officeDocument/2006/relationships" ref="N1070" r:id="rId1064"/>
    <hyperlink xmlns:r="http://schemas.openxmlformats.org/officeDocument/2006/relationships" ref="O1071" r:id="rId1065"/>
    <hyperlink xmlns:r="http://schemas.openxmlformats.org/officeDocument/2006/relationships" ref="N1072" r:id="rId1066"/>
    <hyperlink xmlns:r="http://schemas.openxmlformats.org/officeDocument/2006/relationships" ref="N1073" r:id="rId1067"/>
    <hyperlink xmlns:r="http://schemas.openxmlformats.org/officeDocument/2006/relationships" ref="N1074" r:id="rId1068"/>
    <hyperlink xmlns:r="http://schemas.openxmlformats.org/officeDocument/2006/relationships" ref="O1075" r:id="rId1069"/>
    <hyperlink xmlns:r="http://schemas.openxmlformats.org/officeDocument/2006/relationships" ref="N1076" r:id="rId1070"/>
    <hyperlink xmlns:r="http://schemas.openxmlformats.org/officeDocument/2006/relationships" ref="O1077" r:id="rId1071"/>
    <hyperlink xmlns:r="http://schemas.openxmlformats.org/officeDocument/2006/relationships" ref="O1078" r:id="rId1072"/>
    <hyperlink xmlns:r="http://schemas.openxmlformats.org/officeDocument/2006/relationships" ref="N1079" r:id="rId1073"/>
    <hyperlink xmlns:r="http://schemas.openxmlformats.org/officeDocument/2006/relationships" ref="N1080" r:id="rId1074"/>
    <hyperlink xmlns:r="http://schemas.openxmlformats.org/officeDocument/2006/relationships" ref="O1081" r:id="rId1075"/>
    <hyperlink xmlns:r="http://schemas.openxmlformats.org/officeDocument/2006/relationships" ref="O1082" r:id="rId1076"/>
    <hyperlink xmlns:r="http://schemas.openxmlformats.org/officeDocument/2006/relationships" ref="N1083" r:id="rId1077"/>
    <hyperlink xmlns:r="http://schemas.openxmlformats.org/officeDocument/2006/relationships" ref="O1084" r:id="rId1078"/>
    <hyperlink xmlns:r="http://schemas.openxmlformats.org/officeDocument/2006/relationships" ref="N1085" r:id="rId1079"/>
    <hyperlink xmlns:r="http://schemas.openxmlformats.org/officeDocument/2006/relationships" ref="N1086" r:id="rId1080"/>
    <hyperlink xmlns:r="http://schemas.openxmlformats.org/officeDocument/2006/relationships" ref="N1087" r:id="rId1081"/>
    <hyperlink xmlns:r="http://schemas.openxmlformats.org/officeDocument/2006/relationships" ref="O1088" r:id="rId1082"/>
    <hyperlink xmlns:r="http://schemas.openxmlformats.org/officeDocument/2006/relationships" ref="O1089" r:id="rId1083"/>
    <hyperlink xmlns:r="http://schemas.openxmlformats.org/officeDocument/2006/relationships" ref="N1090" r:id="rId1084"/>
    <hyperlink xmlns:r="http://schemas.openxmlformats.org/officeDocument/2006/relationships" ref="N1091" r:id="rId1085"/>
    <hyperlink xmlns:r="http://schemas.openxmlformats.org/officeDocument/2006/relationships" ref="N1092" r:id="rId1086"/>
    <hyperlink xmlns:r="http://schemas.openxmlformats.org/officeDocument/2006/relationships" ref="N1093" r:id="rId1087"/>
    <hyperlink xmlns:r="http://schemas.openxmlformats.org/officeDocument/2006/relationships" ref="N1094" r:id="rId1088"/>
    <hyperlink xmlns:r="http://schemas.openxmlformats.org/officeDocument/2006/relationships" ref="O1095" r:id="rId1089"/>
    <hyperlink xmlns:r="http://schemas.openxmlformats.org/officeDocument/2006/relationships" ref="N1096" r:id="rId1090"/>
    <hyperlink xmlns:r="http://schemas.openxmlformats.org/officeDocument/2006/relationships" ref="N1097" r:id="rId1091"/>
    <hyperlink xmlns:r="http://schemas.openxmlformats.org/officeDocument/2006/relationships" ref="N1098" r:id="rId1092"/>
    <hyperlink xmlns:r="http://schemas.openxmlformats.org/officeDocument/2006/relationships" ref="N1099" r:id="rId1093"/>
    <hyperlink xmlns:r="http://schemas.openxmlformats.org/officeDocument/2006/relationships" ref="N1100" r:id="rId1094"/>
    <hyperlink xmlns:r="http://schemas.openxmlformats.org/officeDocument/2006/relationships" ref="N1101" r:id="rId1095"/>
    <hyperlink xmlns:r="http://schemas.openxmlformats.org/officeDocument/2006/relationships" ref="N1102" r:id="rId1096"/>
    <hyperlink xmlns:r="http://schemas.openxmlformats.org/officeDocument/2006/relationships" ref="N1103" r:id="rId1097"/>
    <hyperlink xmlns:r="http://schemas.openxmlformats.org/officeDocument/2006/relationships" ref="N1104" r:id="rId1098"/>
    <hyperlink xmlns:r="http://schemas.openxmlformats.org/officeDocument/2006/relationships" ref="N1105" r:id="rId1099"/>
    <hyperlink xmlns:r="http://schemas.openxmlformats.org/officeDocument/2006/relationships" ref="N1106" r:id="rId1100"/>
    <hyperlink xmlns:r="http://schemas.openxmlformats.org/officeDocument/2006/relationships" ref="N1107" r:id="rId1101"/>
    <hyperlink xmlns:r="http://schemas.openxmlformats.org/officeDocument/2006/relationships" ref="N1108" r:id="rId1102"/>
    <hyperlink xmlns:r="http://schemas.openxmlformats.org/officeDocument/2006/relationships" ref="N1109" r:id="rId1103"/>
    <hyperlink xmlns:r="http://schemas.openxmlformats.org/officeDocument/2006/relationships" ref="N1110" r:id="rId1104"/>
    <hyperlink xmlns:r="http://schemas.openxmlformats.org/officeDocument/2006/relationships" ref="N1111" r:id="rId1105"/>
    <hyperlink xmlns:r="http://schemas.openxmlformats.org/officeDocument/2006/relationships" ref="N1112" r:id="rId1106"/>
    <hyperlink xmlns:r="http://schemas.openxmlformats.org/officeDocument/2006/relationships" ref="N1113" r:id="rId1107"/>
    <hyperlink xmlns:r="http://schemas.openxmlformats.org/officeDocument/2006/relationships" ref="N1114" r:id="rId1108"/>
    <hyperlink xmlns:r="http://schemas.openxmlformats.org/officeDocument/2006/relationships" ref="N1115" r:id="rId1109"/>
    <hyperlink xmlns:r="http://schemas.openxmlformats.org/officeDocument/2006/relationships" ref="N1116" r:id="rId1110"/>
    <hyperlink xmlns:r="http://schemas.openxmlformats.org/officeDocument/2006/relationships" ref="N1117" r:id="rId1111"/>
    <hyperlink xmlns:r="http://schemas.openxmlformats.org/officeDocument/2006/relationships" ref="N1118" r:id="rId1112"/>
    <hyperlink xmlns:r="http://schemas.openxmlformats.org/officeDocument/2006/relationships" ref="N1119" r:id="rId1113"/>
    <hyperlink xmlns:r="http://schemas.openxmlformats.org/officeDocument/2006/relationships" ref="N1120" r:id="rId1114"/>
    <hyperlink xmlns:r="http://schemas.openxmlformats.org/officeDocument/2006/relationships" ref="O1121" r:id="rId1115"/>
    <hyperlink xmlns:r="http://schemas.openxmlformats.org/officeDocument/2006/relationships" ref="N1122" r:id="rId1116"/>
    <hyperlink xmlns:r="http://schemas.openxmlformats.org/officeDocument/2006/relationships" ref="N1123" r:id="rId1117"/>
    <hyperlink xmlns:r="http://schemas.openxmlformats.org/officeDocument/2006/relationships" ref="N1124" r:id="rId1118"/>
    <hyperlink xmlns:r="http://schemas.openxmlformats.org/officeDocument/2006/relationships" ref="N1125" r:id="rId1119"/>
    <hyperlink xmlns:r="http://schemas.openxmlformats.org/officeDocument/2006/relationships" ref="N1126" r:id="rId1120"/>
    <hyperlink xmlns:r="http://schemas.openxmlformats.org/officeDocument/2006/relationships" ref="O1127" r:id="rId1121"/>
    <hyperlink xmlns:r="http://schemas.openxmlformats.org/officeDocument/2006/relationships" ref="N1128" r:id="rId1122"/>
    <hyperlink xmlns:r="http://schemas.openxmlformats.org/officeDocument/2006/relationships" ref="N1129" r:id="rId1123"/>
    <hyperlink xmlns:r="http://schemas.openxmlformats.org/officeDocument/2006/relationships" ref="N1130" r:id="rId1124"/>
    <hyperlink xmlns:r="http://schemas.openxmlformats.org/officeDocument/2006/relationships" ref="N1131" r:id="rId1125"/>
    <hyperlink xmlns:r="http://schemas.openxmlformats.org/officeDocument/2006/relationships" ref="N1132" r:id="rId1126"/>
    <hyperlink xmlns:r="http://schemas.openxmlformats.org/officeDocument/2006/relationships" ref="N1133" r:id="rId1127"/>
    <hyperlink xmlns:r="http://schemas.openxmlformats.org/officeDocument/2006/relationships" ref="N1134" r:id="rId1128"/>
    <hyperlink xmlns:r="http://schemas.openxmlformats.org/officeDocument/2006/relationships" ref="N1135" r:id="rId1129"/>
    <hyperlink xmlns:r="http://schemas.openxmlformats.org/officeDocument/2006/relationships" ref="N1136" r:id="rId1130"/>
    <hyperlink xmlns:r="http://schemas.openxmlformats.org/officeDocument/2006/relationships" ref="N1137" r:id="rId1131"/>
    <hyperlink xmlns:r="http://schemas.openxmlformats.org/officeDocument/2006/relationships" ref="N1138" r:id="rId1132"/>
    <hyperlink xmlns:r="http://schemas.openxmlformats.org/officeDocument/2006/relationships" ref="N1139" r:id="rId1133"/>
    <hyperlink xmlns:r="http://schemas.openxmlformats.org/officeDocument/2006/relationships" ref="O1140" r:id="rId1134"/>
    <hyperlink xmlns:r="http://schemas.openxmlformats.org/officeDocument/2006/relationships" ref="N1141" r:id="rId1135"/>
    <hyperlink xmlns:r="http://schemas.openxmlformats.org/officeDocument/2006/relationships" ref="N1142" r:id="rId1136"/>
    <hyperlink xmlns:r="http://schemas.openxmlformats.org/officeDocument/2006/relationships" ref="N1143" r:id="rId1137"/>
    <hyperlink xmlns:r="http://schemas.openxmlformats.org/officeDocument/2006/relationships" ref="N1144" r:id="rId1138"/>
    <hyperlink xmlns:r="http://schemas.openxmlformats.org/officeDocument/2006/relationships" ref="N1145" r:id="rId1139"/>
    <hyperlink xmlns:r="http://schemas.openxmlformats.org/officeDocument/2006/relationships" ref="N1146" r:id="rId1140"/>
    <hyperlink xmlns:r="http://schemas.openxmlformats.org/officeDocument/2006/relationships" ref="N1147" r:id="rId1141"/>
    <hyperlink xmlns:r="http://schemas.openxmlformats.org/officeDocument/2006/relationships" ref="N1148" r:id="rId1142"/>
    <hyperlink xmlns:r="http://schemas.openxmlformats.org/officeDocument/2006/relationships" ref="N1149" r:id="rId1143"/>
    <hyperlink xmlns:r="http://schemas.openxmlformats.org/officeDocument/2006/relationships" ref="N1150" r:id="rId1144"/>
    <hyperlink xmlns:r="http://schemas.openxmlformats.org/officeDocument/2006/relationships" ref="N1151" r:id="rId1145"/>
    <hyperlink xmlns:r="http://schemas.openxmlformats.org/officeDocument/2006/relationships" ref="N1152" r:id="rId1146"/>
    <hyperlink xmlns:r="http://schemas.openxmlformats.org/officeDocument/2006/relationships" ref="N1153" r:id="rId1147"/>
    <hyperlink xmlns:r="http://schemas.openxmlformats.org/officeDocument/2006/relationships" ref="N1154" r:id="rId1148"/>
    <hyperlink xmlns:r="http://schemas.openxmlformats.org/officeDocument/2006/relationships" ref="N1155" r:id="rId1149"/>
    <hyperlink xmlns:r="http://schemas.openxmlformats.org/officeDocument/2006/relationships" ref="N1156" r:id="rId1150"/>
    <hyperlink xmlns:r="http://schemas.openxmlformats.org/officeDocument/2006/relationships" ref="N1157" r:id="rId1151"/>
    <hyperlink xmlns:r="http://schemas.openxmlformats.org/officeDocument/2006/relationships" ref="O1158" r:id="rId1152"/>
    <hyperlink xmlns:r="http://schemas.openxmlformats.org/officeDocument/2006/relationships" ref="N1159" r:id="rId1153"/>
    <hyperlink xmlns:r="http://schemas.openxmlformats.org/officeDocument/2006/relationships" ref="N1160" r:id="rId1154"/>
    <hyperlink xmlns:r="http://schemas.openxmlformats.org/officeDocument/2006/relationships" ref="N1161" r:id="rId1155"/>
    <hyperlink xmlns:r="http://schemas.openxmlformats.org/officeDocument/2006/relationships" ref="N1162" r:id="rId1156"/>
    <hyperlink xmlns:r="http://schemas.openxmlformats.org/officeDocument/2006/relationships" ref="O1163" r:id="rId1157"/>
    <hyperlink xmlns:r="http://schemas.openxmlformats.org/officeDocument/2006/relationships" ref="N1164" r:id="rId1158"/>
    <hyperlink xmlns:r="http://schemas.openxmlformats.org/officeDocument/2006/relationships" ref="O1165" r:id="rId1159"/>
    <hyperlink xmlns:r="http://schemas.openxmlformats.org/officeDocument/2006/relationships" ref="O1166" r:id="rId1160"/>
    <hyperlink xmlns:r="http://schemas.openxmlformats.org/officeDocument/2006/relationships" ref="N1167" r:id="rId1161"/>
    <hyperlink xmlns:r="http://schemas.openxmlformats.org/officeDocument/2006/relationships" ref="O1168" r:id="rId1162"/>
    <hyperlink xmlns:r="http://schemas.openxmlformats.org/officeDocument/2006/relationships" ref="N1169" r:id="rId1163"/>
    <hyperlink xmlns:r="http://schemas.openxmlformats.org/officeDocument/2006/relationships" ref="N1170" r:id="rId1164"/>
    <hyperlink xmlns:r="http://schemas.openxmlformats.org/officeDocument/2006/relationships" ref="O1171" r:id="rId1165"/>
    <hyperlink xmlns:r="http://schemas.openxmlformats.org/officeDocument/2006/relationships" ref="O1172" r:id="rId1166"/>
    <hyperlink xmlns:r="http://schemas.openxmlformats.org/officeDocument/2006/relationships" ref="N1173" r:id="rId1167"/>
    <hyperlink xmlns:r="http://schemas.openxmlformats.org/officeDocument/2006/relationships" ref="N1174" r:id="rId1168"/>
    <hyperlink xmlns:r="http://schemas.openxmlformats.org/officeDocument/2006/relationships" ref="N1175" r:id="rId1169"/>
    <hyperlink xmlns:r="http://schemas.openxmlformats.org/officeDocument/2006/relationships" ref="N1176" r:id="rId1170"/>
    <hyperlink xmlns:r="http://schemas.openxmlformats.org/officeDocument/2006/relationships" ref="N1177" r:id="rId1171"/>
    <hyperlink xmlns:r="http://schemas.openxmlformats.org/officeDocument/2006/relationships" ref="O1178" r:id="rId1172"/>
    <hyperlink xmlns:r="http://schemas.openxmlformats.org/officeDocument/2006/relationships" ref="N1179" r:id="rId1173"/>
    <hyperlink xmlns:r="http://schemas.openxmlformats.org/officeDocument/2006/relationships" ref="O1180" r:id="rId1174"/>
    <hyperlink xmlns:r="http://schemas.openxmlformats.org/officeDocument/2006/relationships" ref="N1181" r:id="rId1175"/>
    <hyperlink xmlns:r="http://schemas.openxmlformats.org/officeDocument/2006/relationships" ref="N1182" r:id="rId1176"/>
    <hyperlink xmlns:r="http://schemas.openxmlformats.org/officeDocument/2006/relationships" ref="N1183" r:id="rId1177"/>
    <hyperlink xmlns:r="http://schemas.openxmlformats.org/officeDocument/2006/relationships" ref="N1184" r:id="rId1178"/>
    <hyperlink xmlns:r="http://schemas.openxmlformats.org/officeDocument/2006/relationships" ref="N1185" r:id="rId1179"/>
    <hyperlink xmlns:r="http://schemas.openxmlformats.org/officeDocument/2006/relationships" ref="N1186" r:id="rId1180"/>
    <hyperlink xmlns:r="http://schemas.openxmlformats.org/officeDocument/2006/relationships" ref="N1187" r:id="rId1181"/>
    <hyperlink xmlns:r="http://schemas.openxmlformats.org/officeDocument/2006/relationships" ref="N1188" r:id="rId1182"/>
    <hyperlink xmlns:r="http://schemas.openxmlformats.org/officeDocument/2006/relationships" ref="N1189" r:id="rId1183"/>
    <hyperlink xmlns:r="http://schemas.openxmlformats.org/officeDocument/2006/relationships" ref="N1190" r:id="rId1184"/>
    <hyperlink xmlns:r="http://schemas.openxmlformats.org/officeDocument/2006/relationships" ref="N1191" r:id="rId1185"/>
    <hyperlink xmlns:r="http://schemas.openxmlformats.org/officeDocument/2006/relationships" ref="O1192" r:id="rId1186"/>
    <hyperlink xmlns:r="http://schemas.openxmlformats.org/officeDocument/2006/relationships" ref="N1193" r:id="rId1187"/>
    <hyperlink xmlns:r="http://schemas.openxmlformats.org/officeDocument/2006/relationships" ref="O1194" r:id="rId1188"/>
    <hyperlink xmlns:r="http://schemas.openxmlformats.org/officeDocument/2006/relationships" ref="N1195" r:id="rId1189"/>
    <hyperlink xmlns:r="http://schemas.openxmlformats.org/officeDocument/2006/relationships" ref="N1196" r:id="rId1190"/>
    <hyperlink xmlns:r="http://schemas.openxmlformats.org/officeDocument/2006/relationships" ref="N1197" r:id="rId1191"/>
    <hyperlink xmlns:r="http://schemas.openxmlformats.org/officeDocument/2006/relationships" ref="O1198" r:id="rId1192"/>
    <hyperlink xmlns:r="http://schemas.openxmlformats.org/officeDocument/2006/relationships" ref="N1199" r:id="rId1193"/>
    <hyperlink xmlns:r="http://schemas.openxmlformats.org/officeDocument/2006/relationships" ref="N1200" r:id="rId1194"/>
    <hyperlink xmlns:r="http://schemas.openxmlformats.org/officeDocument/2006/relationships" ref="N1201" r:id="rId1195"/>
    <hyperlink xmlns:r="http://schemas.openxmlformats.org/officeDocument/2006/relationships" ref="N1202" r:id="rId1196"/>
    <hyperlink xmlns:r="http://schemas.openxmlformats.org/officeDocument/2006/relationships" ref="N1203" r:id="rId1197"/>
    <hyperlink xmlns:r="http://schemas.openxmlformats.org/officeDocument/2006/relationships" ref="N1204" r:id="rId1198"/>
    <hyperlink xmlns:r="http://schemas.openxmlformats.org/officeDocument/2006/relationships" ref="N1205" r:id="rId1199"/>
    <hyperlink xmlns:r="http://schemas.openxmlformats.org/officeDocument/2006/relationships" ref="N1206" r:id="rId1200"/>
    <hyperlink xmlns:r="http://schemas.openxmlformats.org/officeDocument/2006/relationships" ref="N1207" r:id="rId1201"/>
    <hyperlink xmlns:r="http://schemas.openxmlformats.org/officeDocument/2006/relationships" ref="N1208" r:id="rId1202"/>
    <hyperlink xmlns:r="http://schemas.openxmlformats.org/officeDocument/2006/relationships" ref="N1209" r:id="rId1203"/>
    <hyperlink xmlns:r="http://schemas.openxmlformats.org/officeDocument/2006/relationships" ref="N1210" r:id="rId1204"/>
    <hyperlink xmlns:r="http://schemas.openxmlformats.org/officeDocument/2006/relationships" ref="N1211" r:id="rId1205"/>
    <hyperlink xmlns:r="http://schemas.openxmlformats.org/officeDocument/2006/relationships" ref="N1212" r:id="rId1206"/>
    <hyperlink xmlns:r="http://schemas.openxmlformats.org/officeDocument/2006/relationships" ref="N1213" r:id="rId1207"/>
    <hyperlink xmlns:r="http://schemas.openxmlformats.org/officeDocument/2006/relationships" ref="N1214" r:id="rId1208"/>
    <hyperlink xmlns:r="http://schemas.openxmlformats.org/officeDocument/2006/relationships" ref="N1215" r:id="rId1209"/>
    <hyperlink xmlns:r="http://schemas.openxmlformats.org/officeDocument/2006/relationships" ref="N1216" r:id="rId1210"/>
    <hyperlink xmlns:r="http://schemas.openxmlformats.org/officeDocument/2006/relationships" ref="N1217" r:id="rId1211"/>
    <hyperlink xmlns:r="http://schemas.openxmlformats.org/officeDocument/2006/relationships" ref="N1218" r:id="rId1212"/>
    <hyperlink xmlns:r="http://schemas.openxmlformats.org/officeDocument/2006/relationships" ref="N1219" r:id="rId1213"/>
    <hyperlink xmlns:r="http://schemas.openxmlformats.org/officeDocument/2006/relationships" ref="N1220" r:id="rId1214"/>
    <hyperlink xmlns:r="http://schemas.openxmlformats.org/officeDocument/2006/relationships" ref="N1221" r:id="rId1215"/>
    <hyperlink xmlns:r="http://schemas.openxmlformats.org/officeDocument/2006/relationships" ref="O1222" r:id="rId1216"/>
    <hyperlink xmlns:r="http://schemas.openxmlformats.org/officeDocument/2006/relationships" ref="N1223" r:id="rId1217"/>
    <hyperlink xmlns:r="http://schemas.openxmlformats.org/officeDocument/2006/relationships" ref="N1224" r:id="rId1218"/>
    <hyperlink xmlns:r="http://schemas.openxmlformats.org/officeDocument/2006/relationships" ref="N1225" r:id="rId1219"/>
    <hyperlink xmlns:r="http://schemas.openxmlformats.org/officeDocument/2006/relationships" ref="N1226" r:id="rId1220"/>
    <hyperlink xmlns:r="http://schemas.openxmlformats.org/officeDocument/2006/relationships" ref="O1227" r:id="rId1221"/>
    <hyperlink xmlns:r="http://schemas.openxmlformats.org/officeDocument/2006/relationships" ref="N1228" r:id="rId1222"/>
    <hyperlink xmlns:r="http://schemas.openxmlformats.org/officeDocument/2006/relationships" ref="N1229" r:id="rId1223"/>
    <hyperlink xmlns:r="http://schemas.openxmlformats.org/officeDocument/2006/relationships" ref="N1230" r:id="rId1224"/>
    <hyperlink xmlns:r="http://schemas.openxmlformats.org/officeDocument/2006/relationships" ref="N1231" r:id="rId1225"/>
    <hyperlink xmlns:r="http://schemas.openxmlformats.org/officeDocument/2006/relationships" ref="N1232" r:id="rId1226"/>
    <hyperlink xmlns:r="http://schemas.openxmlformats.org/officeDocument/2006/relationships" ref="N1233" r:id="rId1227"/>
    <hyperlink xmlns:r="http://schemas.openxmlformats.org/officeDocument/2006/relationships" ref="N1234" r:id="rId1228"/>
    <hyperlink xmlns:r="http://schemas.openxmlformats.org/officeDocument/2006/relationships" ref="N1235" r:id="rId1229"/>
    <hyperlink xmlns:r="http://schemas.openxmlformats.org/officeDocument/2006/relationships" ref="N1236" r:id="rId1230"/>
    <hyperlink xmlns:r="http://schemas.openxmlformats.org/officeDocument/2006/relationships" ref="N1237" r:id="rId1231"/>
    <hyperlink xmlns:r="http://schemas.openxmlformats.org/officeDocument/2006/relationships" ref="N1238" r:id="rId1232"/>
    <hyperlink xmlns:r="http://schemas.openxmlformats.org/officeDocument/2006/relationships" ref="N1239" r:id="rId1233"/>
    <hyperlink xmlns:r="http://schemas.openxmlformats.org/officeDocument/2006/relationships" ref="N1240" r:id="rId1234"/>
    <hyperlink xmlns:r="http://schemas.openxmlformats.org/officeDocument/2006/relationships" ref="O1241" r:id="rId1235"/>
    <hyperlink xmlns:r="http://schemas.openxmlformats.org/officeDocument/2006/relationships" ref="N1242" r:id="rId1236"/>
    <hyperlink xmlns:r="http://schemas.openxmlformats.org/officeDocument/2006/relationships" ref="N1243" r:id="rId1237"/>
    <hyperlink xmlns:r="http://schemas.openxmlformats.org/officeDocument/2006/relationships" ref="N1244" r:id="rId1238"/>
    <hyperlink xmlns:r="http://schemas.openxmlformats.org/officeDocument/2006/relationships" ref="O1245" r:id="rId1239"/>
    <hyperlink xmlns:r="http://schemas.openxmlformats.org/officeDocument/2006/relationships" ref="N1246" r:id="rId1240"/>
    <hyperlink xmlns:r="http://schemas.openxmlformats.org/officeDocument/2006/relationships" ref="O1247" r:id="rId1241"/>
    <hyperlink xmlns:r="http://schemas.openxmlformats.org/officeDocument/2006/relationships" ref="N1248" r:id="rId1242"/>
    <hyperlink xmlns:r="http://schemas.openxmlformats.org/officeDocument/2006/relationships" ref="O1249" r:id="rId1243"/>
    <hyperlink xmlns:r="http://schemas.openxmlformats.org/officeDocument/2006/relationships" ref="N1250" r:id="rId1244"/>
    <hyperlink xmlns:r="http://schemas.openxmlformats.org/officeDocument/2006/relationships" ref="N1251" r:id="rId1245"/>
    <hyperlink xmlns:r="http://schemas.openxmlformats.org/officeDocument/2006/relationships" ref="N1252" r:id="rId1246"/>
    <hyperlink xmlns:r="http://schemas.openxmlformats.org/officeDocument/2006/relationships" ref="N1253" r:id="rId1247"/>
    <hyperlink xmlns:r="http://schemas.openxmlformats.org/officeDocument/2006/relationships" ref="N1254" r:id="rId1248"/>
    <hyperlink xmlns:r="http://schemas.openxmlformats.org/officeDocument/2006/relationships" ref="O1255" r:id="rId1249"/>
    <hyperlink xmlns:r="http://schemas.openxmlformats.org/officeDocument/2006/relationships" ref="N1256" r:id="rId1250"/>
    <hyperlink xmlns:r="http://schemas.openxmlformats.org/officeDocument/2006/relationships" ref="O1257" r:id="rId1251"/>
    <hyperlink xmlns:r="http://schemas.openxmlformats.org/officeDocument/2006/relationships" ref="N1258" r:id="rId1252"/>
    <hyperlink xmlns:r="http://schemas.openxmlformats.org/officeDocument/2006/relationships" ref="N1259" r:id="rId1253"/>
    <hyperlink xmlns:r="http://schemas.openxmlformats.org/officeDocument/2006/relationships" ref="O1260" r:id="rId1254"/>
    <hyperlink xmlns:r="http://schemas.openxmlformats.org/officeDocument/2006/relationships" ref="N1261" r:id="rId1255"/>
    <hyperlink xmlns:r="http://schemas.openxmlformats.org/officeDocument/2006/relationships" ref="O1262" r:id="rId1256"/>
    <hyperlink xmlns:r="http://schemas.openxmlformats.org/officeDocument/2006/relationships" ref="N1263" r:id="rId1257"/>
    <hyperlink xmlns:r="http://schemas.openxmlformats.org/officeDocument/2006/relationships" ref="N1264" r:id="rId1258"/>
    <hyperlink xmlns:r="http://schemas.openxmlformats.org/officeDocument/2006/relationships" ref="N1265" r:id="rId1259"/>
    <hyperlink xmlns:r="http://schemas.openxmlformats.org/officeDocument/2006/relationships" ref="N1266" r:id="rId1260"/>
    <hyperlink xmlns:r="http://schemas.openxmlformats.org/officeDocument/2006/relationships" ref="N1267" r:id="rId1261"/>
    <hyperlink xmlns:r="http://schemas.openxmlformats.org/officeDocument/2006/relationships" ref="N1268" r:id="rId1262"/>
    <hyperlink xmlns:r="http://schemas.openxmlformats.org/officeDocument/2006/relationships" ref="N1269" r:id="rId1263"/>
    <hyperlink xmlns:r="http://schemas.openxmlformats.org/officeDocument/2006/relationships" ref="N1270" r:id="rId1264"/>
    <hyperlink xmlns:r="http://schemas.openxmlformats.org/officeDocument/2006/relationships" ref="O1271" r:id="rId1265"/>
    <hyperlink xmlns:r="http://schemas.openxmlformats.org/officeDocument/2006/relationships" ref="N1272" r:id="rId1266"/>
    <hyperlink xmlns:r="http://schemas.openxmlformats.org/officeDocument/2006/relationships" ref="N1273" r:id="rId1267"/>
    <hyperlink xmlns:r="http://schemas.openxmlformats.org/officeDocument/2006/relationships" ref="N1274" r:id="rId1268"/>
    <hyperlink xmlns:r="http://schemas.openxmlformats.org/officeDocument/2006/relationships" ref="N1275" r:id="rId1269"/>
    <hyperlink xmlns:r="http://schemas.openxmlformats.org/officeDocument/2006/relationships" ref="N1276" r:id="rId1270"/>
    <hyperlink xmlns:r="http://schemas.openxmlformats.org/officeDocument/2006/relationships" ref="N1277" r:id="rId1271"/>
    <hyperlink xmlns:r="http://schemas.openxmlformats.org/officeDocument/2006/relationships" ref="N1278" r:id="rId1272"/>
    <hyperlink xmlns:r="http://schemas.openxmlformats.org/officeDocument/2006/relationships" ref="N1279" r:id="rId1273"/>
    <hyperlink xmlns:r="http://schemas.openxmlformats.org/officeDocument/2006/relationships" ref="O1280" r:id="rId1274"/>
    <hyperlink xmlns:r="http://schemas.openxmlformats.org/officeDocument/2006/relationships" ref="N1281" r:id="rId1275"/>
    <hyperlink xmlns:r="http://schemas.openxmlformats.org/officeDocument/2006/relationships" ref="O1282" r:id="rId1276"/>
    <hyperlink xmlns:r="http://schemas.openxmlformats.org/officeDocument/2006/relationships" ref="N1283" r:id="rId1277"/>
    <hyperlink xmlns:r="http://schemas.openxmlformats.org/officeDocument/2006/relationships" ref="N1284" r:id="rId1278"/>
    <hyperlink xmlns:r="http://schemas.openxmlformats.org/officeDocument/2006/relationships" ref="N1285" r:id="rId1279"/>
    <hyperlink xmlns:r="http://schemas.openxmlformats.org/officeDocument/2006/relationships" ref="N1286" r:id="rId1280"/>
    <hyperlink xmlns:r="http://schemas.openxmlformats.org/officeDocument/2006/relationships" ref="N1287" r:id="rId1281"/>
    <hyperlink xmlns:r="http://schemas.openxmlformats.org/officeDocument/2006/relationships" ref="N1288" r:id="rId1282"/>
    <hyperlink xmlns:r="http://schemas.openxmlformats.org/officeDocument/2006/relationships" ref="O1289" r:id="rId1283"/>
    <hyperlink xmlns:r="http://schemas.openxmlformats.org/officeDocument/2006/relationships" ref="O1290" r:id="rId1284"/>
    <hyperlink xmlns:r="http://schemas.openxmlformats.org/officeDocument/2006/relationships" ref="N1291" r:id="rId1285"/>
    <hyperlink xmlns:r="http://schemas.openxmlformats.org/officeDocument/2006/relationships" ref="N1292" r:id="rId1286"/>
  </hyperlinks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4"/>
  <sheetViews>
    <sheetView topLeftCell="F1" zoomScale="150" workbookViewId="0">
      <pane ySplit="1" topLeftCell="A1231" activePane="bottomLeft" state="frozen"/>
      <selection pane="bottomLeft" activeCell="H1249" sqref="H1249"/>
    </sheetView>
  </sheetViews>
  <sheetFormatPr baseColWidth="10" defaultColWidth="8.83203125" defaultRowHeight="15"/>
  <cols>
    <col width="5.1640625" bestFit="1" customWidth="1" style="25" min="1" max="1"/>
    <col width="19.5" bestFit="1" customWidth="1" style="25" min="2" max="2"/>
    <col width="21.6640625" bestFit="1" customWidth="1" style="25" min="3" max="3"/>
    <col width="11.83203125" bestFit="1" customWidth="1" style="25" min="4" max="4"/>
    <col width="22" customWidth="1" style="25" min="5" max="5"/>
    <col width="27" customWidth="1" style="25" min="6" max="6"/>
    <col width="25" customWidth="1" style="25" min="7" max="7"/>
    <col width="21" customWidth="1" style="25" min="8" max="8"/>
    <col width="17.33203125" bestFit="1" customWidth="1" style="25" min="9" max="9"/>
    <col width="12" customWidth="1" style="25" min="10" max="11"/>
  </cols>
  <sheetData>
    <row r="1">
      <c r="A1" t="inlineStr">
        <is>
          <t>id</t>
        </is>
      </c>
      <c r="B1" t="inlineStr">
        <is>
          <t>pais_jogador</t>
        </is>
      </c>
      <c r="C1" t="inlineStr">
        <is>
          <t>jogador</t>
        </is>
      </c>
      <c r="D1" t="inlineStr">
        <is>
          <t>posicao</t>
        </is>
      </c>
      <c r="E1" t="inlineStr">
        <is>
          <t>jogos_totais_selecao</t>
        </is>
      </c>
      <c r="F1" t="inlineStr">
        <is>
          <t>minutos_possiveis_selecao</t>
        </is>
      </c>
      <c r="G1" t="inlineStr">
        <is>
          <t>jogos_participados</t>
        </is>
      </c>
      <c r="H1" t="inlineStr">
        <is>
          <t>minutos_jogados_selecao</t>
        </is>
      </c>
      <c r="I1" t="inlineStr">
        <is>
          <t>pct_minutos_selecao</t>
        </is>
      </c>
    </row>
    <row r="2">
      <c r="A2" s="1" t="n">
        <v>1</v>
      </c>
      <c r="B2" s="2" t="inlineStr">
        <is>
          <t>South Africa</t>
        </is>
      </c>
      <c r="C2" s="2" t="inlineStr">
        <is>
          <t>Ronwen Williams</t>
        </is>
      </c>
      <c r="D2" s="2" t="inlineStr">
        <is>
          <t>Guarda Redes</t>
        </is>
      </c>
      <c r="E2" s="14" t="n">
        <v>13</v>
      </c>
      <c r="F2" s="14" t="n">
        <v>1170</v>
      </c>
      <c r="G2" s="14" t="n">
        <v>6</v>
      </c>
      <c r="H2" s="12" t="n">
        <v>226</v>
      </c>
    </row>
    <row r="3">
      <c r="A3" s="1" t="n">
        <v>2</v>
      </c>
      <c r="B3" s="2" t="inlineStr">
        <is>
          <t>South Africa</t>
        </is>
      </c>
      <c r="C3" s="2" t="inlineStr">
        <is>
          <t>Sipho Chaine</t>
        </is>
      </c>
      <c r="D3" s="2" t="inlineStr">
        <is>
          <t>Guarda Redes</t>
        </is>
      </c>
      <c r="E3" s="14" t="n">
        <v>13</v>
      </c>
      <c r="F3" s="14" t="n">
        <v>1170</v>
      </c>
      <c r="G3" s="14" t="n">
        <v>10</v>
      </c>
      <c r="H3" s="12" t="n">
        <v>44</v>
      </c>
    </row>
    <row r="4">
      <c r="A4" s="1" t="n">
        <v>3</v>
      </c>
      <c r="B4" s="2" t="inlineStr">
        <is>
          <t>South Africa</t>
        </is>
      </c>
      <c r="C4" s="2" t="inlineStr">
        <is>
          <t>Ricardo Goss</t>
        </is>
      </c>
      <c r="D4" s="2" t="inlineStr">
        <is>
          <t>Guarda Redes</t>
        </is>
      </c>
      <c r="E4" s="14" t="n">
        <v>13</v>
      </c>
      <c r="F4" s="14" t="n">
        <v>1170</v>
      </c>
      <c r="G4" s="14" t="n">
        <v>10</v>
      </c>
      <c r="H4" s="12" t="n">
        <v>46</v>
      </c>
    </row>
    <row r="5">
      <c r="A5" s="1" t="n">
        <v>4</v>
      </c>
      <c r="B5" s="2" t="inlineStr">
        <is>
          <t>South Africa</t>
        </is>
      </c>
      <c r="C5" s="2" t="inlineStr">
        <is>
          <t>Tholo Matuludi</t>
        </is>
      </c>
      <c r="D5" s="2" t="inlineStr">
        <is>
          <t>Defesa</t>
        </is>
      </c>
      <c r="E5" s="14" t="n">
        <v>13</v>
      </c>
      <c r="F5" s="14" t="n">
        <v>1170</v>
      </c>
      <c r="G5" s="14" t="n">
        <v>5</v>
      </c>
      <c r="H5" s="12" t="n">
        <v>97</v>
      </c>
    </row>
    <row r="6">
      <c r="A6" s="1" t="n">
        <v>5</v>
      </c>
      <c r="B6" s="2" t="inlineStr">
        <is>
          <t>South Africa</t>
        </is>
      </c>
      <c r="C6" s="2" t="inlineStr">
        <is>
          <t>Khuliso Mudau</t>
        </is>
      </c>
      <c r="D6" s="2" t="inlineStr">
        <is>
          <t>Defesa</t>
        </is>
      </c>
      <c r="E6" s="14" t="n">
        <v>13</v>
      </c>
      <c r="F6" s="14" t="n">
        <v>1170</v>
      </c>
      <c r="G6" s="14" t="n">
        <v>12</v>
      </c>
      <c r="H6" s="12" t="n">
        <v>263</v>
      </c>
    </row>
    <row r="7">
      <c r="A7" s="1" t="n">
        <v>6</v>
      </c>
      <c r="B7" s="2" t="inlineStr">
        <is>
          <t>South Africa</t>
        </is>
      </c>
      <c r="C7" s="2" t="inlineStr">
        <is>
          <t>Kulumani Ndamane</t>
        </is>
      </c>
      <c r="D7" s="2" t="inlineStr">
        <is>
          <t>Defesa</t>
        </is>
      </c>
      <c r="E7" s="14" t="n">
        <v>13</v>
      </c>
      <c r="F7" s="14" t="n">
        <v>1170</v>
      </c>
      <c r="G7" s="14" t="n">
        <v>5</v>
      </c>
      <c r="H7" s="12" t="n">
        <v>90</v>
      </c>
    </row>
    <row r="8">
      <c r="A8" s="1" t="n">
        <v>7</v>
      </c>
      <c r="B8" s="2" t="inlineStr">
        <is>
          <t>South Africa</t>
        </is>
      </c>
      <c r="C8" s="2" t="inlineStr">
        <is>
          <t>Mbekezeli Mbokazi</t>
        </is>
      </c>
      <c r="D8" s="2" t="inlineStr">
        <is>
          <t>Defesa</t>
        </is>
      </c>
      <c r="E8" s="14" t="n">
        <v>13</v>
      </c>
      <c r="F8" s="14" t="n">
        <v>1170</v>
      </c>
      <c r="G8" s="14" t="n">
        <v>11</v>
      </c>
      <c r="H8" s="12" t="n">
        <v>180</v>
      </c>
    </row>
    <row r="9">
      <c r="A9" s="1" t="n">
        <v>8</v>
      </c>
      <c r="B9" s="2" t="inlineStr">
        <is>
          <t>South Africa</t>
        </is>
      </c>
      <c r="C9" s="2" t="inlineStr">
        <is>
          <t>Samukele Kabini</t>
        </is>
      </c>
      <c r="D9" s="2" t="inlineStr">
        <is>
          <t>Defesa</t>
        </is>
      </c>
      <c r="E9" s="14" t="n">
        <v>13</v>
      </c>
      <c r="F9" s="14" t="n">
        <v>1170</v>
      </c>
      <c r="G9" s="14" t="n">
        <v>10</v>
      </c>
      <c r="H9" s="12" t="n">
        <v>137</v>
      </c>
    </row>
    <row r="10">
      <c r="A10" s="1" t="n">
        <v>9</v>
      </c>
      <c r="B10" s="2" t="inlineStr">
        <is>
          <t>South Africa</t>
        </is>
      </c>
      <c r="C10" s="2" t="inlineStr">
        <is>
          <t>Nkosinathi Sibisi</t>
        </is>
      </c>
      <c r="D10" s="2" t="inlineStr">
        <is>
          <t>Defesa</t>
        </is>
      </c>
      <c r="E10" s="14" t="n">
        <v>13</v>
      </c>
      <c r="F10" s="14" t="n">
        <v>1170</v>
      </c>
      <c r="G10" s="14" t="n">
        <v>5</v>
      </c>
      <c r="H10" s="12" t="n">
        <v>106</v>
      </c>
    </row>
    <row r="11">
      <c r="A11" s="1" t="n">
        <v>10</v>
      </c>
      <c r="B11" s="2" t="inlineStr">
        <is>
          <t>South Africa</t>
        </is>
      </c>
      <c r="C11" s="2" t="inlineStr">
        <is>
          <t>Ime Okon</t>
        </is>
      </c>
      <c r="D11" s="2" t="inlineStr">
        <is>
          <t>Defesa</t>
        </is>
      </c>
      <c r="E11" s="14" t="n">
        <v>13</v>
      </c>
      <c r="F11" s="14" t="n">
        <v>1170</v>
      </c>
      <c r="G11" s="14" t="n">
        <v>9</v>
      </c>
      <c r="H11" s="12" t="n">
        <v>247</v>
      </c>
    </row>
    <row r="12">
      <c r="A12" s="1" t="n">
        <v>11</v>
      </c>
      <c r="B12" s="2" t="inlineStr">
        <is>
          <t>South Africa</t>
        </is>
      </c>
      <c r="C12" s="2" t="inlineStr">
        <is>
          <t>Olwethu Makhanya</t>
        </is>
      </c>
      <c r="D12" s="2" t="inlineStr">
        <is>
          <t>Defesa</t>
        </is>
      </c>
      <c r="E12" s="14" t="n">
        <v>13</v>
      </c>
      <c r="F12" s="14" t="n">
        <v>1170</v>
      </c>
      <c r="G12" s="14" t="n">
        <v>12</v>
      </c>
      <c r="H12" s="12" t="n">
        <v>90</v>
      </c>
    </row>
    <row r="13">
      <c r="A13" s="1" t="n">
        <v>12</v>
      </c>
      <c r="B13" s="2" t="inlineStr">
        <is>
          <t>South Africa</t>
        </is>
      </c>
      <c r="C13" s="2" t="inlineStr">
        <is>
          <t>Bradley Cross</t>
        </is>
      </c>
      <c r="D13" s="2" t="inlineStr">
        <is>
          <t>Defesa</t>
        </is>
      </c>
      <c r="E13" s="14" t="n">
        <v>13</v>
      </c>
      <c r="F13" s="14" t="n">
        <v>1170</v>
      </c>
      <c r="G13" s="14" t="n">
        <v>2</v>
      </c>
      <c r="H13" s="12" t="n">
        <v>23</v>
      </c>
    </row>
    <row r="14">
      <c r="A14" s="1" t="n">
        <v>13</v>
      </c>
      <c r="B14" s="2" t="inlineStr">
        <is>
          <t>South Africa</t>
        </is>
      </c>
      <c r="C14" s="2" t="inlineStr">
        <is>
          <t>Aubrey Modiba</t>
        </is>
      </c>
      <c r="D14" s="2" t="inlineStr">
        <is>
          <t>Defesa</t>
        </is>
      </c>
      <c r="E14" s="14" t="n">
        <v>13</v>
      </c>
      <c r="F14" s="14" t="n">
        <v>1170</v>
      </c>
      <c r="G14" s="14" t="n">
        <v>0</v>
      </c>
      <c r="H14" s="12" t="n">
        <v>200</v>
      </c>
    </row>
    <row r="15">
      <c r="A15" s="1" t="n">
        <v>14</v>
      </c>
      <c r="B15" s="2" t="inlineStr">
        <is>
          <t>South Africa</t>
        </is>
      </c>
      <c r="C15" s="2" t="inlineStr">
        <is>
          <t>Yaya Sithole</t>
        </is>
      </c>
      <c r="D15" s="2" t="inlineStr">
        <is>
          <t>Médio</t>
        </is>
      </c>
      <c r="E15" s="14" t="n">
        <v>13</v>
      </c>
      <c r="F15" s="14" t="n">
        <v>1170</v>
      </c>
      <c r="G15" s="14" t="n">
        <v>5</v>
      </c>
      <c r="H15" s="12" t="n">
        <v>171</v>
      </c>
    </row>
    <row r="16">
      <c r="A16" s="1" t="n">
        <v>15</v>
      </c>
      <c r="B16" s="2" t="inlineStr">
        <is>
          <t>South Africa</t>
        </is>
      </c>
      <c r="C16" s="2" t="inlineStr">
        <is>
          <t>Teboho Mokoena</t>
        </is>
      </c>
      <c r="D16" s="2" t="inlineStr">
        <is>
          <t>Médio</t>
        </is>
      </c>
      <c r="E16" s="14" t="n">
        <v>13</v>
      </c>
      <c r="F16" s="14" t="n">
        <v>1170</v>
      </c>
      <c r="G16" s="14" t="n">
        <v>12</v>
      </c>
      <c r="H16" s="12" t="n">
        <v>247</v>
      </c>
    </row>
    <row r="17">
      <c r="A17" s="1" t="n">
        <v>16</v>
      </c>
      <c r="B17" s="2" t="inlineStr">
        <is>
          <t>South Africa</t>
        </is>
      </c>
      <c r="C17" s="2" t="inlineStr">
        <is>
          <t>Thalente Mbatha</t>
        </is>
      </c>
      <c r="D17" s="2" t="inlineStr">
        <is>
          <t>Médio</t>
        </is>
      </c>
      <c r="E17" s="14" t="n">
        <v>13</v>
      </c>
      <c r="F17" s="14" t="n">
        <v>1170</v>
      </c>
      <c r="G17" s="14" t="n">
        <v>7</v>
      </c>
      <c r="H17" s="12" t="n">
        <v>105</v>
      </c>
    </row>
    <row r="18">
      <c r="A18" s="1" t="n">
        <v>17</v>
      </c>
      <c r="B18" s="2" t="inlineStr">
        <is>
          <t>South Africa</t>
        </is>
      </c>
      <c r="C18" s="2" t="inlineStr">
        <is>
          <t>Jayden Adams</t>
        </is>
      </c>
      <c r="D18" s="2" t="inlineStr">
        <is>
          <t>Médio</t>
        </is>
      </c>
      <c r="E18" s="14" t="n">
        <v>13</v>
      </c>
      <c r="F18" s="14" t="n">
        <v>1170</v>
      </c>
      <c r="G18" s="14" t="n">
        <v>9</v>
      </c>
      <c r="H18" s="12" t="n">
        <v>122</v>
      </c>
    </row>
    <row r="19">
      <c r="A19" s="1" t="n">
        <v>18</v>
      </c>
      <c r="B19" s="2" t="inlineStr">
        <is>
          <t>South Africa</t>
        </is>
      </c>
      <c r="C19" s="2" t="inlineStr">
        <is>
          <t>Relebohile Mofokeng</t>
        </is>
      </c>
      <c r="D19" s="2" t="inlineStr">
        <is>
          <t>Médio</t>
        </is>
      </c>
      <c r="E19" s="14" t="n">
        <v>13</v>
      </c>
      <c r="F19" s="14" t="n">
        <v>1170</v>
      </c>
      <c r="G19" s="14" t="n">
        <v>5</v>
      </c>
      <c r="H19" s="12" t="n">
        <v>209</v>
      </c>
    </row>
    <row r="20">
      <c r="A20" s="1" t="n">
        <v>19</v>
      </c>
      <c r="B20" s="2" t="inlineStr">
        <is>
          <t>South Africa</t>
        </is>
      </c>
      <c r="C20" s="2" t="inlineStr">
        <is>
          <t>Themba Zwane</t>
        </is>
      </c>
      <c r="D20" s="2" t="inlineStr">
        <is>
          <t>Médio</t>
        </is>
      </c>
      <c r="E20" s="14" t="n">
        <v>13</v>
      </c>
      <c r="F20" s="14" t="n">
        <v>1170</v>
      </c>
      <c r="G20" s="14" t="n">
        <v>2</v>
      </c>
      <c r="H20" s="12" t="n">
        <v>136</v>
      </c>
    </row>
    <row r="21">
      <c r="A21" s="1" t="n">
        <v>20</v>
      </c>
      <c r="B21" s="2" t="inlineStr">
        <is>
          <t>South Africa</t>
        </is>
      </c>
      <c r="C21" s="2" t="inlineStr">
        <is>
          <t>Thapelo Maseko</t>
        </is>
      </c>
      <c r="D21" s="2" t="inlineStr">
        <is>
          <t>Médio</t>
        </is>
      </c>
      <c r="E21" s="14" t="n">
        <v>13</v>
      </c>
      <c r="F21" s="14" t="n">
        <v>1170</v>
      </c>
      <c r="G21" s="14" t="n">
        <v>10</v>
      </c>
      <c r="H21" s="12" t="n">
        <v>74</v>
      </c>
    </row>
    <row r="22">
      <c r="A22" s="1" t="n">
        <v>21</v>
      </c>
      <c r="B22" s="2" t="inlineStr">
        <is>
          <t>South Africa</t>
        </is>
      </c>
      <c r="C22" s="2" t="inlineStr">
        <is>
          <t>Oswin Appollis</t>
        </is>
      </c>
      <c r="D22" s="2" t="inlineStr">
        <is>
          <t>Avançado</t>
        </is>
      </c>
      <c r="E22" s="14" t="n">
        <v>13</v>
      </c>
      <c r="F22" s="14" t="n">
        <v>1170</v>
      </c>
      <c r="G22" s="14" t="n">
        <v>9</v>
      </c>
      <c r="H22" s="12" t="n">
        <v>227</v>
      </c>
    </row>
    <row r="23">
      <c r="A23" s="1" t="n">
        <v>22</v>
      </c>
      <c r="B23" s="2" t="inlineStr">
        <is>
          <t>South Africa</t>
        </is>
      </c>
      <c r="C23" s="2" t="inlineStr">
        <is>
          <t>Kamogelo Sebelebele</t>
        </is>
      </c>
      <c r="D23" s="2" t="inlineStr">
        <is>
          <t>Avançado</t>
        </is>
      </c>
      <c r="E23" s="14" t="n">
        <v>13</v>
      </c>
      <c r="F23" s="14" t="n">
        <v>1170</v>
      </c>
      <c r="G23" s="14" t="n">
        <v>12</v>
      </c>
      <c r="H23" s="12" t="n">
        <v>46</v>
      </c>
    </row>
    <row r="24">
      <c r="A24" s="1" t="n">
        <v>23</v>
      </c>
      <c r="B24" s="2" t="inlineStr">
        <is>
          <t>South Africa</t>
        </is>
      </c>
      <c r="C24" s="2" t="inlineStr">
        <is>
          <t>Lyle Foster</t>
        </is>
      </c>
      <c r="D24" s="2" t="inlineStr">
        <is>
          <t>Avançado</t>
        </is>
      </c>
      <c r="E24" s="14" t="n">
        <v>13</v>
      </c>
      <c r="F24" s="14" t="n">
        <v>1170</v>
      </c>
      <c r="G24" s="14" t="n">
        <v>12</v>
      </c>
      <c r="H24" s="12" t="n">
        <v>254</v>
      </c>
    </row>
    <row r="25">
      <c r="A25" s="1" t="n">
        <v>24</v>
      </c>
      <c r="B25" s="2" t="inlineStr">
        <is>
          <t>South Africa</t>
        </is>
      </c>
      <c r="C25" s="2" t="inlineStr">
        <is>
          <t>Iqraam Rayners</t>
        </is>
      </c>
      <c r="D25" s="2" t="inlineStr">
        <is>
          <t>Avançado</t>
        </is>
      </c>
      <c r="E25" s="14" t="n">
        <v>13</v>
      </c>
      <c r="F25" s="14" t="n">
        <v>1170</v>
      </c>
      <c r="G25" s="14" t="n">
        <v>8</v>
      </c>
      <c r="H25" s="12" t="n">
        <v>44</v>
      </c>
    </row>
    <row r="26">
      <c r="A26" s="1" t="n">
        <v>25</v>
      </c>
      <c r="B26" s="2" t="inlineStr">
        <is>
          <t>South Africa</t>
        </is>
      </c>
      <c r="C26" s="2" t="inlineStr">
        <is>
          <t>Evidence Makgopa</t>
        </is>
      </c>
      <c r="D26" s="2" t="inlineStr">
        <is>
          <t>Avançado</t>
        </is>
      </c>
      <c r="E26" s="14" t="n">
        <v>13</v>
      </c>
      <c r="F26" s="14" t="n">
        <v>1170</v>
      </c>
      <c r="G26" s="14" t="n">
        <v>3</v>
      </c>
      <c r="H26" s="12" t="n">
        <v>89</v>
      </c>
    </row>
    <row r="27">
      <c r="A27" s="1" t="n">
        <v>26</v>
      </c>
      <c r="B27" s="2" t="inlineStr">
        <is>
          <t>South Africa</t>
        </is>
      </c>
      <c r="C27" s="2" t="inlineStr">
        <is>
          <t>Tshepang Moremi</t>
        </is>
      </c>
      <c r="D27" s="2" t="inlineStr">
        <is>
          <t>Avançado</t>
        </is>
      </c>
      <c r="E27" s="14" t="n">
        <v>13</v>
      </c>
      <c r="F27" s="14" t="n">
        <v>1170</v>
      </c>
      <c r="G27" s="14" t="n">
        <v>1</v>
      </c>
      <c r="H27" s="12" t="n">
        <v>203</v>
      </c>
    </row>
    <row r="28">
      <c r="A28" s="1" t="n">
        <v>27</v>
      </c>
      <c r="B28" s="2" t="inlineStr">
        <is>
          <t>Germany</t>
        </is>
      </c>
      <c r="C28" s="2" t="inlineStr">
        <is>
          <t>Manuel Neuer</t>
        </is>
      </c>
      <c r="D28" s="2" t="inlineStr">
        <is>
          <t>Guarda Redes</t>
        </is>
      </c>
      <c r="E28" s="14" t="n">
        <v>12</v>
      </c>
      <c r="F28" s="14" t="n">
        <v>1080</v>
      </c>
      <c r="G28" s="12" t="n">
        <v>0</v>
      </c>
      <c r="H28" s="12" t="n">
        <v>0</v>
      </c>
    </row>
    <row r="29">
      <c r="A29" s="1" t="n">
        <v>28</v>
      </c>
      <c r="B29" s="2" t="inlineStr">
        <is>
          <t>Germany</t>
        </is>
      </c>
      <c r="C29" s="2" t="inlineStr">
        <is>
          <t>Oliver Baumann</t>
        </is>
      </c>
      <c r="D29" s="2" t="inlineStr">
        <is>
          <t>Guarda Redes</t>
        </is>
      </c>
      <c r="E29" s="14" t="n">
        <v>13</v>
      </c>
      <c r="F29" s="14" t="n">
        <v>1170</v>
      </c>
      <c r="G29" s="12" t="n">
        <v>10</v>
      </c>
      <c r="H29" s="12" t="n">
        <v>900</v>
      </c>
    </row>
    <row r="30">
      <c r="A30" s="1" t="n">
        <v>29</v>
      </c>
      <c r="B30" s="2" t="inlineStr">
        <is>
          <t>Germany</t>
        </is>
      </c>
      <c r="C30" s="2" t="inlineStr">
        <is>
          <t>Alexander Nübel</t>
        </is>
      </c>
      <c r="D30" s="2" t="inlineStr">
        <is>
          <t>Guarda Redes</t>
        </is>
      </c>
      <c r="E30" s="14" t="n">
        <v>13</v>
      </c>
      <c r="F30" s="14" t="n">
        <v>1170</v>
      </c>
      <c r="G30" s="12" t="n">
        <v>1</v>
      </c>
      <c r="H30" s="12" t="n">
        <v>90</v>
      </c>
    </row>
    <row r="31">
      <c r="A31" s="1" t="n">
        <v>30</v>
      </c>
      <c r="B31" s="2" t="inlineStr">
        <is>
          <t>Germany</t>
        </is>
      </c>
      <c r="C31" s="2" t="inlineStr">
        <is>
          <t>Antonio Rüdiger</t>
        </is>
      </c>
      <c r="D31" s="2" t="inlineStr">
        <is>
          <t>Defesa</t>
        </is>
      </c>
      <c r="E31" s="14" t="n">
        <v>13</v>
      </c>
      <c r="F31" s="14" t="n">
        <v>1170</v>
      </c>
      <c r="G31" s="12" t="n">
        <v>5</v>
      </c>
      <c r="H31" s="12" t="n">
        <v>383</v>
      </c>
    </row>
    <row r="32">
      <c r="A32" s="1" t="n">
        <v>31</v>
      </c>
      <c r="B32" s="2" t="inlineStr">
        <is>
          <t>Germany</t>
        </is>
      </c>
      <c r="C32" s="2" t="inlineStr">
        <is>
          <t>Waldemar Anton</t>
        </is>
      </c>
      <c r="D32" s="2" t="inlineStr">
        <is>
          <t>Defesa</t>
        </is>
      </c>
      <c r="E32" s="14" t="n">
        <v>13</v>
      </c>
      <c r="F32" s="14" t="n">
        <v>1170</v>
      </c>
      <c r="G32" s="12" t="n">
        <v>5</v>
      </c>
      <c r="H32" s="12" t="n">
        <v>298</v>
      </c>
    </row>
    <row r="33">
      <c r="A33" s="1" t="n">
        <v>32</v>
      </c>
      <c r="B33" s="2" t="inlineStr">
        <is>
          <t>Germany</t>
        </is>
      </c>
      <c r="C33" s="2" t="inlineStr">
        <is>
          <t>Jonathan Tah</t>
        </is>
      </c>
      <c r="D33" s="2" t="inlineStr">
        <is>
          <t>Defesa</t>
        </is>
      </c>
      <c r="E33" s="14" t="n">
        <v>13</v>
      </c>
      <c r="F33" s="14" t="n">
        <v>1170</v>
      </c>
      <c r="G33" s="12" t="n">
        <v>13</v>
      </c>
      <c r="H33" s="12" t="n">
        <v>1033</v>
      </c>
    </row>
    <row r="34">
      <c r="A34" s="1" t="n">
        <v>33</v>
      </c>
      <c r="B34" s="2" t="inlineStr">
        <is>
          <t>Germany</t>
        </is>
      </c>
      <c r="C34" s="2" t="inlineStr">
        <is>
          <t>Nico Schlotterbeck</t>
        </is>
      </c>
      <c r="D34" s="2" t="inlineStr">
        <is>
          <t>Defesa</t>
        </is>
      </c>
      <c r="E34" s="14" t="n">
        <v>13</v>
      </c>
      <c r="F34" s="14" t="n">
        <v>1170</v>
      </c>
      <c r="G34" s="12" t="n">
        <v>8</v>
      </c>
      <c r="H34" s="12" t="n">
        <v>605</v>
      </c>
    </row>
    <row r="35">
      <c r="A35" s="1" t="n">
        <v>34</v>
      </c>
      <c r="B35" s="2" t="inlineStr">
        <is>
          <t>Germany</t>
        </is>
      </c>
      <c r="C35" s="2" t="inlineStr">
        <is>
          <t>Nathaniel Brown</t>
        </is>
      </c>
      <c r="D35" s="2" t="inlineStr">
        <is>
          <t>Defesa</t>
        </is>
      </c>
      <c r="E35" s="14" t="n">
        <v>13</v>
      </c>
      <c r="F35" s="14" t="n">
        <v>1170</v>
      </c>
      <c r="G35" s="12" t="n">
        <v>4</v>
      </c>
      <c r="H35" s="12" t="n">
        <v>177</v>
      </c>
    </row>
    <row r="36">
      <c r="A36" s="1" t="n">
        <v>35</v>
      </c>
      <c r="B36" s="2" t="inlineStr">
        <is>
          <t>Germany</t>
        </is>
      </c>
      <c r="C36" s="2" t="inlineStr">
        <is>
          <t>David Raum</t>
        </is>
      </c>
      <c r="D36" s="2" t="inlineStr">
        <is>
          <t>Defesa</t>
        </is>
      </c>
      <c r="E36" s="14" t="n">
        <v>13</v>
      </c>
      <c r="F36" s="14" t="n">
        <v>1170</v>
      </c>
      <c r="G36" s="12" t="n">
        <v>10</v>
      </c>
      <c r="H36" s="12" t="n">
        <v>697</v>
      </c>
    </row>
    <row r="37">
      <c r="A37" s="1" t="n">
        <v>36</v>
      </c>
      <c r="B37" s="2" t="inlineStr">
        <is>
          <t>Germany</t>
        </is>
      </c>
      <c r="C37" s="2" t="inlineStr">
        <is>
          <t>Malick Thiaw</t>
        </is>
      </c>
      <c r="D37" s="2" t="inlineStr">
        <is>
          <t>Defesa</t>
        </is>
      </c>
      <c r="E37" s="14" t="n">
        <v>13</v>
      </c>
      <c r="F37" s="14" t="n">
        <v>1170</v>
      </c>
      <c r="G37" s="12" t="n">
        <v>2</v>
      </c>
      <c r="H37" s="12" t="n">
        <v>37</v>
      </c>
    </row>
    <row r="38">
      <c r="A38" s="1" t="n">
        <v>37</v>
      </c>
      <c r="B38" s="2" t="inlineStr">
        <is>
          <t>Germany</t>
        </is>
      </c>
      <c r="C38" s="2" t="inlineStr">
        <is>
          <t>Aleksandar Pavlovic</t>
        </is>
      </c>
      <c r="D38" s="2" t="inlineStr">
        <is>
          <t>Médio</t>
        </is>
      </c>
      <c r="E38" s="14" t="n">
        <v>13</v>
      </c>
      <c r="F38" s="14" t="n">
        <v>1170</v>
      </c>
      <c r="G38" s="12" t="n">
        <v>6</v>
      </c>
      <c r="H38" s="12" t="n">
        <v>474</v>
      </c>
    </row>
    <row r="39">
      <c r="A39" s="1" t="n">
        <v>38</v>
      </c>
      <c r="B39" s="2" t="inlineStr">
        <is>
          <t>Germany</t>
        </is>
      </c>
      <c r="C39" s="2" t="inlineStr">
        <is>
          <t>Joshua Kimmich</t>
        </is>
      </c>
      <c r="D39" s="2" t="inlineStr">
        <is>
          <t>Médio</t>
        </is>
      </c>
      <c r="E39" s="14" t="n">
        <v>13</v>
      </c>
      <c r="F39" s="14" t="n">
        <v>1170</v>
      </c>
      <c r="G39" s="12" t="n">
        <v>12</v>
      </c>
      <c r="H39" s="12" t="n">
        <v>1054</v>
      </c>
    </row>
    <row r="40">
      <c r="A40" s="1" t="n">
        <v>39</v>
      </c>
      <c r="B40" s="2" t="inlineStr">
        <is>
          <t>Germany</t>
        </is>
      </c>
      <c r="C40" s="2" t="inlineStr">
        <is>
          <t>Leon Goretzka</t>
        </is>
      </c>
      <c r="D40" s="2" t="inlineStr">
        <is>
          <t>Médio</t>
        </is>
      </c>
      <c r="E40" s="14" t="n">
        <v>13</v>
      </c>
      <c r="F40" s="14" t="n">
        <v>1170</v>
      </c>
      <c r="G40" s="12" t="n">
        <v>12</v>
      </c>
      <c r="H40" s="12" t="n">
        <v>855</v>
      </c>
    </row>
    <row r="41">
      <c r="A41" s="1" t="n">
        <v>40</v>
      </c>
      <c r="B41" s="2" t="inlineStr">
        <is>
          <t>Germany</t>
        </is>
      </c>
      <c r="C41" s="2" t="inlineStr">
        <is>
          <t>Jamal Musiala</t>
        </is>
      </c>
      <c r="D41" s="2" t="inlineStr">
        <is>
          <t>Médio</t>
        </is>
      </c>
      <c r="E41" s="14" t="n">
        <v>13</v>
      </c>
      <c r="F41" s="14" t="n">
        <v>1170</v>
      </c>
      <c r="G41" s="12" t="n">
        <v>3</v>
      </c>
      <c r="H41" s="12" t="n">
        <v>257</v>
      </c>
    </row>
    <row r="42">
      <c r="A42" s="1" t="n">
        <v>41</v>
      </c>
      <c r="B42" s="2" t="inlineStr">
        <is>
          <t>Germany</t>
        </is>
      </c>
      <c r="C42" s="2" t="inlineStr">
        <is>
          <t>Pascal Gross</t>
        </is>
      </c>
      <c r="D42" s="2" t="inlineStr">
        <is>
          <t>Médio</t>
        </is>
      </c>
      <c r="E42" s="14" t="n">
        <v>13</v>
      </c>
      <c r="F42" s="14" t="n">
        <v>1170</v>
      </c>
      <c r="G42" s="12" t="n">
        <v>6</v>
      </c>
      <c r="H42" s="12" t="n">
        <v>327</v>
      </c>
    </row>
    <row r="43">
      <c r="A43" s="1" t="n">
        <v>42</v>
      </c>
      <c r="B43" s="2" t="inlineStr">
        <is>
          <t>Germany</t>
        </is>
      </c>
      <c r="C43" s="2" t="inlineStr">
        <is>
          <t>Angelo Stiller</t>
        </is>
      </c>
      <c r="D43" s="2" t="inlineStr">
        <is>
          <t>Médio</t>
        </is>
      </c>
      <c r="E43" s="14" t="n">
        <v>13</v>
      </c>
      <c r="F43" s="14" t="n">
        <v>1170</v>
      </c>
      <c r="G43" s="12" t="n">
        <v>4</v>
      </c>
      <c r="H43" s="12" t="n">
        <v>264</v>
      </c>
    </row>
    <row r="44">
      <c r="A44" s="1" t="n">
        <v>43</v>
      </c>
      <c r="B44" s="2" t="inlineStr">
        <is>
          <t>Germany</t>
        </is>
      </c>
      <c r="C44" s="2" t="inlineStr">
        <is>
          <t>Florian Wirtz</t>
        </is>
      </c>
      <c r="D44" s="2" t="inlineStr">
        <is>
          <t>Médio</t>
        </is>
      </c>
      <c r="E44" s="14" t="n">
        <v>13</v>
      </c>
      <c r="F44" s="14" t="n">
        <v>1170</v>
      </c>
      <c r="G44" s="12" t="n">
        <v>11</v>
      </c>
      <c r="H44" s="12" t="n">
        <v>931</v>
      </c>
    </row>
    <row r="45">
      <c r="A45" s="1" t="n">
        <v>44</v>
      </c>
      <c r="B45" s="2" t="inlineStr">
        <is>
          <t>Germany</t>
        </is>
      </c>
      <c r="C45" s="2" t="inlineStr">
        <is>
          <t>Nadiem Amiri</t>
        </is>
      </c>
      <c r="D45" s="2" t="inlineStr">
        <is>
          <t>Médio</t>
        </is>
      </c>
      <c r="E45" s="14" t="n">
        <v>13</v>
      </c>
      <c r="F45" s="14" t="n">
        <v>1170</v>
      </c>
      <c r="G45" s="12" t="n">
        <v>5</v>
      </c>
      <c r="H45" s="12" t="n">
        <v>158</v>
      </c>
    </row>
    <row r="46">
      <c r="A46" s="1" t="n">
        <v>45</v>
      </c>
      <c r="B46" s="2" t="inlineStr">
        <is>
          <t>Germany</t>
        </is>
      </c>
      <c r="C46" s="2" t="inlineStr">
        <is>
          <t>Felix Nmecha</t>
        </is>
      </c>
      <c r="D46" s="2" t="inlineStr">
        <is>
          <t>Médio</t>
        </is>
      </c>
      <c r="E46" s="14" t="n">
        <v>13</v>
      </c>
      <c r="F46" s="14" t="n">
        <v>1170</v>
      </c>
      <c r="G46" s="12" t="n">
        <v>4</v>
      </c>
      <c r="H46" s="12" t="n">
        <v>183</v>
      </c>
    </row>
    <row r="47">
      <c r="A47" s="1" t="n">
        <v>46</v>
      </c>
      <c r="B47" s="2" t="inlineStr">
        <is>
          <t>Germany</t>
        </is>
      </c>
      <c r="C47" s="2" t="inlineStr">
        <is>
          <t>Lennart Karl</t>
        </is>
      </c>
      <c r="D47" s="2" t="inlineStr">
        <is>
          <t>Médio</t>
        </is>
      </c>
      <c r="E47" s="14" t="n">
        <v>13</v>
      </c>
      <c r="F47" s="14" t="n">
        <v>1170</v>
      </c>
      <c r="G47" s="12" t="n">
        <v>3</v>
      </c>
      <c r="H47" s="12" t="n">
        <v>144</v>
      </c>
    </row>
    <row r="48">
      <c r="A48" s="1" t="n">
        <v>47</v>
      </c>
      <c r="B48" s="2" t="inlineStr">
        <is>
          <t>Germany</t>
        </is>
      </c>
      <c r="C48" s="2" t="inlineStr">
        <is>
          <t>Kai Havertz</t>
        </is>
      </c>
      <c r="D48" s="2" t="inlineStr">
        <is>
          <t>Avançado</t>
        </is>
      </c>
      <c r="E48" s="14" t="n">
        <v>13</v>
      </c>
      <c r="F48" s="14" t="n">
        <v>1170</v>
      </c>
      <c r="G48" s="12" t="n">
        <v>2</v>
      </c>
      <c r="H48" s="12" t="n">
        <v>109</v>
      </c>
    </row>
    <row r="49">
      <c r="A49" s="1" t="n">
        <v>48</v>
      </c>
      <c r="B49" s="2" t="inlineStr">
        <is>
          <t>Germany</t>
        </is>
      </c>
      <c r="C49" s="2" t="inlineStr">
        <is>
          <t>Jamie Leweling</t>
        </is>
      </c>
      <c r="D49" s="2" t="inlineStr">
        <is>
          <t>Avançado</t>
        </is>
      </c>
      <c r="E49" s="14" t="n">
        <v>13</v>
      </c>
      <c r="F49" s="14" t="n">
        <v>1170</v>
      </c>
      <c r="G49" s="12" t="n">
        <v>3</v>
      </c>
      <c r="H49" s="12" t="n">
        <v>125</v>
      </c>
    </row>
    <row r="50">
      <c r="A50" s="1" t="n">
        <v>49</v>
      </c>
      <c r="B50" s="2" t="inlineStr">
        <is>
          <t>Germany</t>
        </is>
      </c>
      <c r="C50" s="2" t="inlineStr">
        <is>
          <t>Nick Woltemade</t>
        </is>
      </c>
      <c r="D50" s="2" t="inlineStr">
        <is>
          <t>Avançado</t>
        </is>
      </c>
      <c r="E50" s="14" t="n">
        <v>13</v>
      </c>
      <c r="F50" s="14" t="n">
        <v>1170</v>
      </c>
      <c r="G50" s="12" t="n">
        <v>11</v>
      </c>
      <c r="H50" s="12" t="n">
        <v>710</v>
      </c>
    </row>
    <row r="51">
      <c r="A51" s="1" t="n">
        <v>50</v>
      </c>
      <c r="B51" s="2" t="inlineStr">
        <is>
          <t>Germany</t>
        </is>
      </c>
      <c r="C51" s="2" t="inlineStr">
        <is>
          <t>Maximilian Beier</t>
        </is>
      </c>
      <c r="D51" s="2" t="inlineStr">
        <is>
          <t>Avançado</t>
        </is>
      </c>
      <c r="E51" s="14" t="n">
        <v>13</v>
      </c>
      <c r="F51" s="14" t="n">
        <v>1170</v>
      </c>
      <c r="G51" s="12" t="n">
        <v>4</v>
      </c>
      <c r="H51" s="12" t="n">
        <v>105</v>
      </c>
    </row>
    <row r="52">
      <c r="A52" s="1" t="n">
        <v>51</v>
      </c>
      <c r="B52" s="2" t="inlineStr">
        <is>
          <t>Germany</t>
        </is>
      </c>
      <c r="C52" s="2" t="inlineStr">
        <is>
          <t>Leroy Sané</t>
        </is>
      </c>
      <c r="D52" s="2" t="inlineStr">
        <is>
          <t>Avançado</t>
        </is>
      </c>
      <c r="E52" s="14" t="n">
        <v>13</v>
      </c>
      <c r="F52" s="14" t="n">
        <v>1170</v>
      </c>
      <c r="G52" s="12" t="n">
        <v>8</v>
      </c>
      <c r="H52" s="12" t="n">
        <v>467</v>
      </c>
    </row>
    <row r="53" ht="16" customHeight="1" s="25" thickBot="1">
      <c r="A53" s="1" t="n">
        <v>52</v>
      </c>
      <c r="B53" s="2" t="inlineStr">
        <is>
          <t>Germany</t>
        </is>
      </c>
      <c r="C53" s="2" t="inlineStr">
        <is>
          <t>Deniz Undav</t>
        </is>
      </c>
      <c r="D53" s="2" t="inlineStr">
        <is>
          <t>Avançado</t>
        </is>
      </c>
      <c r="E53" s="14" t="n">
        <v>13</v>
      </c>
      <c r="F53" s="14" t="n">
        <v>1170</v>
      </c>
      <c r="G53" s="12" t="n">
        <v>3</v>
      </c>
      <c r="H53" s="12" t="n">
        <v>150</v>
      </c>
    </row>
    <row r="54" ht="16" customHeight="1" s="25" thickBot="1">
      <c r="A54" s="1" t="n">
        <v>53</v>
      </c>
      <c r="B54" s="2" t="inlineStr">
        <is>
          <t>Saudi Arabia</t>
        </is>
      </c>
      <c r="C54" s="12" t="inlineStr">
        <is>
          <t>Nawaf Al Aqidi</t>
        </is>
      </c>
      <c r="D54" s="12" t="inlineStr">
        <is>
          <t>Guarda Redes</t>
        </is>
      </c>
      <c r="E54" s="17" t="n">
        <v>25</v>
      </c>
      <c r="F54" s="17" t="n">
        <v>2280</v>
      </c>
      <c r="G54" s="17" t="n">
        <v>17</v>
      </c>
      <c r="H54" s="17" t="n">
        <v>1560</v>
      </c>
    </row>
    <row r="55" ht="16" customHeight="1" s="25" thickBot="1">
      <c r="A55" s="1" t="n">
        <v>54</v>
      </c>
      <c r="B55" s="2" t="inlineStr">
        <is>
          <t>Saudi Arabia</t>
        </is>
      </c>
      <c r="C55" s="12" t="inlineStr">
        <is>
          <t>Mohamed Al Owais</t>
        </is>
      </c>
      <c r="D55" s="12" t="inlineStr">
        <is>
          <t>Guarda Redes</t>
        </is>
      </c>
      <c r="E55" s="17" t="n">
        <v>25</v>
      </c>
      <c r="F55" s="17" t="n">
        <v>2280</v>
      </c>
      <c r="G55" s="17" t="n">
        <v>2</v>
      </c>
      <c r="H55" s="17" t="n">
        <v>180</v>
      </c>
    </row>
    <row r="56" ht="16" customHeight="1" s="25" thickBot="1">
      <c r="A56" s="1" t="n">
        <v>55</v>
      </c>
      <c r="B56" s="2" t="inlineStr">
        <is>
          <t>Saudi Arabia</t>
        </is>
      </c>
      <c r="C56" s="12" t="inlineStr">
        <is>
          <t>Ahmed Alkassar</t>
        </is>
      </c>
      <c r="D56" s="12" t="inlineStr">
        <is>
          <t>Guarda Redes</t>
        </is>
      </c>
      <c r="E56" s="17" t="n">
        <v>25</v>
      </c>
      <c r="F56" s="17" t="n">
        <v>2280</v>
      </c>
      <c r="G56" s="17" t="n">
        <v>1</v>
      </c>
      <c r="H56" s="17" t="n">
        <v>65</v>
      </c>
    </row>
    <row r="57" ht="16" customHeight="1" s="25" thickBot="1">
      <c r="A57" s="1" t="n">
        <v>56</v>
      </c>
      <c r="B57" s="2" t="inlineStr">
        <is>
          <t>Saudi Arabia</t>
        </is>
      </c>
      <c r="C57" s="12" t="inlineStr">
        <is>
          <t>Saud Abdulhamid</t>
        </is>
      </c>
      <c r="D57" s="12" t="inlineStr">
        <is>
          <t>Defesa</t>
        </is>
      </c>
      <c r="E57" s="17" t="n">
        <v>25</v>
      </c>
      <c r="F57" s="17" t="n">
        <v>2280</v>
      </c>
      <c r="G57" s="17" t="n">
        <v>13</v>
      </c>
      <c r="H57" s="17" t="n">
        <v>841</v>
      </c>
    </row>
    <row r="58" ht="16" customHeight="1" s="25" thickBot="1">
      <c r="A58" s="1" t="n">
        <v>57</v>
      </c>
      <c r="B58" s="2" t="inlineStr">
        <is>
          <t>Saudi Arabia</t>
        </is>
      </c>
      <c r="C58" s="12" t="inlineStr">
        <is>
          <t>Jehad Thakri</t>
        </is>
      </c>
      <c r="D58" s="12" t="inlineStr">
        <is>
          <t>Defesa</t>
        </is>
      </c>
      <c r="E58" s="17" t="n">
        <v>25</v>
      </c>
      <c r="F58" s="17" t="n">
        <v>2280</v>
      </c>
      <c r="G58" s="17" t="n">
        <v>7</v>
      </c>
      <c r="H58" s="17" t="n">
        <v>499</v>
      </c>
    </row>
    <row r="59" ht="16" customHeight="1" s="25" thickBot="1">
      <c r="A59" s="1" t="n">
        <v>58</v>
      </c>
      <c r="B59" s="2" t="inlineStr">
        <is>
          <t>Saudi Arabia</t>
        </is>
      </c>
      <c r="C59" s="12" t="inlineStr">
        <is>
          <t>Abdulelah Al Amri</t>
        </is>
      </c>
      <c r="D59" s="12" t="inlineStr">
        <is>
          <t>Defesa</t>
        </is>
      </c>
      <c r="E59" s="17" t="n">
        <v>25</v>
      </c>
      <c r="F59" s="17" t="n">
        <v>2280</v>
      </c>
      <c r="G59" s="17" t="n">
        <v>14</v>
      </c>
      <c r="H59" s="17" t="n">
        <v>874</v>
      </c>
    </row>
    <row r="60" ht="16" customHeight="1" s="25" thickBot="1">
      <c r="A60" s="1" t="n">
        <v>59</v>
      </c>
      <c r="B60" s="2" t="inlineStr">
        <is>
          <t>Saudi Arabia</t>
        </is>
      </c>
      <c r="C60" s="12" t="inlineStr">
        <is>
          <t>Hassan Tambakti</t>
        </is>
      </c>
      <c r="D60" s="12" t="inlineStr">
        <is>
          <t>Defesa</t>
        </is>
      </c>
      <c r="E60" s="17" t="n">
        <v>25</v>
      </c>
      <c r="F60" s="17" t="n">
        <v>2280</v>
      </c>
      <c r="G60" s="17" t="n">
        <v>14</v>
      </c>
      <c r="H60" s="17" t="n">
        <v>1189</v>
      </c>
    </row>
    <row r="61" ht="16" customHeight="1" s="25" thickBot="1">
      <c r="A61" s="1" t="n">
        <v>60</v>
      </c>
      <c r="B61" s="2" t="inlineStr">
        <is>
          <t>Saudi Arabia</t>
        </is>
      </c>
      <c r="C61" s="12" t="inlineStr">
        <is>
          <t>Ali Lajami</t>
        </is>
      </c>
      <c r="D61" s="12" t="inlineStr">
        <is>
          <t>Defesa</t>
        </is>
      </c>
      <c r="E61" s="17" t="n">
        <v>25</v>
      </c>
      <c r="F61" s="17" t="n">
        <v>2280</v>
      </c>
      <c r="G61" s="17" t="n">
        <v>5</v>
      </c>
      <c r="H61" s="17" t="n">
        <v>240</v>
      </c>
    </row>
    <row r="62" ht="16" customHeight="1" s="25" thickBot="1">
      <c r="A62" s="1" t="n">
        <v>61</v>
      </c>
      <c r="B62" s="2" t="inlineStr">
        <is>
          <t>Saudi Arabia</t>
        </is>
      </c>
      <c r="C62" s="12" t="inlineStr">
        <is>
          <t>Hassan Kadesh</t>
        </is>
      </c>
      <c r="D62" s="12" t="inlineStr">
        <is>
          <t>Defesa</t>
        </is>
      </c>
      <c r="E62" s="17" t="n">
        <v>25</v>
      </c>
      <c r="F62" s="17" t="n">
        <v>2280</v>
      </c>
      <c r="G62" s="17" t="n">
        <v>9</v>
      </c>
      <c r="H62" s="17" t="n">
        <v>417</v>
      </c>
    </row>
    <row r="63" ht="16" customHeight="1" s="25" thickBot="1">
      <c r="A63" s="1" t="n">
        <v>62</v>
      </c>
      <c r="B63" s="2" t="inlineStr">
        <is>
          <t>Saudi Arabia</t>
        </is>
      </c>
      <c r="C63" s="12" t="inlineStr">
        <is>
          <t>Moteb Al Harbi</t>
        </is>
      </c>
      <c r="D63" s="12" t="inlineStr">
        <is>
          <t>Defesa</t>
        </is>
      </c>
      <c r="E63" s="17" t="n">
        <v>25</v>
      </c>
      <c r="F63" s="17" t="n">
        <v>2280</v>
      </c>
      <c r="G63" s="17" t="n">
        <v>5</v>
      </c>
      <c r="H63" s="17" t="n">
        <v>307</v>
      </c>
    </row>
    <row r="64" ht="16" customHeight="1" s="25" thickBot="1">
      <c r="A64" s="1" t="n">
        <v>63</v>
      </c>
      <c r="B64" s="2" t="inlineStr">
        <is>
          <t>Saudi Arabia</t>
        </is>
      </c>
      <c r="C64" s="12" t="inlineStr">
        <is>
          <t>Nawaf Boushal</t>
        </is>
      </c>
      <c r="D64" s="12" t="inlineStr">
        <is>
          <t>Defesa</t>
        </is>
      </c>
      <c r="E64" s="17" t="n">
        <v>25</v>
      </c>
      <c r="F64" s="17" t="n">
        <v>2280</v>
      </c>
      <c r="G64" s="17" t="n">
        <v>21</v>
      </c>
      <c r="H64" s="17" t="n">
        <v>1537</v>
      </c>
    </row>
    <row r="65" ht="16" customHeight="1" s="25" thickBot="1">
      <c r="A65" s="1" t="n">
        <v>64</v>
      </c>
      <c r="B65" s="2" t="inlineStr">
        <is>
          <t>Saudi Arabia</t>
        </is>
      </c>
      <c r="C65" s="12" t="inlineStr">
        <is>
          <t>Ali Majrashi</t>
        </is>
      </c>
      <c r="D65" s="12" t="inlineStr">
        <is>
          <t>Defesa</t>
        </is>
      </c>
      <c r="E65" s="17" t="n">
        <v>25</v>
      </c>
      <c r="F65" s="17" t="n">
        <v>2280</v>
      </c>
      <c r="G65" s="17" t="n">
        <v>18</v>
      </c>
      <c r="H65" s="17" t="n">
        <v>1093</v>
      </c>
    </row>
    <row r="66" ht="16" customHeight="1" s="25" thickBot="1">
      <c r="A66" s="1" t="n">
        <v>65</v>
      </c>
      <c r="B66" s="2" t="inlineStr">
        <is>
          <t>Saudi Arabia</t>
        </is>
      </c>
      <c r="C66" s="12" t="inlineStr">
        <is>
          <t>Mohammed Abu Alshamat</t>
        </is>
      </c>
      <c r="D66" s="12" t="inlineStr">
        <is>
          <t>Defesa</t>
        </is>
      </c>
      <c r="E66" s="17" t="n">
        <v>25</v>
      </c>
      <c r="F66" s="17" t="n">
        <v>2280</v>
      </c>
      <c r="G66" s="17" t="n">
        <v>5</v>
      </c>
      <c r="H66" s="17" t="n">
        <v>170</v>
      </c>
    </row>
    <row r="67" ht="16" customHeight="1" s="25" thickBot="1">
      <c r="A67" s="1" t="n">
        <v>66</v>
      </c>
      <c r="B67" s="2" t="inlineStr">
        <is>
          <t>Saudi Arabia</t>
        </is>
      </c>
      <c r="C67" s="12" t="inlineStr">
        <is>
          <t>Ziyad Al Johani</t>
        </is>
      </c>
      <c r="D67" s="12" t="inlineStr">
        <is>
          <t>Médio</t>
        </is>
      </c>
      <c r="E67" s="17" t="n">
        <v>25</v>
      </c>
      <c r="F67" s="17" t="n">
        <v>2280</v>
      </c>
      <c r="G67" s="17" t="n">
        <v>12</v>
      </c>
      <c r="H67" s="17" t="n">
        <v>776</v>
      </c>
    </row>
    <row r="68" ht="16" customHeight="1" s="25" thickBot="1">
      <c r="A68" s="1" t="n">
        <v>67</v>
      </c>
      <c r="B68" s="2" t="inlineStr">
        <is>
          <t>Saudi Arabia</t>
        </is>
      </c>
      <c r="C68" s="12" t="inlineStr">
        <is>
          <t>Nasser Al Dawsari</t>
        </is>
      </c>
      <c r="D68" s="12" t="inlineStr">
        <is>
          <t>Médio</t>
        </is>
      </c>
      <c r="E68" s="17" t="n">
        <v>25</v>
      </c>
      <c r="F68" s="17" t="n">
        <v>2280</v>
      </c>
      <c r="G68" s="17" t="n">
        <v>15</v>
      </c>
      <c r="H68" s="17" t="n">
        <v>823</v>
      </c>
    </row>
    <row r="69" ht="16" customHeight="1" s="25" thickBot="1">
      <c r="A69" s="1" t="n">
        <v>68</v>
      </c>
      <c r="B69" s="2" t="inlineStr">
        <is>
          <t>Saudi Arabia</t>
        </is>
      </c>
      <c r="C69" s="12" t="inlineStr">
        <is>
          <t>Mohamed Kanno</t>
        </is>
      </c>
      <c r="D69" s="12" t="inlineStr">
        <is>
          <t>Médio</t>
        </is>
      </c>
      <c r="E69" s="17" t="n">
        <v>25</v>
      </c>
      <c r="F69" s="17" t="n">
        <v>2280</v>
      </c>
      <c r="G69" s="17" t="n">
        <v>14</v>
      </c>
      <c r="H69" s="17" t="n">
        <v>1110</v>
      </c>
    </row>
    <row r="70" ht="16" customHeight="1" s="25" thickBot="1">
      <c r="A70" s="1" t="n">
        <v>69</v>
      </c>
      <c r="B70" s="2" t="inlineStr">
        <is>
          <t>Saudi Arabia</t>
        </is>
      </c>
      <c r="C70" s="12" t="inlineStr">
        <is>
          <t>Abdullah Al Khaibari</t>
        </is>
      </c>
      <c r="D70" s="12" t="inlineStr">
        <is>
          <t>Médio</t>
        </is>
      </c>
      <c r="E70" s="17" t="n">
        <v>25</v>
      </c>
      <c r="F70" s="17" t="n">
        <v>2280</v>
      </c>
      <c r="G70" s="17" t="n">
        <v>13</v>
      </c>
      <c r="H70" s="17" t="n">
        <v>979</v>
      </c>
    </row>
    <row r="71" ht="16" customHeight="1" s="25" thickBot="1">
      <c r="A71" s="1" t="n">
        <v>70</v>
      </c>
      <c r="B71" s="2" t="inlineStr">
        <is>
          <t>Saudi Arabia</t>
        </is>
      </c>
      <c r="C71" s="12" t="inlineStr">
        <is>
          <t>Alaa Al Hejji</t>
        </is>
      </c>
      <c r="D71" s="12" t="inlineStr">
        <is>
          <t>Médio</t>
        </is>
      </c>
      <c r="E71" s="17" t="n">
        <v>25</v>
      </c>
      <c r="F71" s="17" t="n">
        <v>2280</v>
      </c>
      <c r="G71" s="17" t="n">
        <v>2</v>
      </c>
      <c r="H71" s="17" t="n">
        <v>42</v>
      </c>
    </row>
    <row r="72" ht="16" customHeight="1" s="25" thickBot="1">
      <c r="A72" s="1" t="n">
        <v>71</v>
      </c>
      <c r="B72" s="2" t="inlineStr">
        <is>
          <t>Saudi Arabia</t>
        </is>
      </c>
      <c r="C72" s="12" t="inlineStr">
        <is>
          <t>Musab Al Juwayr</t>
        </is>
      </c>
      <c r="D72" s="12" t="inlineStr">
        <is>
          <t>Médio</t>
        </is>
      </c>
      <c r="E72" s="17" t="n">
        <v>25</v>
      </c>
      <c r="F72" s="17" t="n">
        <v>2280</v>
      </c>
      <c r="G72" s="17" t="n">
        <v>20</v>
      </c>
      <c r="H72" s="17" t="n">
        <v>1106</v>
      </c>
    </row>
    <row r="73" ht="16" customHeight="1" s="25" thickBot="1">
      <c r="A73" s="1" t="n">
        <v>72</v>
      </c>
      <c r="B73" s="2" t="inlineStr">
        <is>
          <t>Saudi Arabia</t>
        </is>
      </c>
      <c r="C73" s="12" t="inlineStr">
        <is>
          <t>Sultan Mandash</t>
        </is>
      </c>
      <c r="D73" s="12" t="inlineStr">
        <is>
          <t>Médio</t>
        </is>
      </c>
      <c r="E73" s="17" t="n">
        <v>25</v>
      </c>
      <c r="F73" s="17" t="n">
        <v>2280</v>
      </c>
      <c r="G73" s="17" t="n">
        <v>4</v>
      </c>
      <c r="H73" s="17" t="n">
        <v>167</v>
      </c>
    </row>
    <row r="74" ht="16" customHeight="1" s="25" thickBot="1">
      <c r="A74" s="1" t="n">
        <v>73</v>
      </c>
      <c r="B74" s="2" t="inlineStr">
        <is>
          <t>Saudi Arabia</t>
        </is>
      </c>
      <c r="C74" s="12" t="inlineStr">
        <is>
          <t>Ayman Yahya</t>
        </is>
      </c>
      <c r="D74" s="12" t="inlineStr">
        <is>
          <t>Médio</t>
        </is>
      </c>
      <c r="E74" s="17" t="n">
        <v>25</v>
      </c>
      <c r="F74" s="17" t="n">
        <v>2280</v>
      </c>
      <c r="G74" s="17" t="n">
        <v>13</v>
      </c>
      <c r="H74" s="17" t="n">
        <v>655</v>
      </c>
    </row>
    <row r="75" ht="16" customHeight="1" s="25" thickBot="1">
      <c r="A75" s="1" t="n">
        <v>74</v>
      </c>
      <c r="B75" s="2" t="inlineStr">
        <is>
          <t>Saudi Arabia</t>
        </is>
      </c>
      <c r="C75" s="12" t="inlineStr">
        <is>
          <t>Khalid Al Ghannam</t>
        </is>
      </c>
      <c r="D75" s="12" t="inlineStr">
        <is>
          <t>Médio</t>
        </is>
      </c>
      <c r="E75" s="17" t="n">
        <v>25</v>
      </c>
      <c r="F75" s="17" t="n">
        <v>2280</v>
      </c>
      <c r="G75" s="17" t="n">
        <v>3</v>
      </c>
      <c r="H75" s="17" t="n">
        <v>142</v>
      </c>
    </row>
    <row r="76" ht="16" customHeight="1" s="25" thickBot="1">
      <c r="A76" s="1" t="n">
        <v>75</v>
      </c>
      <c r="B76" s="2" t="inlineStr">
        <is>
          <t>Saudi Arabia</t>
        </is>
      </c>
      <c r="C76" s="12" t="inlineStr">
        <is>
          <t>Salem Al Dawsari</t>
        </is>
      </c>
      <c r="D76" s="12" t="inlineStr">
        <is>
          <t>Avançado</t>
        </is>
      </c>
      <c r="E76" s="17" t="n">
        <v>25</v>
      </c>
      <c r="F76" s="17" t="n">
        <v>2280</v>
      </c>
      <c r="G76" s="17" t="n">
        <v>16</v>
      </c>
      <c r="H76" s="17" t="n">
        <v>1274</v>
      </c>
    </row>
    <row r="77" ht="16" customHeight="1" s="25" thickBot="1">
      <c r="A77" s="1" t="n">
        <v>76</v>
      </c>
      <c r="B77" s="2" t="inlineStr">
        <is>
          <t>Saudi Arabia</t>
        </is>
      </c>
      <c r="C77" s="12" t="inlineStr">
        <is>
          <t>Abdullah Al Hamdan</t>
        </is>
      </c>
      <c r="D77" s="12" t="inlineStr">
        <is>
          <t>Avançado</t>
        </is>
      </c>
      <c r="E77" s="17" t="n">
        <v>25</v>
      </c>
      <c r="F77" s="17" t="n">
        <v>2280</v>
      </c>
      <c r="G77" s="17" t="n">
        <v>13</v>
      </c>
      <c r="H77" s="17" t="n">
        <v>420</v>
      </c>
    </row>
    <row r="78" ht="16" customHeight="1" s="25" thickBot="1">
      <c r="A78" s="1" t="n">
        <v>77</v>
      </c>
      <c r="B78" s="2" t="inlineStr">
        <is>
          <t>Saudi Arabia</t>
        </is>
      </c>
      <c r="C78" s="12" t="inlineStr">
        <is>
          <t>Feras Al Brikan</t>
        </is>
      </c>
      <c r="D78" s="12" t="inlineStr">
        <is>
          <t>Avançado</t>
        </is>
      </c>
      <c r="E78" s="17" t="n">
        <v>25</v>
      </c>
      <c r="F78" s="17" t="n">
        <v>2280</v>
      </c>
      <c r="G78" s="17" t="n">
        <v>23</v>
      </c>
      <c r="H78" s="17" t="n">
        <v>1721</v>
      </c>
    </row>
    <row r="79" ht="16" customHeight="1" s="25" thickBot="1">
      <c r="A79" s="1" t="n">
        <v>78</v>
      </c>
      <c r="B79" s="2" t="inlineStr">
        <is>
          <t>Saudi Arabia</t>
        </is>
      </c>
      <c r="C79" s="12" t="inlineStr">
        <is>
          <t>Saleh Al Shehri</t>
        </is>
      </c>
      <c r="D79" s="12" t="inlineStr">
        <is>
          <t>Avançado</t>
        </is>
      </c>
      <c r="E79" s="17" t="n">
        <v>25</v>
      </c>
      <c r="F79" s="17" t="n">
        <v>2280</v>
      </c>
      <c r="G79" s="17" t="n">
        <v>18</v>
      </c>
      <c r="H79" s="17" t="n">
        <v>536</v>
      </c>
    </row>
    <row r="80">
      <c r="A80" s="1" t="n">
        <v>94</v>
      </c>
      <c r="B80" s="2" t="inlineStr">
        <is>
          <t>Algeria</t>
        </is>
      </c>
      <c r="C80" s="2" t="inlineStr">
        <is>
          <t>Oussama Benbout</t>
        </is>
      </c>
      <c r="D80" s="2" t="inlineStr">
        <is>
          <t>Guarda Redes</t>
        </is>
      </c>
      <c r="E80" s="12" t="n">
        <v>29</v>
      </c>
      <c r="F80" s="12" t="n">
        <v>2640</v>
      </c>
      <c r="G80" s="12" t="n">
        <v>0</v>
      </c>
      <c r="H80" s="12" t="n">
        <v>0</v>
      </c>
    </row>
    <row r="81">
      <c r="A81" s="1" t="n">
        <v>95</v>
      </c>
      <c r="B81" s="2" t="inlineStr">
        <is>
          <t>Algeria</t>
        </is>
      </c>
      <c r="C81" s="2" t="inlineStr">
        <is>
          <t>Anthony Mandréa</t>
        </is>
      </c>
      <c r="D81" s="2" t="inlineStr">
        <is>
          <t>Guarda Redes</t>
        </is>
      </c>
      <c r="E81" s="12" t="n">
        <v>29</v>
      </c>
      <c r="F81" s="12" t="n">
        <v>2640</v>
      </c>
      <c r="G81" s="12" t="n">
        <v>0</v>
      </c>
      <c r="H81" s="12" t="n">
        <v>0</v>
      </c>
    </row>
    <row r="82">
      <c r="A82" s="1" t="n">
        <v>96</v>
      </c>
      <c r="B82" s="2" t="inlineStr">
        <is>
          <t>Algeria</t>
        </is>
      </c>
      <c r="C82" s="2" t="inlineStr">
        <is>
          <t>Kilian Belazzoug</t>
        </is>
      </c>
      <c r="D82" s="2" t="inlineStr">
        <is>
          <t>Guarda Redes</t>
        </is>
      </c>
      <c r="E82" s="12" t="n">
        <v>29</v>
      </c>
      <c r="F82" s="12" t="n">
        <v>2640</v>
      </c>
      <c r="G82" s="12" t="n">
        <v>0</v>
      </c>
      <c r="H82" s="12" t="n">
        <v>0</v>
      </c>
    </row>
    <row r="83">
      <c r="A83" s="1" t="n">
        <v>97</v>
      </c>
      <c r="B83" s="2" t="inlineStr">
        <is>
          <t>Algeria</t>
        </is>
      </c>
      <c r="C83" s="2" t="inlineStr">
        <is>
          <t>Melvin Mastil</t>
        </is>
      </c>
      <c r="D83" s="2" t="inlineStr">
        <is>
          <t>Guarda Redes</t>
        </is>
      </c>
      <c r="E83" s="12" t="n">
        <v>29</v>
      </c>
      <c r="F83" s="12" t="n">
        <v>2640</v>
      </c>
      <c r="G83" s="12" t="n">
        <v>1</v>
      </c>
      <c r="H83" s="12" t="n">
        <v>90</v>
      </c>
    </row>
    <row r="84">
      <c r="A84" s="1" t="n">
        <v>98</v>
      </c>
      <c r="B84" s="2" t="inlineStr">
        <is>
          <t>Algeria</t>
        </is>
      </c>
      <c r="C84" s="2" t="inlineStr">
        <is>
          <t>Luca Zidane</t>
        </is>
      </c>
      <c r="D84" s="2" t="inlineStr">
        <is>
          <t>Guarda Redes</t>
        </is>
      </c>
      <c r="E84" s="12" t="n">
        <v>29</v>
      </c>
      <c r="F84" s="12" t="n">
        <v>2640</v>
      </c>
      <c r="G84" s="12" t="n">
        <v>4</v>
      </c>
      <c r="H84" s="12" t="n">
        <v>390</v>
      </c>
    </row>
    <row r="85">
      <c r="A85" s="1" t="n">
        <v>99</v>
      </c>
      <c r="B85" s="2" t="inlineStr">
        <is>
          <t>Algeria</t>
        </is>
      </c>
      <c r="C85" s="2" t="inlineStr">
        <is>
          <t>Amine Tougai</t>
        </is>
      </c>
      <c r="D85" s="2" t="inlineStr">
        <is>
          <t>Defesa</t>
        </is>
      </c>
      <c r="E85" s="12" t="n">
        <v>29</v>
      </c>
      <c r="F85" s="12" t="n">
        <v>2640</v>
      </c>
      <c r="G85" s="12" t="n">
        <v>1</v>
      </c>
      <c r="H85" s="12" t="n">
        <v>44</v>
      </c>
    </row>
    <row r="86">
      <c r="A86" s="1" t="n">
        <v>100</v>
      </c>
      <c r="B86" s="2" t="inlineStr">
        <is>
          <t>Algeria</t>
        </is>
      </c>
      <c r="C86" s="2" t="inlineStr">
        <is>
          <t>Jaouen Hadjam</t>
        </is>
      </c>
      <c r="D86" s="2" t="inlineStr">
        <is>
          <t>Defesa</t>
        </is>
      </c>
      <c r="E86" s="12" t="n">
        <v>29</v>
      </c>
      <c r="F86" s="12" t="n">
        <v>2640</v>
      </c>
      <c r="G86" s="12" t="n">
        <v>1</v>
      </c>
      <c r="H86" s="12" t="n">
        <v>44</v>
      </c>
    </row>
    <row r="87">
      <c r="A87" s="1" t="n">
        <v>101</v>
      </c>
      <c r="B87" s="2" t="inlineStr">
        <is>
          <t>Algeria</t>
        </is>
      </c>
      <c r="C87" s="2" t="inlineStr">
        <is>
          <t>Samir Chergui</t>
        </is>
      </c>
      <c r="D87" s="2" t="inlineStr">
        <is>
          <t>Defesa</t>
        </is>
      </c>
      <c r="E87" s="12" t="n">
        <v>29</v>
      </c>
      <c r="F87" s="12" t="n">
        <v>2640</v>
      </c>
      <c r="G87" s="12" t="n">
        <v>0</v>
      </c>
      <c r="H87" s="12" t="n">
        <v>0</v>
      </c>
    </row>
    <row r="88">
      <c r="A88" s="1" t="n">
        <v>102</v>
      </c>
      <c r="B88" s="2" t="inlineStr">
        <is>
          <t>Algeria</t>
        </is>
      </c>
      <c r="C88" s="2" t="inlineStr">
        <is>
          <t>Mehdi Dorval</t>
        </is>
      </c>
      <c r="D88" s="2" t="inlineStr">
        <is>
          <t>Defesa</t>
        </is>
      </c>
      <c r="E88" s="12" t="n">
        <v>29</v>
      </c>
      <c r="F88" s="12" t="n">
        <v>2640</v>
      </c>
      <c r="G88" s="12" t="n">
        <v>1</v>
      </c>
      <c r="H88" s="12" t="n">
        <v>29</v>
      </c>
    </row>
    <row r="89">
      <c r="A89" s="1" t="n">
        <v>103</v>
      </c>
      <c r="B89" s="2" t="inlineStr">
        <is>
          <t>Algeria</t>
        </is>
      </c>
      <c r="C89" s="2" t="inlineStr">
        <is>
          <t>Sohaib Nair</t>
        </is>
      </c>
      <c r="D89" s="2" t="inlineStr">
        <is>
          <t>Defesa</t>
        </is>
      </c>
      <c r="E89" s="12" t="n">
        <v>29</v>
      </c>
      <c r="F89" s="12" t="n">
        <v>2640</v>
      </c>
      <c r="G89" s="12" t="n">
        <v>0</v>
      </c>
      <c r="H89" s="12" t="n">
        <v>0</v>
      </c>
    </row>
    <row r="90">
      <c r="A90" s="1" t="n">
        <v>104</v>
      </c>
      <c r="B90" s="2" t="inlineStr">
        <is>
          <t>Algeria</t>
        </is>
      </c>
      <c r="C90" s="2" t="inlineStr">
        <is>
          <t>Aïssa Mandi</t>
        </is>
      </c>
      <c r="D90" s="2" t="inlineStr">
        <is>
          <t>Defesa</t>
        </is>
      </c>
      <c r="E90" s="12" t="n">
        <v>29</v>
      </c>
      <c r="F90" s="12" t="n">
        <v>2640</v>
      </c>
      <c r="G90" s="12" t="n">
        <v>4</v>
      </c>
      <c r="H90" s="12" t="n">
        <v>346</v>
      </c>
    </row>
    <row r="91">
      <c r="A91" s="1" t="n">
        <v>105</v>
      </c>
      <c r="B91" s="2" t="inlineStr">
        <is>
          <t>Algeria</t>
        </is>
      </c>
      <c r="C91" s="2" t="inlineStr">
        <is>
          <t>Achref Abada</t>
        </is>
      </c>
      <c r="D91" s="2" t="inlineStr">
        <is>
          <t>Defesa</t>
        </is>
      </c>
      <c r="E91" s="12" t="n">
        <v>29</v>
      </c>
      <c r="F91" s="12" t="n">
        <v>2640</v>
      </c>
      <c r="G91" s="12" t="n">
        <v>3</v>
      </c>
      <c r="H91" s="12" t="n">
        <v>146</v>
      </c>
    </row>
    <row r="92">
      <c r="A92" s="1" t="n">
        <v>106</v>
      </c>
      <c r="B92" s="2" t="inlineStr">
        <is>
          <t>Algeria</t>
        </is>
      </c>
      <c r="C92" s="2" t="inlineStr">
        <is>
          <t>Zineedine Belaid</t>
        </is>
      </c>
      <c r="D92" s="2" t="inlineStr">
        <is>
          <t>Defesa</t>
        </is>
      </c>
      <c r="E92" s="12" t="n">
        <v>29</v>
      </c>
      <c r="F92" s="12" t="n">
        <v>2640</v>
      </c>
      <c r="G92" s="12" t="n">
        <v>4</v>
      </c>
      <c r="H92" s="12" t="n">
        <v>320</v>
      </c>
    </row>
    <row r="93">
      <c r="A93" s="1" t="n">
        <v>107</v>
      </c>
      <c r="B93" s="2" t="inlineStr">
        <is>
          <t>Algeria</t>
        </is>
      </c>
      <c r="C93" s="2" t="inlineStr">
        <is>
          <t>Rayan Aït-Nouri</t>
        </is>
      </c>
      <c r="D93" s="2" t="inlineStr">
        <is>
          <t>Defesa</t>
        </is>
      </c>
      <c r="E93" s="12" t="n">
        <v>29</v>
      </c>
      <c r="F93" s="12" t="n">
        <v>2640</v>
      </c>
      <c r="G93" s="12" t="n">
        <v>5</v>
      </c>
      <c r="H93" s="12" t="n">
        <v>357</v>
      </c>
    </row>
    <row r="94">
      <c r="A94" s="1" t="n">
        <v>108</v>
      </c>
      <c r="B94" s="2" t="inlineStr">
        <is>
          <t>Algeria</t>
        </is>
      </c>
      <c r="C94" s="2" t="inlineStr">
        <is>
          <t>Rafik Belghali</t>
        </is>
      </c>
      <c r="D94" s="2" t="inlineStr">
        <is>
          <t>Defesa</t>
        </is>
      </c>
      <c r="E94" s="12" t="n">
        <v>29</v>
      </c>
      <c r="F94" s="12" t="n">
        <v>2640</v>
      </c>
      <c r="G94" s="12" t="n">
        <v>5</v>
      </c>
      <c r="H94" s="12" t="n">
        <v>355</v>
      </c>
    </row>
    <row r="95">
      <c r="A95" s="1" t="n">
        <v>109</v>
      </c>
      <c r="B95" s="2" t="inlineStr">
        <is>
          <t>Algeria</t>
        </is>
      </c>
      <c r="C95" s="2" t="inlineStr">
        <is>
          <t>Ramy Bensebaini</t>
        </is>
      </c>
      <c r="D95" s="2" t="inlineStr">
        <is>
          <t>Defesa</t>
        </is>
      </c>
      <c r="E95" s="12" t="n">
        <v>29</v>
      </c>
      <c r="F95" s="12" t="n">
        <v>2640</v>
      </c>
      <c r="G95" s="12" t="n">
        <v>4</v>
      </c>
      <c r="H95" s="12" t="n">
        <v>369</v>
      </c>
    </row>
    <row r="96">
      <c r="A96" s="1" t="n">
        <v>110</v>
      </c>
      <c r="B96" s="2" t="inlineStr">
        <is>
          <t>Algeria</t>
        </is>
      </c>
      <c r="C96" s="2" t="inlineStr">
        <is>
          <t>Nabil Bentaleb</t>
        </is>
      </c>
      <c r="D96" s="2" t="inlineStr">
        <is>
          <t>Médio</t>
        </is>
      </c>
      <c r="E96" s="12" t="n">
        <v>29</v>
      </c>
      <c r="F96" s="12" t="n">
        <v>2640</v>
      </c>
      <c r="G96" s="12" t="n">
        <v>1</v>
      </c>
      <c r="H96" s="12" t="n">
        <v>90</v>
      </c>
    </row>
    <row r="97">
      <c r="A97" s="1" t="n">
        <v>111</v>
      </c>
      <c r="B97" s="2" t="inlineStr">
        <is>
          <t>Algeria</t>
        </is>
      </c>
      <c r="C97" s="2" t="inlineStr">
        <is>
          <t>Adil Aouchiche</t>
        </is>
      </c>
      <c r="D97" s="2" t="inlineStr">
        <is>
          <t>Médio</t>
        </is>
      </c>
      <c r="E97" s="12" t="n">
        <v>29</v>
      </c>
      <c r="F97" s="12" t="n">
        <v>2640</v>
      </c>
      <c r="G97" s="12" t="n">
        <v>1</v>
      </c>
      <c r="H97" s="12" t="n">
        <v>21</v>
      </c>
    </row>
    <row r="98">
      <c r="A98" s="1" t="n">
        <v>112</v>
      </c>
      <c r="B98" s="2" t="inlineStr">
        <is>
          <t>Algeria</t>
        </is>
      </c>
      <c r="C98" s="2" t="inlineStr">
        <is>
          <t>Hicham Boudaoui</t>
        </is>
      </c>
      <c r="D98" s="2" t="inlineStr">
        <is>
          <t>Médio</t>
        </is>
      </c>
      <c r="E98" s="12" t="n">
        <v>29</v>
      </c>
      <c r="F98" s="12" t="n">
        <v>2640</v>
      </c>
      <c r="G98" s="12" t="n">
        <v>3</v>
      </c>
      <c r="H98" s="12" t="n">
        <v>259</v>
      </c>
    </row>
    <row r="99">
      <c r="A99" s="1" t="n">
        <v>113</v>
      </c>
      <c r="B99" s="2" t="inlineStr">
        <is>
          <t>Algeria</t>
        </is>
      </c>
      <c r="C99" s="2" t="inlineStr">
        <is>
          <t>Ramiz Zerrouki</t>
        </is>
      </c>
      <c r="D99" s="2" t="inlineStr">
        <is>
          <t>Médio</t>
        </is>
      </c>
      <c r="E99" s="12" t="n">
        <v>29</v>
      </c>
      <c r="F99" s="12" t="n">
        <v>2640</v>
      </c>
      <c r="G99" s="12" t="n">
        <v>5</v>
      </c>
      <c r="H99" s="12" t="n">
        <v>200</v>
      </c>
    </row>
    <row r="100">
      <c r="A100" s="1" t="n">
        <v>114</v>
      </c>
      <c r="B100" s="2" t="inlineStr">
        <is>
          <t>Algeria</t>
        </is>
      </c>
      <c r="C100" s="2" t="inlineStr">
        <is>
          <t>Houssem Aouar</t>
        </is>
      </c>
      <c r="D100" s="2" t="inlineStr">
        <is>
          <t>Médio</t>
        </is>
      </c>
      <c r="E100" s="12" t="n">
        <v>29</v>
      </c>
      <c r="F100" s="12" t="n">
        <v>2640</v>
      </c>
      <c r="G100" s="12" t="n">
        <v>3</v>
      </c>
      <c r="H100" s="12" t="n">
        <v>180</v>
      </c>
    </row>
    <row r="101">
      <c r="A101" s="1" t="n">
        <v>115</v>
      </c>
      <c r="B101" s="2" t="inlineStr">
        <is>
          <t>Algeria</t>
        </is>
      </c>
      <c r="C101" s="2" t="inlineStr">
        <is>
          <t>Farès Chaïbi</t>
        </is>
      </c>
      <c r="D101" s="2" t="inlineStr">
        <is>
          <t>Médio</t>
        </is>
      </c>
      <c r="E101" s="12" t="n">
        <v>29</v>
      </c>
      <c r="F101" s="12" t="n">
        <v>2640</v>
      </c>
      <c r="G101" s="12" t="n">
        <v>4</v>
      </c>
      <c r="H101" s="12" t="n">
        <v>327</v>
      </c>
    </row>
    <row r="102">
      <c r="A102" s="1" t="n">
        <v>116</v>
      </c>
      <c r="B102" s="2" t="inlineStr">
        <is>
          <t>Algeria</t>
        </is>
      </c>
      <c r="C102" s="2" t="inlineStr">
        <is>
          <t>Ibrahim Maza</t>
        </is>
      </c>
      <c r="D102" s="2" t="inlineStr">
        <is>
          <t>Médio</t>
        </is>
      </c>
      <c r="E102" s="12" t="n">
        <v>29</v>
      </c>
      <c r="F102" s="12" t="n">
        <v>2640</v>
      </c>
      <c r="G102" s="12" t="n">
        <v>5</v>
      </c>
      <c r="H102" s="12" t="n">
        <v>280</v>
      </c>
    </row>
    <row r="103">
      <c r="A103" s="1" t="n">
        <v>117</v>
      </c>
      <c r="B103" s="2" t="inlineStr">
        <is>
          <t>Algeria</t>
        </is>
      </c>
      <c r="C103" s="2" t="inlineStr">
        <is>
          <t>Yacine Titraoui</t>
        </is>
      </c>
      <c r="D103" s="2" t="inlineStr">
        <is>
          <t>Médio</t>
        </is>
      </c>
      <c r="E103" s="12" t="n">
        <v>29</v>
      </c>
      <c r="F103" s="12" t="n">
        <v>2640</v>
      </c>
      <c r="G103" s="12" t="n">
        <v>2</v>
      </c>
      <c r="H103" s="12" t="n">
        <v>88</v>
      </c>
    </row>
    <row r="104">
      <c r="A104" s="1" t="n">
        <v>118</v>
      </c>
      <c r="B104" s="2" t="inlineStr">
        <is>
          <t>Algeria</t>
        </is>
      </c>
      <c r="C104" s="2" t="inlineStr">
        <is>
          <t>Amin Chiakha</t>
        </is>
      </c>
      <c r="D104" s="2" t="inlineStr">
        <is>
          <t>Avançado</t>
        </is>
      </c>
      <c r="E104" s="12" t="n">
        <v>29</v>
      </c>
      <c r="F104" s="12" t="n">
        <v>2640</v>
      </c>
      <c r="G104" s="12" t="n">
        <v>1</v>
      </c>
      <c r="H104" s="12" t="n">
        <v>13</v>
      </c>
    </row>
    <row r="105">
      <c r="A105" s="1" t="n">
        <v>119</v>
      </c>
      <c r="B105" s="2" t="inlineStr">
        <is>
          <t>Algeria</t>
        </is>
      </c>
      <c r="C105" s="2" t="inlineStr">
        <is>
          <t>Riyad Mahrez</t>
        </is>
      </c>
      <c r="D105" s="2" t="inlineStr">
        <is>
          <t>Avançado</t>
        </is>
      </c>
      <c r="E105" s="12" t="n">
        <v>29</v>
      </c>
      <c r="F105" s="12" t="n">
        <v>2640</v>
      </c>
      <c r="G105" s="12" t="n">
        <v>5</v>
      </c>
      <c r="H105" s="12" t="n">
        <v>263</v>
      </c>
    </row>
    <row r="106">
      <c r="A106" s="1" t="n">
        <v>120</v>
      </c>
      <c r="B106" s="2" t="inlineStr">
        <is>
          <t>Algeria</t>
        </is>
      </c>
      <c r="C106" s="2" t="inlineStr">
        <is>
          <t>Amine Gouiri</t>
        </is>
      </c>
      <c r="D106" s="2" t="inlineStr">
        <is>
          <t>Avançado</t>
        </is>
      </c>
      <c r="E106" s="12" t="n">
        <v>29</v>
      </c>
      <c r="F106" s="12" t="n">
        <v>2640</v>
      </c>
      <c r="G106" s="12" t="n">
        <v>3</v>
      </c>
      <c r="H106" s="12" t="n">
        <v>203</v>
      </c>
    </row>
    <row r="107">
      <c r="A107" s="1" t="n">
        <v>121</v>
      </c>
      <c r="B107" s="2" t="inlineStr">
        <is>
          <t>Algeria</t>
        </is>
      </c>
      <c r="C107" s="2" t="inlineStr">
        <is>
          <t>Anis Hadj Moussa</t>
        </is>
      </c>
      <c r="D107" s="2" t="inlineStr">
        <is>
          <t>Avançado</t>
        </is>
      </c>
      <c r="E107" s="12" t="n">
        <v>29</v>
      </c>
      <c r="F107" s="12" t="n">
        <v>2640</v>
      </c>
      <c r="G107" s="12" t="n">
        <v>3</v>
      </c>
      <c r="H107" s="12" t="n">
        <v>123</v>
      </c>
    </row>
    <row r="108">
      <c r="A108" s="1" t="n">
        <v>122</v>
      </c>
      <c r="B108" s="2" t="inlineStr">
        <is>
          <t>Algeria</t>
        </is>
      </c>
      <c r="C108" s="2" t="inlineStr">
        <is>
          <t>Nadir Benbouali</t>
        </is>
      </c>
      <c r="D108" s="2" t="inlineStr">
        <is>
          <t>Avançado</t>
        </is>
      </c>
      <c r="E108" s="12" t="n">
        <v>29</v>
      </c>
      <c r="F108" s="12" t="n">
        <v>2640</v>
      </c>
      <c r="G108" s="12" t="n">
        <v>3</v>
      </c>
      <c r="H108" s="12" t="n">
        <v>67</v>
      </c>
    </row>
    <row r="109">
      <c r="A109" s="1" t="n">
        <v>123</v>
      </c>
      <c r="B109" s="2" t="inlineStr">
        <is>
          <t>Algeria</t>
        </is>
      </c>
      <c r="C109" s="2" t="inlineStr">
        <is>
          <t>Mohamed Amoura</t>
        </is>
      </c>
      <c r="D109" s="2" t="inlineStr">
        <is>
          <t>Avançado</t>
        </is>
      </c>
      <c r="E109" s="12" t="n">
        <v>29</v>
      </c>
      <c r="F109" s="12" t="n">
        <v>2640</v>
      </c>
      <c r="G109" s="12" t="n">
        <v>5</v>
      </c>
      <c r="H109" s="12" t="n">
        <v>356</v>
      </c>
    </row>
    <row r="110">
      <c r="A110" s="1" t="n">
        <v>124</v>
      </c>
      <c r="B110" s="2" t="inlineStr">
        <is>
          <t>Algeria</t>
        </is>
      </c>
      <c r="C110" s="2" t="inlineStr">
        <is>
          <t>Adil Boulbina</t>
        </is>
      </c>
      <c r="D110" s="2" t="inlineStr">
        <is>
          <t>Avançado</t>
        </is>
      </c>
      <c r="E110" s="12" t="n">
        <v>29</v>
      </c>
      <c r="F110" s="12" t="n">
        <v>2640</v>
      </c>
      <c r="G110" s="12" t="n">
        <v>4</v>
      </c>
      <c r="H110" s="12" t="n">
        <v>86</v>
      </c>
    </row>
    <row r="111">
      <c r="A111" s="1" t="n">
        <v>125</v>
      </c>
      <c r="B111" s="2" t="inlineStr">
        <is>
          <t>Algeria</t>
        </is>
      </c>
      <c r="C111" s="2" t="inlineStr">
        <is>
          <t>Farès Ghedjemis</t>
        </is>
      </c>
      <c r="D111" s="2" t="inlineStr">
        <is>
          <t>Avançado</t>
        </is>
      </c>
      <c r="E111" s="12" t="n">
        <v>29</v>
      </c>
      <c r="F111" s="12" t="n">
        <v>2640</v>
      </c>
      <c r="G111" s="12" t="n">
        <v>1</v>
      </c>
      <c r="H111" s="12" t="n">
        <v>29</v>
      </c>
    </row>
    <row r="112">
      <c r="A112" s="1" t="n">
        <v>126</v>
      </c>
      <c r="B112" s="2" t="inlineStr">
        <is>
          <t>Argentina</t>
        </is>
      </c>
      <c r="C112" s="2" t="inlineStr">
        <is>
          <t>Santiago Beltrán</t>
        </is>
      </c>
      <c r="D112" s="2" t="inlineStr">
        <is>
          <t>Guarda Redes</t>
        </is>
      </c>
      <c r="E112" s="8" t="n">
        <v>11</v>
      </c>
      <c r="F112" s="11" t="n">
        <v>990</v>
      </c>
      <c r="G112" s="11" t="n">
        <v>0</v>
      </c>
      <c r="H112" s="11" t="n">
        <v>0</v>
      </c>
    </row>
    <row r="113">
      <c r="A113" s="1" t="n">
        <v>127</v>
      </c>
      <c r="B113" s="2" t="inlineStr">
        <is>
          <t>Argentina</t>
        </is>
      </c>
      <c r="C113" s="2" t="inlineStr">
        <is>
          <t>Juan Musso</t>
        </is>
      </c>
      <c r="D113" s="2" t="inlineStr">
        <is>
          <t>Guarda Redes</t>
        </is>
      </c>
      <c r="E113" s="6" t="n">
        <v>11</v>
      </c>
      <c r="F113" s="11" t="n">
        <v>990</v>
      </c>
      <c r="G113" s="11" t="n">
        <v>1</v>
      </c>
      <c r="H113" s="11" t="n">
        <v>16</v>
      </c>
    </row>
    <row r="114">
      <c r="A114" s="1" t="n">
        <v>128</v>
      </c>
      <c r="B114" s="2" t="inlineStr">
        <is>
          <t>Argentina</t>
        </is>
      </c>
      <c r="C114" s="2" t="inlineStr">
        <is>
          <t>Gerónimo Rulli</t>
        </is>
      </c>
      <c r="D114" s="2" t="inlineStr">
        <is>
          <t>Guarda Redes</t>
        </is>
      </c>
      <c r="E114" s="8" t="n">
        <v>11</v>
      </c>
      <c r="F114" s="11" t="n">
        <v>990</v>
      </c>
      <c r="G114" s="11" t="n">
        <v>1</v>
      </c>
      <c r="H114" s="11" t="n">
        <v>90</v>
      </c>
    </row>
    <row r="115">
      <c r="A115" s="1" t="n">
        <v>129</v>
      </c>
      <c r="B115" s="2" t="inlineStr">
        <is>
          <t>Argentina</t>
        </is>
      </c>
      <c r="C115" s="2" t="inlineStr">
        <is>
          <t>Emiliano Martínez</t>
        </is>
      </c>
      <c r="D115" s="2" t="inlineStr">
        <is>
          <t>Guarda Redes</t>
        </is>
      </c>
      <c r="E115" s="6" t="n">
        <v>11</v>
      </c>
      <c r="F115" s="11" t="n">
        <v>990</v>
      </c>
      <c r="G115" s="11" t="n">
        <v>10</v>
      </c>
      <c r="H115" s="11" t="n">
        <v>870</v>
      </c>
    </row>
    <row r="116">
      <c r="A116" s="1" t="n">
        <v>130</v>
      </c>
      <c r="B116" s="2" t="inlineStr">
        <is>
          <t>Argentina</t>
        </is>
      </c>
      <c r="C116" s="2" t="inlineStr">
        <is>
          <t>Lisandro Martínez</t>
        </is>
      </c>
      <c r="D116" s="2" t="inlineStr">
        <is>
          <t>Defesa</t>
        </is>
      </c>
      <c r="E116" s="8" t="n">
        <v>11</v>
      </c>
      <c r="F116" s="11" t="n">
        <v>990</v>
      </c>
      <c r="G116" s="11" t="n">
        <v>0</v>
      </c>
      <c r="H116" s="11" t="n">
        <v>0</v>
      </c>
    </row>
    <row r="117">
      <c r="A117" s="1" t="n">
        <v>131</v>
      </c>
      <c r="B117" s="2" t="inlineStr">
        <is>
          <t>Argentina</t>
        </is>
      </c>
      <c r="C117" s="2" t="inlineStr">
        <is>
          <t>Ignacio Ovando</t>
        </is>
      </c>
      <c r="D117" s="2" t="inlineStr">
        <is>
          <t>Defesa</t>
        </is>
      </c>
      <c r="E117" s="6" t="n">
        <v>11</v>
      </c>
      <c r="F117" s="11" t="n">
        <v>990</v>
      </c>
      <c r="G117" s="11" t="n">
        <v>0</v>
      </c>
      <c r="H117" s="11" t="n">
        <v>0</v>
      </c>
    </row>
    <row r="118">
      <c r="A118" s="1" t="n">
        <v>132</v>
      </c>
      <c r="B118" s="2" t="inlineStr">
        <is>
          <t>Argentina</t>
        </is>
      </c>
      <c r="C118" s="2" t="inlineStr">
        <is>
          <t>Leonardo Balerdi</t>
        </is>
      </c>
      <c r="D118" s="2" t="inlineStr">
        <is>
          <t>Defesa</t>
        </is>
      </c>
      <c r="E118" s="8" t="n">
        <v>11</v>
      </c>
      <c r="F118" s="11" t="n">
        <v>990</v>
      </c>
      <c r="G118" s="11" t="n">
        <v>5</v>
      </c>
      <c r="H118" s="11" t="n">
        <v>274</v>
      </c>
    </row>
    <row r="119">
      <c r="A119" s="1" t="n">
        <v>133</v>
      </c>
      <c r="B119" s="2" t="inlineStr">
        <is>
          <t>Argentina</t>
        </is>
      </c>
      <c r="C119" s="2" t="inlineStr">
        <is>
          <t>Tomás Palacios</t>
        </is>
      </c>
      <c r="D119" s="2" t="inlineStr">
        <is>
          <t>Defesa</t>
        </is>
      </c>
      <c r="E119" s="6" t="n">
        <v>11</v>
      </c>
      <c r="F119" s="11" t="n">
        <v>990</v>
      </c>
      <c r="G119" s="11" t="n">
        <v>0</v>
      </c>
      <c r="H119" s="11" t="n">
        <v>0</v>
      </c>
    </row>
    <row r="120">
      <c r="A120" s="1" t="n">
        <v>134</v>
      </c>
      <c r="B120" s="2" t="inlineStr">
        <is>
          <t>Argentina</t>
        </is>
      </c>
      <c r="C120" s="2" t="inlineStr">
        <is>
          <t>Martínez Quarta</t>
        </is>
      </c>
      <c r="D120" s="2" t="inlineStr">
        <is>
          <t>Defesa</t>
        </is>
      </c>
      <c r="E120" s="8" t="n">
        <v>11</v>
      </c>
      <c r="F120" s="11" t="n">
        <v>990</v>
      </c>
      <c r="G120" s="11" t="n">
        <v>1</v>
      </c>
      <c r="H120" s="11" t="n">
        <v>21</v>
      </c>
    </row>
    <row r="121">
      <c r="A121" s="1" t="n">
        <v>135</v>
      </c>
      <c r="B121" s="2" t="inlineStr">
        <is>
          <t>Argentina</t>
        </is>
      </c>
      <c r="C121" s="2" t="inlineStr">
        <is>
          <t>Nicolás Tagliafico</t>
        </is>
      </c>
      <c r="D121" s="2" t="inlineStr">
        <is>
          <t>Defesa</t>
        </is>
      </c>
      <c r="E121" s="6" t="n">
        <v>11</v>
      </c>
      <c r="F121" s="11" t="n">
        <v>990</v>
      </c>
      <c r="G121" s="11" t="n">
        <v>8</v>
      </c>
      <c r="H121" s="11" t="n">
        <v>626</v>
      </c>
    </row>
    <row r="122">
      <c r="A122" s="1" t="n">
        <v>136</v>
      </c>
      <c r="B122" s="2" t="inlineStr">
        <is>
          <t>Argentina</t>
        </is>
      </c>
      <c r="C122" s="2" t="inlineStr">
        <is>
          <t>Gabriel Rojas</t>
        </is>
      </c>
      <c r="D122" s="2" t="inlineStr">
        <is>
          <t>Defesa</t>
        </is>
      </c>
      <c r="E122" s="8" t="n">
        <v>11</v>
      </c>
      <c r="F122" s="11" t="n">
        <v>990</v>
      </c>
      <c r="G122" s="11" t="n">
        <v>1</v>
      </c>
      <c r="H122" s="11" t="n">
        <v>21</v>
      </c>
    </row>
    <row r="123">
      <c r="A123" s="1" t="n">
        <v>137</v>
      </c>
      <c r="B123" s="2" t="inlineStr">
        <is>
          <t>Argentina</t>
        </is>
      </c>
      <c r="C123" s="2" t="inlineStr">
        <is>
          <t>Agustín Giay</t>
        </is>
      </c>
      <c r="D123" s="2" t="inlineStr">
        <is>
          <t>Defesa</t>
        </is>
      </c>
      <c r="E123" s="6" t="n">
        <v>11</v>
      </c>
      <c r="F123" s="11" t="n">
        <v>990</v>
      </c>
      <c r="G123" s="11" t="n">
        <v>1</v>
      </c>
      <c r="H123" s="11" t="n">
        <v>21</v>
      </c>
    </row>
    <row r="124">
      <c r="A124" s="1" t="n">
        <v>138</v>
      </c>
      <c r="B124" s="2" t="inlineStr">
        <is>
          <t>Argentina</t>
        </is>
      </c>
      <c r="C124" s="2" t="inlineStr">
        <is>
          <t>Marcos Senesi</t>
        </is>
      </c>
      <c r="D124" s="2" t="inlineStr">
        <is>
          <t>Defesa</t>
        </is>
      </c>
      <c r="E124" s="8" t="n">
        <v>11</v>
      </c>
      <c r="F124" s="11" t="n">
        <v>990</v>
      </c>
      <c r="G124" s="11" t="n">
        <v>2</v>
      </c>
      <c r="H124" s="11" t="n">
        <v>180</v>
      </c>
    </row>
    <row r="125">
      <c r="A125" s="1" t="n">
        <v>139</v>
      </c>
      <c r="B125" s="2" t="inlineStr">
        <is>
          <t>Argentina</t>
        </is>
      </c>
      <c r="C125" s="2" t="inlineStr">
        <is>
          <t>Marcos Acuña</t>
        </is>
      </c>
      <c r="D125" s="2" t="inlineStr">
        <is>
          <t>Defesa</t>
        </is>
      </c>
      <c r="E125" s="6" t="n">
        <v>11</v>
      </c>
      <c r="F125" s="11" t="n">
        <v>990</v>
      </c>
      <c r="G125" s="11" t="n">
        <v>1</v>
      </c>
      <c r="H125" s="11" t="n">
        <v>69</v>
      </c>
    </row>
    <row r="126">
      <c r="A126" s="1" t="n">
        <v>140</v>
      </c>
      <c r="B126" s="2" t="inlineStr">
        <is>
          <t>Argentina</t>
        </is>
      </c>
      <c r="C126" s="2" t="inlineStr">
        <is>
          <t>Cristián Romero</t>
        </is>
      </c>
      <c r="D126" s="2" t="inlineStr">
        <is>
          <t>Defesa</t>
        </is>
      </c>
      <c r="E126" s="8" t="n">
        <v>11</v>
      </c>
      <c r="F126" s="11" t="n">
        <v>990</v>
      </c>
      <c r="G126" s="11" t="n">
        <v>9</v>
      </c>
      <c r="H126" s="11" t="n">
        <v>810</v>
      </c>
    </row>
    <row r="127">
      <c r="A127" s="1" t="n">
        <v>141</v>
      </c>
      <c r="B127" s="2" t="inlineStr">
        <is>
          <t>Argentina</t>
        </is>
      </c>
      <c r="C127" s="2" t="inlineStr">
        <is>
          <t>Nicolás Otamendi</t>
        </is>
      </c>
      <c r="D127" s="2" t="inlineStr">
        <is>
          <t>Defesa</t>
        </is>
      </c>
      <c r="E127" s="6" t="n">
        <v>11</v>
      </c>
      <c r="F127" s="11" t="n">
        <v>990</v>
      </c>
      <c r="G127" s="11" t="n">
        <v>7</v>
      </c>
      <c r="H127" s="11" t="n">
        <v>506</v>
      </c>
    </row>
    <row r="128">
      <c r="A128" s="1" t="n">
        <v>142</v>
      </c>
      <c r="B128" s="2" t="inlineStr">
        <is>
          <t>Argentina</t>
        </is>
      </c>
      <c r="C128" s="2" t="inlineStr">
        <is>
          <t>Facundo Medina</t>
        </is>
      </c>
      <c r="D128" s="2" t="inlineStr">
        <is>
          <t>Defesa</t>
        </is>
      </c>
      <c r="E128" s="8" t="n">
        <v>11</v>
      </c>
      <c r="F128" s="11" t="n">
        <v>990</v>
      </c>
      <c r="G128" s="11" t="n">
        <v>3</v>
      </c>
      <c r="H128" s="11" t="n">
        <v>103</v>
      </c>
    </row>
    <row r="129">
      <c r="A129" s="1" t="n">
        <v>143</v>
      </c>
      <c r="B129" s="2" t="inlineStr">
        <is>
          <t>Argentina</t>
        </is>
      </c>
      <c r="C129" s="2" t="inlineStr">
        <is>
          <t>Valentín Barco</t>
        </is>
      </c>
      <c r="D129" s="2" t="inlineStr">
        <is>
          <t>Defesa</t>
        </is>
      </c>
      <c r="E129" s="6" t="n">
        <v>11</v>
      </c>
      <c r="F129" s="11" t="n">
        <v>990</v>
      </c>
      <c r="G129" s="11" t="n">
        <v>1</v>
      </c>
      <c r="H129" s="11" t="n">
        <v>36</v>
      </c>
    </row>
    <row r="130">
      <c r="A130" s="1" t="n">
        <v>144</v>
      </c>
      <c r="B130" s="2" t="inlineStr">
        <is>
          <t>Argentina</t>
        </is>
      </c>
      <c r="C130" s="2" t="inlineStr">
        <is>
          <t>Nahuel Molina</t>
        </is>
      </c>
      <c r="D130" s="2" t="inlineStr">
        <is>
          <t>Defesa</t>
        </is>
      </c>
      <c r="E130" s="8" t="n">
        <v>11</v>
      </c>
      <c r="F130" s="11" t="n">
        <v>990</v>
      </c>
      <c r="G130" s="11" t="n">
        <v>10</v>
      </c>
      <c r="H130" s="11" t="n">
        <v>683</v>
      </c>
    </row>
    <row r="131">
      <c r="A131" s="1" t="n">
        <v>145</v>
      </c>
      <c r="B131" s="2" t="inlineStr">
        <is>
          <t>Argentina</t>
        </is>
      </c>
      <c r="C131" s="2" t="inlineStr">
        <is>
          <t>Simón Escobar</t>
        </is>
      </c>
      <c r="D131" s="2" t="inlineStr">
        <is>
          <t>Defesa</t>
        </is>
      </c>
      <c r="E131" s="6" t="n">
        <v>11</v>
      </c>
      <c r="F131" s="11" t="n">
        <v>990</v>
      </c>
      <c r="G131" s="11" t="n">
        <v>0</v>
      </c>
      <c r="H131" s="11" t="n">
        <v>0</v>
      </c>
    </row>
    <row r="132">
      <c r="A132" s="1" t="n">
        <v>146</v>
      </c>
      <c r="B132" s="2" t="inlineStr">
        <is>
          <t>Argentina</t>
        </is>
      </c>
      <c r="C132" s="2" t="inlineStr">
        <is>
          <t>Tomás Aranda</t>
        </is>
      </c>
      <c r="D132" s="2" t="inlineStr">
        <is>
          <t>Médio</t>
        </is>
      </c>
      <c r="E132" s="8" t="n">
        <v>11</v>
      </c>
      <c r="F132" s="11" t="n">
        <v>990</v>
      </c>
      <c r="G132" s="11" t="n">
        <v>0</v>
      </c>
      <c r="H132" s="11" t="n">
        <v>0</v>
      </c>
    </row>
    <row r="133">
      <c r="A133" s="1" t="n">
        <v>147</v>
      </c>
      <c r="B133" s="2" t="inlineStr">
        <is>
          <t>Argentina</t>
        </is>
      </c>
      <c r="C133" s="2" t="inlineStr">
        <is>
          <t>Leandro Paredes</t>
        </is>
      </c>
      <c r="D133" s="2" t="inlineStr">
        <is>
          <t>Médio</t>
        </is>
      </c>
      <c r="E133" s="6" t="n">
        <v>11</v>
      </c>
      <c r="F133" s="11" t="n">
        <v>990</v>
      </c>
      <c r="G133" s="11" t="n">
        <v>7</v>
      </c>
      <c r="H133" s="11" t="n">
        <v>512</v>
      </c>
    </row>
    <row r="134">
      <c r="A134" s="1" t="n">
        <v>148</v>
      </c>
      <c r="B134" s="2" t="inlineStr">
        <is>
          <t>Argentina</t>
        </is>
      </c>
      <c r="C134" s="2" t="inlineStr">
        <is>
          <t>Rodrigo De Paul</t>
        </is>
      </c>
      <c r="D134" s="2" t="inlineStr">
        <is>
          <t>Médio</t>
        </is>
      </c>
      <c r="E134" s="8" t="n">
        <v>11</v>
      </c>
      <c r="F134" s="11" t="n">
        <v>990</v>
      </c>
      <c r="G134" s="11" t="n">
        <v>10</v>
      </c>
      <c r="H134" s="11" t="n">
        <v>657</v>
      </c>
    </row>
    <row r="135">
      <c r="A135" s="1" t="n">
        <v>149</v>
      </c>
      <c r="B135" s="2" t="inlineStr">
        <is>
          <t>Argentina</t>
        </is>
      </c>
      <c r="C135" s="2" t="inlineStr">
        <is>
          <t>Giovani Lo Celso</t>
        </is>
      </c>
      <c r="D135" s="2" t="inlineStr">
        <is>
          <t>Médio</t>
        </is>
      </c>
      <c r="E135" s="6" t="n">
        <v>11</v>
      </c>
      <c r="F135" s="11" t="n">
        <v>990</v>
      </c>
      <c r="G135" s="11" t="n">
        <v>4</v>
      </c>
      <c r="H135" s="11" t="n">
        <v>217</v>
      </c>
    </row>
    <row r="136">
      <c r="A136" s="1" t="n">
        <v>150</v>
      </c>
      <c r="B136" s="2" t="inlineStr">
        <is>
          <t>Argentina</t>
        </is>
      </c>
      <c r="C136" s="2" t="inlineStr">
        <is>
          <t>Thiago Almada</t>
        </is>
      </c>
      <c r="D136" s="2" t="inlineStr">
        <is>
          <t>Médio</t>
        </is>
      </c>
      <c r="E136" s="8" t="n">
        <v>11</v>
      </c>
      <c r="F136" s="11" t="n">
        <v>990</v>
      </c>
      <c r="G136" s="11" t="n">
        <v>8</v>
      </c>
      <c r="H136" s="11" t="n">
        <v>628</v>
      </c>
    </row>
    <row r="137">
      <c r="A137" s="1" t="n">
        <v>151</v>
      </c>
      <c r="B137" s="2" t="inlineStr">
        <is>
          <t>Argentina</t>
        </is>
      </c>
      <c r="C137" s="2" t="inlineStr">
        <is>
          <t>Exequiel Palacios</t>
        </is>
      </c>
      <c r="D137" s="2" t="inlineStr">
        <is>
          <t>Médio</t>
        </is>
      </c>
      <c r="E137" s="6" t="n">
        <v>11</v>
      </c>
      <c r="F137" s="11" t="n">
        <v>990</v>
      </c>
      <c r="G137" s="11" t="n">
        <v>6</v>
      </c>
      <c r="H137" s="11" t="n">
        <v>150</v>
      </c>
    </row>
    <row r="138">
      <c r="A138" s="1" t="n">
        <v>152</v>
      </c>
      <c r="B138" s="2" t="inlineStr">
        <is>
          <t>Argentina</t>
        </is>
      </c>
      <c r="C138" s="2" t="inlineStr">
        <is>
          <t>Máximo Perrone</t>
        </is>
      </c>
      <c r="D138" s="2" t="inlineStr">
        <is>
          <t>Médio</t>
        </is>
      </c>
      <c r="E138" s="8" t="n">
        <v>11</v>
      </c>
      <c r="F138" s="11" t="n">
        <v>990</v>
      </c>
      <c r="G138" s="11" t="n">
        <v>2</v>
      </c>
      <c r="H138" s="11" t="n">
        <v>21</v>
      </c>
    </row>
    <row r="139">
      <c r="A139" s="1" t="n">
        <v>153</v>
      </c>
      <c r="B139" s="2" t="inlineStr">
        <is>
          <t>Argentina</t>
        </is>
      </c>
      <c r="C139" s="2" t="inlineStr">
        <is>
          <t>Nico Paz</t>
        </is>
      </c>
      <c r="D139" s="2" t="inlineStr">
        <is>
          <t>Médio</t>
        </is>
      </c>
      <c r="E139" s="6" t="n">
        <v>11</v>
      </c>
      <c r="F139" s="11" t="n">
        <v>990</v>
      </c>
      <c r="G139" s="11" t="n">
        <v>7</v>
      </c>
      <c r="H139" s="11" t="n">
        <v>264</v>
      </c>
    </row>
    <row r="140">
      <c r="A140" s="1" t="n">
        <v>154</v>
      </c>
      <c r="B140" s="2" t="inlineStr">
        <is>
          <t>Argentina</t>
        </is>
      </c>
      <c r="C140" s="2" t="inlineStr">
        <is>
          <t>Alexis Mac Allister</t>
        </is>
      </c>
      <c r="D140" s="2" t="inlineStr">
        <is>
          <t>Médio</t>
        </is>
      </c>
      <c r="E140" s="8" t="n">
        <v>11</v>
      </c>
      <c r="F140" s="11" t="n">
        <v>990</v>
      </c>
      <c r="G140" s="11" t="n">
        <v>8</v>
      </c>
      <c r="H140" s="11" t="n">
        <v>562</v>
      </c>
    </row>
    <row r="141">
      <c r="A141" s="1" t="n">
        <v>155</v>
      </c>
      <c r="B141" s="2" t="inlineStr">
        <is>
          <t>Argentina</t>
        </is>
      </c>
      <c r="C141" s="2" t="inlineStr">
        <is>
          <t>Enzo Fernández</t>
        </is>
      </c>
      <c r="D141" s="2" t="inlineStr">
        <is>
          <t>Médio</t>
        </is>
      </c>
      <c r="E141" s="6" t="n">
        <v>11</v>
      </c>
      <c r="F141" s="11" t="n">
        <v>990</v>
      </c>
      <c r="G141" s="11" t="n">
        <v>6</v>
      </c>
      <c r="H141" s="11" t="n">
        <v>458</v>
      </c>
    </row>
    <row r="142">
      <c r="A142" s="1" t="n">
        <v>156</v>
      </c>
      <c r="B142" s="2" t="inlineStr">
        <is>
          <t>Argentina</t>
        </is>
      </c>
      <c r="C142" s="2" t="inlineStr">
        <is>
          <t>Nicolás Capaldo</t>
        </is>
      </c>
      <c r="D142" s="2" t="inlineStr">
        <is>
          <t>Médio</t>
        </is>
      </c>
      <c r="E142" s="8" t="n">
        <v>11</v>
      </c>
      <c r="F142" s="11" t="n">
        <v>990</v>
      </c>
      <c r="G142" s="11" t="n">
        <v>0</v>
      </c>
      <c r="H142" s="11" t="n">
        <v>0</v>
      </c>
    </row>
    <row r="143">
      <c r="A143" s="1" t="n">
        <v>157</v>
      </c>
      <c r="B143" s="2" t="inlineStr">
        <is>
          <t>Argentina</t>
        </is>
      </c>
      <c r="C143" s="2" t="inlineStr">
        <is>
          <t>Lautaro Martínez</t>
        </is>
      </c>
      <c r="D143" s="2" t="inlineStr">
        <is>
          <t>Avançado</t>
        </is>
      </c>
      <c r="E143" s="6" t="n">
        <v>11</v>
      </c>
      <c r="F143" s="11" t="n">
        <v>990</v>
      </c>
      <c r="G143" s="11" t="n">
        <v>5</v>
      </c>
      <c r="H143" s="11" t="n">
        <v>281</v>
      </c>
    </row>
    <row r="144">
      <c r="A144" s="1" t="n">
        <v>158</v>
      </c>
      <c r="B144" s="2" t="inlineStr">
        <is>
          <t>Argentina</t>
        </is>
      </c>
      <c r="C144" s="2" t="inlineStr">
        <is>
          <t>Joaquín Panichelli</t>
        </is>
      </c>
      <c r="D144" s="2" t="inlineStr">
        <is>
          <t>Avançado</t>
        </is>
      </c>
      <c r="E144" s="8" t="n">
        <v>11</v>
      </c>
      <c r="F144" s="11" t="n">
        <v>990</v>
      </c>
      <c r="G144" s="11" t="n">
        <v>1</v>
      </c>
      <c r="H144" s="11" t="n">
        <v>4</v>
      </c>
    </row>
    <row r="145">
      <c r="A145" s="1" t="n">
        <v>159</v>
      </c>
      <c r="B145" s="2" t="inlineStr">
        <is>
          <t>Argentina</t>
        </is>
      </c>
      <c r="C145" s="2" t="inlineStr">
        <is>
          <t>Julián Alvarez</t>
        </is>
      </c>
      <c r="D145" s="2" t="inlineStr">
        <is>
          <t>Avançado</t>
        </is>
      </c>
      <c r="E145" s="6" t="n">
        <v>11</v>
      </c>
      <c r="F145" s="11" t="n">
        <v>990</v>
      </c>
      <c r="G145" s="11" t="n">
        <v>9</v>
      </c>
      <c r="H145" s="11" t="n">
        <v>637</v>
      </c>
    </row>
    <row r="146">
      <c r="A146" s="1" t="n">
        <v>160</v>
      </c>
      <c r="B146" s="2" t="inlineStr">
        <is>
          <t>Argentina</t>
        </is>
      </c>
      <c r="C146" s="2" t="inlineStr">
        <is>
          <t>Lionel Messi</t>
        </is>
      </c>
      <c r="D146" s="2" t="inlineStr">
        <is>
          <t>Avançado</t>
        </is>
      </c>
      <c r="E146" s="8" t="n">
        <v>11</v>
      </c>
      <c r="F146" s="11" t="n">
        <v>990</v>
      </c>
      <c r="G146" s="11" t="n">
        <v>7</v>
      </c>
      <c r="H146" s="11" t="n">
        <v>511</v>
      </c>
    </row>
    <row r="147">
      <c r="A147" s="1" t="n">
        <v>161</v>
      </c>
      <c r="B147" s="2" t="inlineStr">
        <is>
          <t>Argentina</t>
        </is>
      </c>
      <c r="C147" s="2" t="inlineStr">
        <is>
          <t>Nicolás González</t>
        </is>
      </c>
      <c r="D147" s="2" t="inlineStr">
        <is>
          <t>Avançado</t>
        </is>
      </c>
      <c r="E147" s="6" t="n">
        <v>11</v>
      </c>
      <c r="F147" s="11" t="n">
        <v>990</v>
      </c>
      <c r="G147" s="11" t="n">
        <v>9</v>
      </c>
      <c r="H147" s="11" t="n">
        <v>484</v>
      </c>
    </row>
    <row r="148">
      <c r="A148" s="1" t="n">
        <v>162</v>
      </c>
      <c r="B148" s="2" t="inlineStr">
        <is>
          <t>Argentina</t>
        </is>
      </c>
      <c r="C148" s="2" t="inlineStr">
        <is>
          <t>Giuliano Simeone</t>
        </is>
      </c>
      <c r="D148" s="2" t="inlineStr">
        <is>
          <t>Avançado</t>
        </is>
      </c>
      <c r="E148" s="8" t="n">
        <v>11</v>
      </c>
      <c r="F148" s="11" t="n">
        <v>990</v>
      </c>
      <c r="G148" s="11" t="n">
        <v>10</v>
      </c>
      <c r="H148" s="11" t="n">
        <v>405</v>
      </c>
    </row>
    <row r="149">
      <c r="A149" s="1" t="n">
        <v>163</v>
      </c>
      <c r="B149" s="2" t="inlineStr">
        <is>
          <t>Argentina</t>
        </is>
      </c>
      <c r="C149" s="2" t="inlineStr">
        <is>
          <t>Flaco López</t>
        </is>
      </c>
      <c r="D149" s="2" t="inlineStr">
        <is>
          <t>Avançado</t>
        </is>
      </c>
      <c r="E149" s="6" t="n">
        <v>11</v>
      </c>
      <c r="F149" s="11" t="n">
        <v>990</v>
      </c>
      <c r="G149" s="11" t="n">
        <v>3</v>
      </c>
      <c r="H149" s="11" t="n">
        <v>83</v>
      </c>
    </row>
    <row r="150">
      <c r="A150" s="1" t="n">
        <v>164</v>
      </c>
      <c r="B150" s="2" t="inlineStr">
        <is>
          <t>Argentina</t>
        </is>
      </c>
      <c r="C150" s="2" t="inlineStr">
        <is>
          <t>Franco Mastantuono</t>
        </is>
      </c>
      <c r="D150" s="2" t="inlineStr">
        <is>
          <t>Avançado</t>
        </is>
      </c>
      <c r="E150" s="8" t="n">
        <v>11</v>
      </c>
      <c r="F150" s="11" t="n">
        <v>990</v>
      </c>
      <c r="G150" s="11" t="n">
        <v>4</v>
      </c>
      <c r="H150" s="11" t="n">
        <v>141</v>
      </c>
    </row>
    <row r="151">
      <c r="A151" s="1" t="n">
        <v>165</v>
      </c>
      <c r="B151" s="2" t="inlineStr">
        <is>
          <t>Argentina</t>
        </is>
      </c>
      <c r="C151" s="2" t="inlineStr">
        <is>
          <t>Gianluca Prestianni</t>
        </is>
      </c>
      <c r="D151" s="2" t="inlineStr">
        <is>
          <t>Avançado</t>
        </is>
      </c>
      <c r="E151" s="6" t="n">
        <v>11</v>
      </c>
      <c r="F151" s="11" t="n">
        <v>990</v>
      </c>
      <c r="G151" s="11" t="n">
        <v>1</v>
      </c>
      <c r="H151" s="11" t="n">
        <v>4</v>
      </c>
    </row>
    <row r="152">
      <c r="A152" s="1" t="n">
        <v>166</v>
      </c>
      <c r="B152" s="2" t="inlineStr">
        <is>
          <t>Argentina</t>
        </is>
      </c>
      <c r="C152" s="2" t="inlineStr">
        <is>
          <t>Joaquin Freitas</t>
        </is>
      </c>
      <c r="D152" s="2" t="inlineStr">
        <is>
          <t>Avançado</t>
        </is>
      </c>
      <c r="E152" s="8" t="n">
        <v>11</v>
      </c>
      <c r="F152" s="11" t="n">
        <v>990</v>
      </c>
      <c r="G152" s="11" t="n">
        <v>0</v>
      </c>
      <c r="H152" s="11" t="n">
        <v>0</v>
      </c>
    </row>
    <row r="153">
      <c r="A153" s="1" t="n">
        <v>167</v>
      </c>
      <c r="B153" s="2" t="inlineStr">
        <is>
          <t>Australia</t>
        </is>
      </c>
      <c r="C153" s="2" t="inlineStr">
        <is>
          <t>Mathew Ryan</t>
        </is>
      </c>
      <c r="D153" s="2" t="inlineStr">
        <is>
          <t>Guarda Redes</t>
        </is>
      </c>
      <c r="E153" s="12" t="n">
        <v>13</v>
      </c>
      <c r="F153" s="12" t="n">
        <v>1170</v>
      </c>
      <c r="G153" s="12" t="n">
        <v>3</v>
      </c>
      <c r="H153" s="12" t="n">
        <v>270</v>
      </c>
    </row>
    <row r="154">
      <c r="A154" s="1" t="n">
        <v>168</v>
      </c>
      <c r="B154" s="2" t="inlineStr">
        <is>
          <t>Australia</t>
        </is>
      </c>
      <c r="C154" s="2" t="inlineStr">
        <is>
          <t>Paul Izzo</t>
        </is>
      </c>
      <c r="D154" s="2" t="inlineStr">
        <is>
          <t>Guarda Redes</t>
        </is>
      </c>
      <c r="E154" s="12" t="n">
        <v>13</v>
      </c>
      <c r="F154" s="12" t="n">
        <v>1170</v>
      </c>
      <c r="G154" s="12" t="n">
        <v>0</v>
      </c>
      <c r="H154" s="12" t="n">
        <v>0</v>
      </c>
    </row>
    <row r="155">
      <c r="A155" s="1" t="n">
        <v>169</v>
      </c>
      <c r="B155" s="2" t="inlineStr">
        <is>
          <t>Australia</t>
        </is>
      </c>
      <c r="C155" s="2" t="inlineStr">
        <is>
          <t>Patrick Beach</t>
        </is>
      </c>
      <c r="D155" s="2" t="inlineStr">
        <is>
          <t>Guarda Redes</t>
        </is>
      </c>
      <c r="E155" s="12" t="n">
        <v>13</v>
      </c>
      <c r="F155" s="12" t="n">
        <v>1170</v>
      </c>
      <c r="G155" s="12" t="n">
        <v>0</v>
      </c>
      <c r="H155" s="12" t="n">
        <v>0</v>
      </c>
    </row>
    <row r="156">
      <c r="A156" s="1" t="n">
        <v>170</v>
      </c>
      <c r="B156" s="2" t="inlineStr">
        <is>
          <t>Australia</t>
        </is>
      </c>
      <c r="C156" s="2" t="inlineStr">
        <is>
          <t>Jason Geria</t>
        </is>
      </c>
      <c r="D156" s="2" t="inlineStr">
        <is>
          <t>Defesa</t>
        </is>
      </c>
      <c r="E156" s="12" t="n">
        <v>13</v>
      </c>
      <c r="F156" s="12" t="n">
        <v>1170</v>
      </c>
      <c r="G156" s="12" t="n">
        <v>2</v>
      </c>
      <c r="H156" s="12" t="n">
        <v>109</v>
      </c>
    </row>
    <row r="157">
      <c r="A157" s="1" t="n">
        <v>171</v>
      </c>
      <c r="B157" s="2" t="inlineStr">
        <is>
          <t>Australia</t>
        </is>
      </c>
      <c r="C157" s="2" t="inlineStr">
        <is>
          <t>Milos Degenek</t>
        </is>
      </c>
      <c r="D157" s="2" t="inlineStr">
        <is>
          <t>Defesa</t>
        </is>
      </c>
      <c r="E157" s="12" t="n">
        <v>13</v>
      </c>
      <c r="F157" s="12" t="n">
        <v>1170</v>
      </c>
      <c r="G157" s="12" t="n">
        <v>2</v>
      </c>
      <c r="H157" s="12" t="n">
        <v>16</v>
      </c>
    </row>
    <row r="158">
      <c r="A158" s="1" t="n">
        <v>172</v>
      </c>
      <c r="B158" s="2" t="inlineStr">
        <is>
          <t>Australia</t>
        </is>
      </c>
      <c r="C158" s="2" t="inlineStr">
        <is>
          <t>Alessandro Circati</t>
        </is>
      </c>
      <c r="D158" s="2" t="inlineStr">
        <is>
          <t>Defesa</t>
        </is>
      </c>
      <c r="E158" s="12" t="n">
        <v>13</v>
      </c>
      <c r="F158" s="12" t="n">
        <v>1170</v>
      </c>
      <c r="G158" s="12" t="n">
        <v>3</v>
      </c>
      <c r="H158" s="12" t="n">
        <v>254</v>
      </c>
    </row>
    <row r="159">
      <c r="A159" s="1" t="n">
        <v>173</v>
      </c>
      <c r="B159" s="2" t="inlineStr">
        <is>
          <t>Australia</t>
        </is>
      </c>
      <c r="C159" s="2" t="inlineStr">
        <is>
          <t>Kai Trewin</t>
        </is>
      </c>
      <c r="D159" s="2" t="inlineStr">
        <is>
          <t>Defesa</t>
        </is>
      </c>
      <c r="E159" s="12" t="n">
        <v>13</v>
      </c>
      <c r="F159" s="12" t="n">
        <v>1170</v>
      </c>
      <c r="G159" s="12" t="n">
        <v>3</v>
      </c>
      <c r="H159" s="12" t="n">
        <v>120</v>
      </c>
    </row>
    <row r="160">
      <c r="A160" s="1" t="n">
        <v>174</v>
      </c>
      <c r="B160" s="2" t="inlineStr">
        <is>
          <t>Australia</t>
        </is>
      </c>
      <c r="C160" s="2" t="inlineStr">
        <is>
          <t>Harry Souttar</t>
        </is>
      </c>
      <c r="D160" s="2" t="inlineStr">
        <is>
          <t>Defesa</t>
        </is>
      </c>
      <c r="E160" s="12" t="n">
        <v>13</v>
      </c>
      <c r="F160" s="12" t="n">
        <v>1170</v>
      </c>
      <c r="G160" s="12" t="n">
        <v>1</v>
      </c>
      <c r="H160" s="12" t="n">
        <v>90</v>
      </c>
    </row>
    <row r="161">
      <c r="A161" s="1" t="n">
        <v>175</v>
      </c>
      <c r="B161" s="2" t="inlineStr">
        <is>
          <t>Australia</t>
        </is>
      </c>
      <c r="C161" s="2" t="inlineStr">
        <is>
          <t>Cameron Burgess</t>
        </is>
      </c>
      <c r="D161" s="2" t="inlineStr">
        <is>
          <t>Defesa</t>
        </is>
      </c>
      <c r="E161" s="12" t="n">
        <v>13</v>
      </c>
      <c r="F161" s="12" t="n">
        <v>1170</v>
      </c>
      <c r="G161" s="12" t="n">
        <v>2</v>
      </c>
      <c r="H161" s="12" t="n">
        <v>48</v>
      </c>
    </row>
    <row r="162">
      <c r="A162" s="1" t="n">
        <v>176</v>
      </c>
      <c r="B162" s="2" t="inlineStr">
        <is>
          <t>Australia</t>
        </is>
      </c>
      <c r="C162" s="2" t="inlineStr">
        <is>
          <t>Lucas Herrington</t>
        </is>
      </c>
      <c r="D162" s="2" t="inlineStr">
        <is>
          <t>Defesa</t>
        </is>
      </c>
      <c r="E162" s="12" t="n">
        <v>13</v>
      </c>
      <c r="F162" s="12" t="n">
        <v>1170</v>
      </c>
      <c r="G162" s="12" t="n">
        <v>3</v>
      </c>
      <c r="H162" s="12" t="n">
        <v>226</v>
      </c>
    </row>
    <row r="163">
      <c r="A163" s="1" t="n">
        <v>177</v>
      </c>
      <c r="B163" s="2" t="inlineStr">
        <is>
          <t>Australia</t>
        </is>
      </c>
      <c r="C163" s="2" t="inlineStr">
        <is>
          <t>Jacob Italiano</t>
        </is>
      </c>
      <c r="D163" s="2" t="inlineStr">
        <is>
          <t>Defesa</t>
        </is>
      </c>
      <c r="E163" s="12" t="n">
        <v>13</v>
      </c>
      <c r="F163" s="12" t="n">
        <v>1170</v>
      </c>
      <c r="G163" s="12" t="n">
        <v>2</v>
      </c>
      <c r="H163" s="12" t="n">
        <v>150</v>
      </c>
    </row>
    <row r="164">
      <c r="A164" s="1" t="n">
        <v>178</v>
      </c>
      <c r="B164" s="2" t="inlineStr">
        <is>
          <t>Australia</t>
        </is>
      </c>
      <c r="C164" s="2" t="inlineStr">
        <is>
          <t>Jordan Bos</t>
        </is>
      </c>
      <c r="D164" s="2" t="inlineStr">
        <is>
          <t>Defesa</t>
        </is>
      </c>
      <c r="E164" s="12" t="n">
        <v>13</v>
      </c>
      <c r="F164" s="12" t="n">
        <v>1170</v>
      </c>
      <c r="G164" s="12" t="n">
        <v>3</v>
      </c>
      <c r="H164" s="12" t="n">
        <v>193</v>
      </c>
    </row>
    <row r="165">
      <c r="A165" s="1" t="n">
        <v>179</v>
      </c>
      <c r="B165" s="2" t="inlineStr">
        <is>
          <t>Australia</t>
        </is>
      </c>
      <c r="C165" s="2" t="inlineStr">
        <is>
          <t>Aziz Behich</t>
        </is>
      </c>
      <c r="D165" s="2" t="inlineStr">
        <is>
          <t>Defesa</t>
        </is>
      </c>
      <c r="E165" s="12" t="n">
        <v>13</v>
      </c>
      <c r="F165" s="12" t="n">
        <v>1170</v>
      </c>
      <c r="G165" s="12" t="n">
        <v>2</v>
      </c>
      <c r="H165" s="12" t="n">
        <v>77</v>
      </c>
    </row>
    <row r="166">
      <c r="A166" s="1" t="n">
        <v>180</v>
      </c>
      <c r="B166" s="2" t="inlineStr">
        <is>
          <t>Australia</t>
        </is>
      </c>
      <c r="C166" s="2" t="inlineStr">
        <is>
          <t>Aiden O’Neill</t>
        </is>
      </c>
      <c r="D166" s="2" t="inlineStr">
        <is>
          <t>Médio</t>
        </is>
      </c>
      <c r="E166" s="12" t="n">
        <v>13</v>
      </c>
      <c r="F166" s="12" t="n">
        <v>1170</v>
      </c>
      <c r="G166" s="12" t="n">
        <v>3</v>
      </c>
      <c r="H166" s="12" t="n">
        <v>231</v>
      </c>
    </row>
    <row r="167">
      <c r="A167" s="1" t="n">
        <v>181</v>
      </c>
      <c r="B167" s="2" t="inlineStr">
        <is>
          <t>Australia</t>
        </is>
      </c>
      <c r="C167" s="2" t="inlineStr">
        <is>
          <t>Cameron Devlin</t>
        </is>
      </c>
      <c r="D167" s="2" t="inlineStr">
        <is>
          <t>Médio</t>
        </is>
      </c>
      <c r="E167" s="12" t="n">
        <v>13</v>
      </c>
      <c r="F167" s="12" t="n">
        <v>1170</v>
      </c>
      <c r="G167" s="12" t="n">
        <v>0</v>
      </c>
      <c r="H167" s="12" t="n">
        <v>0</v>
      </c>
    </row>
    <row r="168">
      <c r="A168" s="1" t="n">
        <v>182</v>
      </c>
      <c r="B168" s="2" t="inlineStr">
        <is>
          <t>Australia</t>
        </is>
      </c>
      <c r="C168" s="2" t="inlineStr">
        <is>
          <t>Paul Okon</t>
        </is>
      </c>
      <c r="D168" s="2" t="inlineStr">
        <is>
          <t>Médio</t>
        </is>
      </c>
      <c r="E168" s="12" t="n">
        <v>13</v>
      </c>
      <c r="F168" s="12" t="n">
        <v>1170</v>
      </c>
      <c r="G168" s="12" t="n">
        <v>3</v>
      </c>
      <c r="H168" s="12" t="n">
        <v>92</v>
      </c>
    </row>
    <row r="169">
      <c r="A169" s="1" t="n">
        <v>183</v>
      </c>
      <c r="B169" s="2" t="inlineStr">
        <is>
          <t>Australia</t>
        </is>
      </c>
      <c r="C169" s="2" t="inlineStr">
        <is>
          <t>Connor Metcalfe</t>
        </is>
      </c>
      <c r="D169" s="2" t="inlineStr">
        <is>
          <t>Médio</t>
        </is>
      </c>
      <c r="E169" s="12" t="n">
        <v>13</v>
      </c>
      <c r="F169" s="12" t="n">
        <v>1170</v>
      </c>
      <c r="G169" s="12" t="n">
        <v>3</v>
      </c>
      <c r="H169" s="12" t="n">
        <v>178</v>
      </c>
    </row>
    <row r="170">
      <c r="A170" s="1" t="n">
        <v>184</v>
      </c>
      <c r="B170" s="2" t="inlineStr">
        <is>
          <t>Australia</t>
        </is>
      </c>
      <c r="C170" s="2" t="inlineStr">
        <is>
          <t>Jackson Irvine</t>
        </is>
      </c>
      <c r="D170" s="2" t="inlineStr">
        <is>
          <t>Médio</t>
        </is>
      </c>
      <c r="E170" s="12" t="n">
        <v>13</v>
      </c>
      <c r="F170" s="12" t="n">
        <v>1170</v>
      </c>
      <c r="G170" s="12" t="n">
        <v>1</v>
      </c>
      <c r="H170" s="12" t="n">
        <v>90</v>
      </c>
    </row>
    <row r="171">
      <c r="A171" s="1" t="n">
        <v>185</v>
      </c>
      <c r="B171" s="2" t="inlineStr">
        <is>
          <t>Australia</t>
        </is>
      </c>
      <c r="C171" s="2" t="inlineStr">
        <is>
          <t>Ajdin Hrustic</t>
        </is>
      </c>
      <c r="D171" s="2" t="inlineStr">
        <is>
          <t>Médio</t>
        </is>
      </c>
      <c r="E171" s="12" t="n">
        <v>13</v>
      </c>
      <c r="F171" s="12" t="n">
        <v>1170</v>
      </c>
      <c r="G171" s="12" t="n">
        <v>3</v>
      </c>
      <c r="H171" s="12" t="n">
        <v>94</v>
      </c>
    </row>
    <row r="172">
      <c r="A172" s="1" t="n">
        <v>186</v>
      </c>
      <c r="B172" s="2" t="inlineStr">
        <is>
          <t>Australia</t>
        </is>
      </c>
      <c r="C172" s="2" t="inlineStr">
        <is>
          <t>Mathew Leckie</t>
        </is>
      </c>
      <c r="D172" s="2" t="inlineStr">
        <is>
          <t>Avançado</t>
        </is>
      </c>
      <c r="E172" s="12" t="n">
        <v>13</v>
      </c>
      <c r="F172" s="12" t="n">
        <v>1170</v>
      </c>
      <c r="G172" s="12" t="n">
        <v>1</v>
      </c>
      <c r="H172" s="12" t="n">
        <v>67</v>
      </c>
    </row>
    <row r="173">
      <c r="A173" s="1" t="n">
        <v>187</v>
      </c>
      <c r="B173" s="2" t="inlineStr">
        <is>
          <t>Australia</t>
        </is>
      </c>
      <c r="C173" s="2" t="inlineStr">
        <is>
          <t>Awer Mabil</t>
        </is>
      </c>
      <c r="D173" s="2" t="inlineStr">
        <is>
          <t>Avançado</t>
        </is>
      </c>
      <c r="E173" s="12" t="n">
        <v>13</v>
      </c>
      <c r="F173" s="12" t="n">
        <v>1170</v>
      </c>
      <c r="G173" s="12" t="n">
        <v>2</v>
      </c>
      <c r="H173" s="12" t="n">
        <v>111</v>
      </c>
    </row>
    <row r="174">
      <c r="A174" s="1" t="n">
        <v>188</v>
      </c>
      <c r="B174" s="2" t="inlineStr">
        <is>
          <t>Australia</t>
        </is>
      </c>
      <c r="C174" s="2" t="inlineStr">
        <is>
          <t>Cristian Volpato</t>
        </is>
      </c>
      <c r="D174" s="2" t="inlineStr">
        <is>
          <t>Avançado</t>
        </is>
      </c>
      <c r="E174" s="12" t="n">
        <v>13</v>
      </c>
      <c r="F174" s="12" t="n">
        <v>1170</v>
      </c>
      <c r="G174" s="12" t="n">
        <v>0</v>
      </c>
      <c r="H174" s="12" t="n">
        <v>0</v>
      </c>
    </row>
    <row r="175">
      <c r="A175" s="1" t="n">
        <v>189</v>
      </c>
      <c r="B175" s="2" t="inlineStr">
        <is>
          <t>Australia</t>
        </is>
      </c>
      <c r="C175" s="2" t="inlineStr">
        <is>
          <t>Mohamed Touré</t>
        </is>
      </c>
      <c r="D175" s="2" t="inlineStr">
        <is>
          <t>Avançado</t>
        </is>
      </c>
      <c r="E175" s="12" t="n">
        <v>13</v>
      </c>
      <c r="F175" s="12" t="n">
        <v>1170</v>
      </c>
      <c r="G175" s="12" t="n">
        <v>1</v>
      </c>
      <c r="H175" s="12" t="n">
        <v>80</v>
      </c>
    </row>
    <row r="176">
      <c r="A176" s="1" t="n">
        <v>190</v>
      </c>
      <c r="B176" s="2" t="inlineStr">
        <is>
          <t>Australia</t>
        </is>
      </c>
      <c r="C176" s="2" t="inlineStr">
        <is>
          <t>Tete Yengi</t>
        </is>
      </c>
      <c r="D176" s="2" t="inlineStr">
        <is>
          <t>Avançado</t>
        </is>
      </c>
      <c r="E176" s="12" t="n">
        <v>13</v>
      </c>
      <c r="F176" s="12" t="n">
        <v>1170</v>
      </c>
      <c r="G176" s="12" t="n">
        <v>0</v>
      </c>
      <c r="H176" s="12" t="n">
        <v>0</v>
      </c>
    </row>
    <row r="177">
      <c r="A177" s="1" t="n">
        <v>191</v>
      </c>
      <c r="B177" s="2" t="inlineStr">
        <is>
          <t>Australia</t>
        </is>
      </c>
      <c r="C177" s="2" t="inlineStr">
        <is>
          <t>Nestory Irankunda</t>
        </is>
      </c>
      <c r="D177" s="2" t="inlineStr">
        <is>
          <t>Avançado</t>
        </is>
      </c>
      <c r="E177" s="12" t="n">
        <v>13</v>
      </c>
      <c r="F177" s="12" t="n">
        <v>1170</v>
      </c>
      <c r="G177" s="12" t="n">
        <v>3</v>
      </c>
      <c r="H177" s="12" t="n">
        <v>77</v>
      </c>
    </row>
    <row r="178">
      <c r="A178" s="1" t="n">
        <v>192</v>
      </c>
      <c r="B178" s="2" t="inlineStr">
        <is>
          <t>Australia</t>
        </is>
      </c>
      <c r="C178" s="2" t="inlineStr">
        <is>
          <t>Nishan Velupillay</t>
        </is>
      </c>
      <c r="D178" s="2" t="inlineStr">
        <is>
          <t>Avançado</t>
        </is>
      </c>
      <c r="E178" s="12" t="n">
        <v>13</v>
      </c>
      <c r="F178" s="12" t="n">
        <v>1170</v>
      </c>
      <c r="G178" s="12" t="n">
        <v>2</v>
      </c>
      <c r="H178" s="12" t="n">
        <v>67</v>
      </c>
    </row>
    <row r="179">
      <c r="A179" s="1" t="n">
        <v>193</v>
      </c>
      <c r="B179" s="2" t="inlineStr">
        <is>
          <t>Austria</t>
        </is>
      </c>
      <c r="C179" s="2" t="inlineStr">
        <is>
          <t>Alexander Schlager</t>
        </is>
      </c>
      <c r="D179" s="2" t="inlineStr">
        <is>
          <t>Guarda Redes</t>
        </is>
      </c>
      <c r="E179" s="11" t="n">
        <v>13</v>
      </c>
      <c r="F179" s="11" t="n">
        <v>1170</v>
      </c>
      <c r="G179" s="11" t="n">
        <v>9</v>
      </c>
      <c r="H179" s="12" t="n">
        <v>136</v>
      </c>
    </row>
    <row r="180">
      <c r="A180" s="1" t="n">
        <v>194</v>
      </c>
      <c r="B180" s="2" t="inlineStr">
        <is>
          <t>Austria</t>
        </is>
      </c>
      <c r="C180" s="2" t="inlineStr">
        <is>
          <t>Florian Wiegele</t>
        </is>
      </c>
      <c r="D180" s="2" t="inlineStr">
        <is>
          <t>Guarda Redes</t>
        </is>
      </c>
      <c r="E180" s="11" t="n">
        <v>13</v>
      </c>
      <c r="F180" s="11" t="n">
        <v>1170</v>
      </c>
      <c r="G180" s="11" t="n">
        <v>1</v>
      </c>
      <c r="H180" s="12" t="n">
        <v>44</v>
      </c>
    </row>
    <row r="181">
      <c r="A181" s="1" t="n">
        <v>195</v>
      </c>
      <c r="B181" s="2" t="inlineStr">
        <is>
          <t>Austria</t>
        </is>
      </c>
      <c r="C181" s="2" t="inlineStr">
        <is>
          <t>Patrick Pentz</t>
        </is>
      </c>
      <c r="D181" s="2" t="inlineStr">
        <is>
          <t>Guarda Redes</t>
        </is>
      </c>
      <c r="E181" s="11" t="n">
        <v>13</v>
      </c>
      <c r="F181" s="11" t="n">
        <v>1170</v>
      </c>
      <c r="G181" s="11" t="n">
        <v>8</v>
      </c>
      <c r="H181" s="12" t="n">
        <v>90</v>
      </c>
    </row>
    <row r="182">
      <c r="A182" s="1" t="n">
        <v>196</v>
      </c>
      <c r="B182" s="2" t="inlineStr">
        <is>
          <t>Austria</t>
        </is>
      </c>
      <c r="C182" s="2" t="inlineStr">
        <is>
          <t>Stefan Posch</t>
        </is>
      </c>
      <c r="D182" s="2" t="inlineStr">
        <is>
          <t>Defesa</t>
        </is>
      </c>
      <c r="E182" s="11" t="n">
        <v>13</v>
      </c>
      <c r="F182" s="11" t="n">
        <v>1170</v>
      </c>
      <c r="G182" s="11" t="n">
        <v>8</v>
      </c>
      <c r="H182" s="12" t="n">
        <v>204</v>
      </c>
    </row>
    <row r="183">
      <c r="A183" s="1" t="n">
        <v>197</v>
      </c>
      <c r="B183" s="2" t="inlineStr">
        <is>
          <t>Austria</t>
        </is>
      </c>
      <c r="C183" s="2" t="inlineStr">
        <is>
          <t>David Affengruber</t>
        </is>
      </c>
      <c r="D183" s="2" t="inlineStr">
        <is>
          <t>Defesa</t>
        </is>
      </c>
      <c r="E183" s="11" t="n">
        <v>13</v>
      </c>
      <c r="F183" s="11" t="n">
        <v>1170</v>
      </c>
      <c r="G183" s="11" t="n">
        <v>10</v>
      </c>
      <c r="H183" s="12" t="n">
        <v>10</v>
      </c>
    </row>
    <row r="184">
      <c r="A184" s="1" t="n">
        <v>198</v>
      </c>
      <c r="B184" s="2" t="inlineStr">
        <is>
          <t>Austria</t>
        </is>
      </c>
      <c r="C184" s="2" t="inlineStr">
        <is>
          <t>Kevin Danso</t>
        </is>
      </c>
      <c r="D184" s="2" t="inlineStr">
        <is>
          <t>Defesa</t>
        </is>
      </c>
      <c r="E184" s="11" t="n">
        <v>13</v>
      </c>
      <c r="F184" s="11" t="n">
        <v>1170</v>
      </c>
      <c r="G184" s="11" t="n">
        <v>13</v>
      </c>
      <c r="H184" s="12" t="n">
        <v>90</v>
      </c>
    </row>
    <row r="185">
      <c r="A185" s="1" t="n">
        <v>199</v>
      </c>
      <c r="B185" s="2" t="inlineStr">
        <is>
          <t>Austria</t>
        </is>
      </c>
      <c r="C185" s="2" t="inlineStr">
        <is>
          <t>Philipp Lienhart</t>
        </is>
      </c>
      <c r="D185" s="2" t="inlineStr">
        <is>
          <t>Defesa</t>
        </is>
      </c>
      <c r="E185" s="11" t="n">
        <v>13</v>
      </c>
      <c r="F185" s="11" t="n">
        <v>1170</v>
      </c>
      <c r="G185" s="11" t="n">
        <v>12</v>
      </c>
      <c r="H185" s="12" t="n">
        <v>151</v>
      </c>
    </row>
    <row r="186">
      <c r="A186" s="1" t="n">
        <v>200</v>
      </c>
      <c r="B186" s="2" t="inlineStr">
        <is>
          <t>Austria</t>
        </is>
      </c>
      <c r="C186" s="2" t="inlineStr">
        <is>
          <t>Marco Friedl</t>
        </is>
      </c>
      <c r="D186" s="2" t="inlineStr">
        <is>
          <t>Defesa</t>
        </is>
      </c>
      <c r="E186" s="11" t="n">
        <v>13</v>
      </c>
      <c r="F186" s="11" t="n">
        <v>1170</v>
      </c>
      <c r="G186" s="11" t="n">
        <v>8</v>
      </c>
      <c r="H186" s="12" t="n">
        <v>167</v>
      </c>
    </row>
    <row r="187">
      <c r="A187" s="1" t="n">
        <v>201</v>
      </c>
      <c r="B187" s="2" t="inlineStr">
        <is>
          <t>Austria</t>
        </is>
      </c>
      <c r="C187" s="2" t="inlineStr">
        <is>
          <t>Michael Svoboda</t>
        </is>
      </c>
      <c r="D187" s="2" t="inlineStr">
        <is>
          <t>Defesa</t>
        </is>
      </c>
      <c r="E187" s="11" t="n">
        <v>13</v>
      </c>
      <c r="F187" s="11" t="n">
        <v>1170</v>
      </c>
      <c r="G187" s="11" t="n">
        <v>11</v>
      </c>
      <c r="H187" s="12" t="n">
        <v>57</v>
      </c>
    </row>
    <row r="188">
      <c r="A188" s="1" t="n">
        <v>202</v>
      </c>
      <c r="B188" s="2" t="inlineStr">
        <is>
          <t>Austria</t>
        </is>
      </c>
      <c r="C188" s="2" t="inlineStr">
        <is>
          <t>David Alaba</t>
        </is>
      </c>
      <c r="D188" s="2" t="inlineStr">
        <is>
          <t>Defesa</t>
        </is>
      </c>
      <c r="E188" s="11" t="n">
        <v>13</v>
      </c>
      <c r="F188" s="11" t="n">
        <v>1170</v>
      </c>
      <c r="G188" s="11" t="n">
        <v>9</v>
      </c>
      <c r="H188" s="12" t="n">
        <v>75</v>
      </c>
    </row>
    <row r="189">
      <c r="A189" s="1" t="n">
        <v>203</v>
      </c>
      <c r="B189" s="2" t="inlineStr">
        <is>
          <t>Austria</t>
        </is>
      </c>
      <c r="C189" s="2" t="inlineStr">
        <is>
          <t>Phillipp Mwene</t>
        </is>
      </c>
      <c r="D189" s="2" t="inlineStr">
        <is>
          <t>Defesa</t>
        </is>
      </c>
      <c r="E189" s="11" t="n">
        <v>13</v>
      </c>
      <c r="F189" s="11" t="n">
        <v>1170</v>
      </c>
      <c r="G189" s="11" t="n">
        <v>13</v>
      </c>
      <c r="H189" s="12" t="n">
        <v>168</v>
      </c>
    </row>
    <row r="190">
      <c r="A190" s="1" t="n">
        <v>204</v>
      </c>
      <c r="B190" s="2" t="inlineStr">
        <is>
          <t>Austria</t>
        </is>
      </c>
      <c r="C190" s="2" t="inlineStr">
        <is>
          <t>Xaver Schlager</t>
        </is>
      </c>
      <c r="D190" s="2" t="inlineStr">
        <is>
          <t>Médio</t>
        </is>
      </c>
      <c r="E190" s="11" t="n">
        <v>13</v>
      </c>
      <c r="F190" s="11" t="n">
        <v>1170</v>
      </c>
      <c r="G190" s="11" t="n">
        <v>1</v>
      </c>
      <c r="H190" s="12" t="n">
        <v>140</v>
      </c>
    </row>
    <row r="191">
      <c r="A191" s="1" t="n">
        <v>205</v>
      </c>
      <c r="B191" s="2" t="inlineStr">
        <is>
          <t>Austria</t>
        </is>
      </c>
      <c r="C191" s="2" t="inlineStr">
        <is>
          <t>Nicolas Seiwald</t>
        </is>
      </c>
      <c r="D191" s="2" t="inlineStr">
        <is>
          <t>Médio</t>
        </is>
      </c>
      <c r="E191" s="11" t="n">
        <v>13</v>
      </c>
      <c r="F191" s="11" t="n">
        <v>1170</v>
      </c>
      <c r="G191" s="11" t="n">
        <v>4</v>
      </c>
      <c r="H191" s="12" t="n">
        <v>209</v>
      </c>
    </row>
    <row r="192">
      <c r="A192" s="1" t="n">
        <v>206</v>
      </c>
      <c r="B192" s="2" t="inlineStr">
        <is>
          <t>Austria</t>
        </is>
      </c>
      <c r="C192" s="2" t="inlineStr">
        <is>
          <t>Marcel Sabitzer</t>
        </is>
      </c>
      <c r="D192" s="2" t="inlineStr">
        <is>
          <t>Médio</t>
        </is>
      </c>
      <c r="E192" s="11" t="n">
        <v>13</v>
      </c>
      <c r="F192" s="11" t="n">
        <v>1170</v>
      </c>
      <c r="G192" s="11" t="n">
        <v>3</v>
      </c>
      <c r="H192" s="12" t="n">
        <v>248</v>
      </c>
    </row>
    <row r="193">
      <c r="A193" s="1" t="n">
        <v>207</v>
      </c>
      <c r="B193" s="2" t="inlineStr">
        <is>
          <t>Austria</t>
        </is>
      </c>
      <c r="C193" s="2" t="inlineStr">
        <is>
          <t>Florian Grillitsch</t>
        </is>
      </c>
      <c r="D193" s="2" t="inlineStr">
        <is>
          <t>Médio</t>
        </is>
      </c>
      <c r="E193" s="11" t="n">
        <v>13</v>
      </c>
      <c r="F193" s="11" t="n">
        <v>1170</v>
      </c>
      <c r="G193" s="11" t="n">
        <v>12</v>
      </c>
      <c r="H193" s="12" t="n">
        <v>58</v>
      </c>
    </row>
    <row r="194">
      <c r="A194" s="1" t="n">
        <v>208</v>
      </c>
      <c r="B194" s="2" t="inlineStr">
        <is>
          <t>Austria</t>
        </is>
      </c>
      <c r="C194" s="2" t="inlineStr">
        <is>
          <t>Carney Chukwuemeka</t>
        </is>
      </c>
      <c r="D194" s="2" t="inlineStr">
        <is>
          <t>Médio</t>
        </is>
      </c>
      <c r="E194" s="11" t="n">
        <v>13</v>
      </c>
      <c r="F194" s="11" t="n">
        <v>1170</v>
      </c>
      <c r="G194" s="11" t="n">
        <v>10</v>
      </c>
      <c r="H194" s="12" t="n">
        <v>85</v>
      </c>
    </row>
    <row r="195">
      <c r="A195" s="1" t="n">
        <v>209</v>
      </c>
      <c r="B195" s="2" t="inlineStr">
        <is>
          <t>Austria</t>
        </is>
      </c>
      <c r="C195" s="2" t="inlineStr">
        <is>
          <t>Konrad Laimer</t>
        </is>
      </c>
      <c r="D195" s="2" t="inlineStr">
        <is>
          <t>Médio</t>
        </is>
      </c>
      <c r="E195" s="11" t="n">
        <v>13</v>
      </c>
      <c r="F195" s="11" t="n">
        <v>1170</v>
      </c>
      <c r="G195" s="11" t="n">
        <v>3</v>
      </c>
      <c r="H195" s="12" t="n">
        <v>115</v>
      </c>
    </row>
    <row r="196">
      <c r="A196" s="1" t="n">
        <v>210</v>
      </c>
      <c r="B196" s="2" t="inlineStr">
        <is>
          <t>Austria</t>
        </is>
      </c>
      <c r="C196" s="2" t="inlineStr">
        <is>
          <t>Romano Schmid</t>
        </is>
      </c>
      <c r="D196" s="2" t="inlineStr">
        <is>
          <t>Médio</t>
        </is>
      </c>
      <c r="E196" s="11" t="n">
        <v>13</v>
      </c>
      <c r="F196" s="11" t="n">
        <v>1170</v>
      </c>
      <c r="G196" s="11" t="n">
        <v>13</v>
      </c>
      <c r="H196" s="12" t="n">
        <v>104</v>
      </c>
    </row>
    <row r="197">
      <c r="A197" s="1" t="n">
        <v>211</v>
      </c>
      <c r="B197" s="2" t="inlineStr">
        <is>
          <t>Austria</t>
        </is>
      </c>
      <c r="C197" s="2" t="inlineStr">
        <is>
          <t>Chris Baumgartner</t>
        </is>
      </c>
      <c r="D197" s="2" t="inlineStr">
        <is>
          <t>Médio</t>
        </is>
      </c>
      <c r="E197" s="11" t="n">
        <v>13</v>
      </c>
      <c r="F197" s="11" t="n">
        <v>1170</v>
      </c>
      <c r="G197" s="11" t="n">
        <v>0</v>
      </c>
      <c r="H197" s="12" t="n">
        <v>139</v>
      </c>
    </row>
    <row r="198">
      <c r="A198" s="1" t="n">
        <v>212</v>
      </c>
      <c r="B198" s="2" t="inlineStr">
        <is>
          <t>Austria</t>
        </is>
      </c>
      <c r="C198" s="2" t="inlineStr">
        <is>
          <t>Alessandro Schöpf</t>
        </is>
      </c>
      <c r="D198" s="2" t="inlineStr">
        <is>
          <t>Médio</t>
        </is>
      </c>
      <c r="E198" s="11" t="n">
        <v>13</v>
      </c>
      <c r="F198" s="11" t="n">
        <v>1170</v>
      </c>
      <c r="G198" s="11" t="n">
        <v>11</v>
      </c>
      <c r="H198" s="12" t="n">
        <v>0</v>
      </c>
    </row>
    <row r="199">
      <c r="A199" s="1" t="n">
        <v>213</v>
      </c>
      <c r="B199" s="2" t="inlineStr">
        <is>
          <t>Austria</t>
        </is>
      </c>
      <c r="C199" s="2" t="inlineStr">
        <is>
          <t>Michael Gregoritsch</t>
        </is>
      </c>
      <c r="D199" s="2" t="inlineStr">
        <is>
          <t>Avançado</t>
        </is>
      </c>
      <c r="E199" s="11" t="n">
        <v>13</v>
      </c>
      <c r="F199" s="11" t="n">
        <v>1170</v>
      </c>
      <c r="G199" s="11" t="n">
        <v>9</v>
      </c>
      <c r="H199" s="12" t="n">
        <v>136</v>
      </c>
    </row>
    <row r="200">
      <c r="A200" s="1" t="n">
        <v>214</v>
      </c>
      <c r="B200" s="2" t="inlineStr">
        <is>
          <t>Austria</t>
        </is>
      </c>
      <c r="C200" s="2" t="inlineStr">
        <is>
          <t>Marko Arnautovic</t>
        </is>
      </c>
      <c r="D200" s="2" t="inlineStr">
        <is>
          <t>Avançado</t>
        </is>
      </c>
      <c r="E200" s="11" t="n">
        <v>13</v>
      </c>
      <c r="F200" s="11" t="n">
        <v>1170</v>
      </c>
      <c r="G200" s="11" t="n">
        <v>6</v>
      </c>
      <c r="H200" s="12" t="n">
        <v>136</v>
      </c>
    </row>
    <row r="201">
      <c r="A201" s="1" t="n">
        <v>215</v>
      </c>
      <c r="B201" s="2" t="inlineStr">
        <is>
          <t>Austria</t>
        </is>
      </c>
      <c r="C201" s="2" t="inlineStr">
        <is>
          <t>Sasa Kalajdzic</t>
        </is>
      </c>
      <c r="D201" s="2" t="inlineStr">
        <is>
          <t>Avançado</t>
        </is>
      </c>
      <c r="E201" s="11" t="n">
        <v>13</v>
      </c>
      <c r="F201" s="11" t="n">
        <v>1170</v>
      </c>
      <c r="G201" s="11" t="n">
        <v>6</v>
      </c>
      <c r="H201" s="12" t="n">
        <v>66</v>
      </c>
    </row>
    <row r="202">
      <c r="A202" s="1" t="n">
        <v>216</v>
      </c>
      <c r="B202" s="2" t="inlineStr">
        <is>
          <t>Austria</t>
        </is>
      </c>
      <c r="C202" s="2" t="inlineStr">
        <is>
          <t>Patrick Wimmer</t>
        </is>
      </c>
      <c r="D202" s="2" t="inlineStr">
        <is>
          <t>Avançado</t>
        </is>
      </c>
      <c r="E202" s="11" t="n">
        <v>13</v>
      </c>
      <c r="F202" s="11" t="n">
        <v>1170</v>
      </c>
      <c r="G202" s="11" t="n">
        <v>3</v>
      </c>
      <c r="H202" s="12" t="n">
        <v>90</v>
      </c>
    </row>
    <row r="203">
      <c r="A203" s="1" t="n">
        <v>217</v>
      </c>
      <c r="B203" s="2" t="inlineStr">
        <is>
          <t>Austria</t>
        </is>
      </c>
      <c r="C203" s="2" t="inlineStr">
        <is>
          <t>Alexander Prass</t>
        </is>
      </c>
      <c r="D203" s="2" t="inlineStr">
        <is>
          <t>Avançado</t>
        </is>
      </c>
      <c r="E203" s="11" t="n">
        <v>13</v>
      </c>
      <c r="F203" s="11" t="n">
        <v>1170</v>
      </c>
      <c r="G203" s="11" t="n">
        <v>2</v>
      </c>
      <c r="H203" s="12" t="n">
        <v>66</v>
      </c>
    </row>
    <row r="204">
      <c r="A204" s="1" t="n">
        <v>218</v>
      </c>
      <c r="B204" s="2" t="inlineStr">
        <is>
          <t>Austria</t>
        </is>
      </c>
      <c r="C204" s="2" t="inlineStr">
        <is>
          <t>Paul Wanner</t>
        </is>
      </c>
      <c r="D204" s="2" t="inlineStr">
        <is>
          <t>Avançado</t>
        </is>
      </c>
      <c r="E204" s="11" t="n">
        <v>13</v>
      </c>
      <c r="F204" s="11" t="n">
        <v>1170</v>
      </c>
      <c r="G204" s="11" t="n">
        <v>3</v>
      </c>
      <c r="H204" s="12" t="n">
        <v>133</v>
      </c>
    </row>
    <row r="205">
      <c r="A205" s="1" t="n">
        <v>219</v>
      </c>
      <c r="B205" s="2" t="inlineStr">
        <is>
          <t>Belgium</t>
        </is>
      </c>
      <c r="C205" s="2" t="inlineStr">
        <is>
          <t>Thibaut Courtois</t>
        </is>
      </c>
      <c r="D205" s="2" t="inlineStr">
        <is>
          <t>Guarda Redes</t>
        </is>
      </c>
      <c r="E205" s="10" t="n">
        <v>13</v>
      </c>
      <c r="F205" s="10" t="n">
        <v>1170</v>
      </c>
      <c r="G205" s="10" t="n">
        <v>6</v>
      </c>
      <c r="H205" s="12" t="n">
        <v>90</v>
      </c>
    </row>
    <row r="206">
      <c r="A206" s="1" t="n">
        <v>220</v>
      </c>
      <c r="B206" s="2" t="inlineStr">
        <is>
          <t>Belgium</t>
        </is>
      </c>
      <c r="C206" s="2" t="inlineStr">
        <is>
          <t>Senne Lammens</t>
        </is>
      </c>
      <c r="D206" s="2" t="inlineStr">
        <is>
          <t>Guarda Redes</t>
        </is>
      </c>
      <c r="E206" s="10" t="n">
        <v>13</v>
      </c>
      <c r="F206" s="10" t="n">
        <v>1170</v>
      </c>
      <c r="G206" s="10" t="n">
        <v>10</v>
      </c>
      <c r="H206" s="12" t="n">
        <v>90</v>
      </c>
    </row>
    <row r="207">
      <c r="A207" s="1" t="n">
        <v>221</v>
      </c>
      <c r="B207" s="2" t="inlineStr">
        <is>
          <t>Belgium</t>
        </is>
      </c>
      <c r="C207" s="2" t="inlineStr">
        <is>
          <t>Mike Penders</t>
        </is>
      </c>
      <c r="D207" s="2" t="inlineStr">
        <is>
          <t>Guarda Redes</t>
        </is>
      </c>
      <c r="E207" s="10" t="n">
        <v>13</v>
      </c>
      <c r="F207" s="10" t="n">
        <v>1170</v>
      </c>
      <c r="G207" s="10" t="n">
        <v>10</v>
      </c>
      <c r="H207" s="12" t="n">
        <v>90</v>
      </c>
    </row>
    <row r="208">
      <c r="A208" s="1" t="n">
        <v>222</v>
      </c>
      <c r="B208" s="2" t="inlineStr">
        <is>
          <t>Belgium</t>
        </is>
      </c>
      <c r="C208" s="2" t="inlineStr">
        <is>
          <t>Thomas Meunier</t>
        </is>
      </c>
      <c r="D208" s="2" t="inlineStr">
        <is>
          <t>Defesa</t>
        </is>
      </c>
      <c r="E208" s="10" t="n">
        <v>13</v>
      </c>
      <c r="F208" s="10" t="n">
        <v>1170</v>
      </c>
      <c r="G208" s="10" t="n">
        <v>5</v>
      </c>
      <c r="H208" s="12" t="n">
        <v>202</v>
      </c>
    </row>
    <row r="209">
      <c r="A209" s="1" t="n">
        <v>223</v>
      </c>
      <c r="B209" s="2" t="inlineStr">
        <is>
          <t>Belgium</t>
        </is>
      </c>
      <c r="C209" s="2" t="inlineStr">
        <is>
          <t>Timothy Castagne</t>
        </is>
      </c>
      <c r="D209" s="2" t="inlineStr">
        <is>
          <t>Defesa</t>
        </is>
      </c>
      <c r="E209" s="10" t="n">
        <v>13</v>
      </c>
      <c r="F209" s="10" t="n">
        <v>1170</v>
      </c>
      <c r="G209" s="10" t="n">
        <v>12</v>
      </c>
      <c r="H209" s="12" t="n">
        <v>168</v>
      </c>
    </row>
    <row r="210">
      <c r="A210" s="1" t="n">
        <v>224</v>
      </c>
      <c r="B210" s="2" t="inlineStr">
        <is>
          <t>Belgium</t>
        </is>
      </c>
      <c r="C210" s="2" t="inlineStr">
        <is>
          <t>Alexis Saelemaekers</t>
        </is>
      </c>
      <c r="D210" s="2" t="inlineStr">
        <is>
          <t>Defesa</t>
        </is>
      </c>
      <c r="E210" s="10" t="n">
        <v>13</v>
      </c>
      <c r="F210" s="10" t="n">
        <v>1170</v>
      </c>
      <c r="G210" s="10" t="n">
        <v>5</v>
      </c>
      <c r="H210" s="12" t="n">
        <v>123</v>
      </c>
    </row>
    <row r="211">
      <c r="A211" s="1" t="n">
        <v>225</v>
      </c>
      <c r="B211" s="2" t="inlineStr">
        <is>
          <t>Belgium</t>
        </is>
      </c>
      <c r="C211" s="2" t="inlineStr">
        <is>
          <t>Zeno Debast</t>
        </is>
      </c>
      <c r="D211" s="2" t="inlineStr">
        <is>
          <t>Defesa</t>
        </is>
      </c>
      <c r="E211" s="10" t="n">
        <v>13</v>
      </c>
      <c r="F211" s="10" t="n">
        <v>1170</v>
      </c>
      <c r="G211" s="10" t="n">
        <v>11</v>
      </c>
      <c r="H211" s="12" t="n">
        <v>120</v>
      </c>
    </row>
    <row r="212">
      <c r="A212" s="1" t="n">
        <v>226</v>
      </c>
      <c r="B212" s="2" t="inlineStr">
        <is>
          <t>Belgium</t>
        </is>
      </c>
      <c r="C212" s="2" t="inlineStr">
        <is>
          <t>Arthur Theate</t>
        </is>
      </c>
      <c r="D212" s="2" t="inlineStr">
        <is>
          <t>Defesa</t>
        </is>
      </c>
      <c r="E212" s="10" t="n">
        <v>13</v>
      </c>
      <c r="F212" s="10" t="n">
        <v>1170</v>
      </c>
      <c r="G212" s="10" t="n">
        <v>10</v>
      </c>
      <c r="H212" s="12" t="n">
        <v>80</v>
      </c>
    </row>
    <row r="213">
      <c r="A213" s="1" t="n">
        <v>227</v>
      </c>
      <c r="B213" s="2" t="inlineStr">
        <is>
          <t>Belgium</t>
        </is>
      </c>
      <c r="C213" s="2" t="inlineStr">
        <is>
          <t>Brandon Mechele</t>
        </is>
      </c>
      <c r="D213" s="2" t="inlineStr">
        <is>
          <t>Defesa</t>
        </is>
      </c>
      <c r="E213" s="10" t="n">
        <v>13</v>
      </c>
      <c r="F213" s="10" t="n">
        <v>1170</v>
      </c>
      <c r="G213" s="10" t="n">
        <v>5</v>
      </c>
      <c r="H213" s="12" t="n">
        <v>83</v>
      </c>
    </row>
    <row r="214">
      <c r="A214" s="1" t="n">
        <v>228</v>
      </c>
      <c r="B214" s="2" t="inlineStr">
        <is>
          <t>Belgium</t>
        </is>
      </c>
      <c r="C214" s="2" t="inlineStr">
        <is>
          <t>Axel Witsel</t>
        </is>
      </c>
      <c r="D214" s="2" t="inlineStr">
        <is>
          <t>Defesa</t>
        </is>
      </c>
      <c r="E214" s="10" t="n">
        <v>13</v>
      </c>
      <c r="F214" s="10" t="n">
        <v>1170</v>
      </c>
      <c r="G214" s="10" t="n">
        <v>9</v>
      </c>
      <c r="H214" s="12" t="n">
        <v>84</v>
      </c>
    </row>
    <row r="215">
      <c r="A215" s="1" t="n">
        <v>229</v>
      </c>
      <c r="B215" s="2" t="inlineStr">
        <is>
          <t>Belgium</t>
        </is>
      </c>
      <c r="C215" s="2" t="inlineStr">
        <is>
          <t>Koni De Winter</t>
        </is>
      </c>
      <c r="D215" s="2" t="inlineStr">
        <is>
          <t>Defesa</t>
        </is>
      </c>
      <c r="E215" s="10" t="n">
        <v>13</v>
      </c>
      <c r="F215" s="10" t="n">
        <v>1170</v>
      </c>
      <c r="G215" s="10" t="n">
        <v>12</v>
      </c>
      <c r="H215" s="12" t="n">
        <v>108</v>
      </c>
    </row>
    <row r="216">
      <c r="A216" s="1" t="n">
        <v>230</v>
      </c>
      <c r="B216" s="2" t="inlineStr">
        <is>
          <t>Belgium</t>
        </is>
      </c>
      <c r="C216" s="2" t="inlineStr">
        <is>
          <t>Nathan Ngoy</t>
        </is>
      </c>
      <c r="D216" s="2" t="inlineStr">
        <is>
          <t>Defesa</t>
        </is>
      </c>
      <c r="E216" s="10" t="n">
        <v>13</v>
      </c>
      <c r="F216" s="10" t="n">
        <v>1170</v>
      </c>
      <c r="G216" s="10" t="n">
        <v>2</v>
      </c>
      <c r="H216" s="12" t="n">
        <v>68</v>
      </c>
    </row>
    <row r="217">
      <c r="A217" s="1" t="n">
        <v>231</v>
      </c>
      <c r="B217" s="2" t="inlineStr">
        <is>
          <t>Belgium</t>
        </is>
      </c>
      <c r="C217" s="2" t="inlineStr">
        <is>
          <t>Maxim De Cuyper</t>
        </is>
      </c>
      <c r="D217" s="2" t="inlineStr">
        <is>
          <t>Defesa</t>
        </is>
      </c>
      <c r="E217" s="10" t="n">
        <v>13</v>
      </c>
      <c r="F217" s="10" t="n">
        <v>1170</v>
      </c>
      <c r="G217" s="10" t="n">
        <v>0</v>
      </c>
      <c r="H217" s="12" t="n">
        <v>209</v>
      </c>
    </row>
    <row r="218">
      <c r="A218" s="1" t="n">
        <v>232</v>
      </c>
      <c r="B218" s="2" t="inlineStr">
        <is>
          <t>Belgium</t>
        </is>
      </c>
      <c r="C218" s="2" t="inlineStr">
        <is>
          <t>Joaquin Seys</t>
        </is>
      </c>
      <c r="D218" s="2" t="inlineStr">
        <is>
          <t>Defesa</t>
        </is>
      </c>
      <c r="E218" s="10" t="n">
        <v>13</v>
      </c>
      <c r="F218" s="10" t="n">
        <v>1170</v>
      </c>
      <c r="G218" s="10" t="n">
        <v>5</v>
      </c>
      <c r="H218" s="12" t="n">
        <v>162</v>
      </c>
    </row>
    <row r="219">
      <c r="A219" s="1" t="n">
        <v>233</v>
      </c>
      <c r="B219" s="2" t="inlineStr">
        <is>
          <t>Belgium</t>
        </is>
      </c>
      <c r="C219" s="2" t="inlineStr">
        <is>
          <t>Nicolas Raskin</t>
        </is>
      </c>
      <c r="D219" s="2" t="inlineStr">
        <is>
          <t>Médio</t>
        </is>
      </c>
      <c r="E219" s="10" t="n">
        <v>13</v>
      </c>
      <c r="F219" s="10" t="n">
        <v>1170</v>
      </c>
      <c r="G219" s="10" t="n">
        <v>12</v>
      </c>
      <c r="H219" s="12" t="n">
        <v>165</v>
      </c>
    </row>
    <row r="220">
      <c r="A220" s="1" t="n">
        <v>234</v>
      </c>
      <c r="B220" s="2" t="inlineStr">
        <is>
          <t>Belgium</t>
        </is>
      </c>
      <c r="C220" s="2" t="inlineStr">
        <is>
          <t>Amadou Onana</t>
        </is>
      </c>
      <c r="D220" s="2" t="inlineStr">
        <is>
          <t>Médio</t>
        </is>
      </c>
      <c r="E220" s="10" t="n">
        <v>13</v>
      </c>
      <c r="F220" s="10" t="n">
        <v>1170</v>
      </c>
      <c r="G220" s="10" t="n">
        <v>7</v>
      </c>
      <c r="H220" s="12" t="n">
        <v>173</v>
      </c>
    </row>
    <row r="221">
      <c r="A221" s="1" t="n">
        <v>235</v>
      </c>
      <c r="B221" s="2" t="inlineStr">
        <is>
          <t>Belgium</t>
        </is>
      </c>
      <c r="C221" s="2" t="inlineStr">
        <is>
          <t>Youri Tielemans</t>
        </is>
      </c>
      <c r="D221" s="2" t="inlineStr">
        <is>
          <t>Médio</t>
        </is>
      </c>
      <c r="E221" s="10" t="n">
        <v>13</v>
      </c>
      <c r="F221" s="10" t="n">
        <v>1170</v>
      </c>
      <c r="G221" s="10" t="n">
        <v>9</v>
      </c>
      <c r="H221" s="12" t="n">
        <v>176</v>
      </c>
    </row>
    <row r="222">
      <c r="A222" s="1" t="n">
        <v>236</v>
      </c>
      <c r="B222" s="2" t="inlineStr">
        <is>
          <t>Belgium</t>
        </is>
      </c>
      <c r="C222" s="2" t="inlineStr">
        <is>
          <t>Kevin De Bruyne</t>
        </is>
      </c>
      <c r="D222" s="2" t="inlineStr">
        <is>
          <t>Médio</t>
        </is>
      </c>
      <c r="E222" s="10" t="n">
        <v>13</v>
      </c>
      <c r="F222" s="10" t="n">
        <v>1170</v>
      </c>
      <c r="G222" s="10" t="n">
        <v>5</v>
      </c>
      <c r="H222" s="12" t="n">
        <v>147</v>
      </c>
    </row>
    <row r="223">
      <c r="A223" s="1" t="n">
        <v>237</v>
      </c>
      <c r="B223" s="2" t="inlineStr">
        <is>
          <t>Belgium</t>
        </is>
      </c>
      <c r="C223" s="2" t="inlineStr">
        <is>
          <t>Charles De Ketelaere</t>
        </is>
      </c>
      <c r="D223" s="2" t="inlineStr">
        <is>
          <t>Médio</t>
        </is>
      </c>
      <c r="E223" s="10" t="n">
        <v>13</v>
      </c>
      <c r="F223" s="10" t="n">
        <v>1170</v>
      </c>
      <c r="G223" s="10" t="n">
        <v>2</v>
      </c>
      <c r="H223" s="12" t="n">
        <v>94</v>
      </c>
    </row>
    <row r="224">
      <c r="A224" s="1" t="n">
        <v>238</v>
      </c>
      <c r="B224" s="2" t="inlineStr">
        <is>
          <t>Belgium</t>
        </is>
      </c>
      <c r="C224" s="2" t="inlineStr">
        <is>
          <t>Hans Vanaken</t>
        </is>
      </c>
      <c r="D224" s="2" t="inlineStr">
        <is>
          <t>Médio</t>
        </is>
      </c>
      <c r="E224" s="10" t="n">
        <v>13</v>
      </c>
      <c r="F224" s="10" t="n">
        <v>1170</v>
      </c>
      <c r="G224" s="10" t="n">
        <v>10</v>
      </c>
      <c r="H224" s="12" t="n">
        <v>20</v>
      </c>
    </row>
    <row r="225">
      <c r="A225" s="1" t="n">
        <v>239</v>
      </c>
      <c r="B225" s="2" t="inlineStr">
        <is>
          <t>Belgium</t>
        </is>
      </c>
      <c r="C225" s="2" t="inlineStr">
        <is>
          <t>Dodi Lukebakio</t>
        </is>
      </c>
      <c r="D225" s="2" t="inlineStr">
        <is>
          <t>Avançado</t>
        </is>
      </c>
      <c r="E225" s="10" t="n">
        <v>13</v>
      </c>
      <c r="F225" s="10" t="n">
        <v>1170</v>
      </c>
      <c r="G225" s="10" t="n">
        <v>9</v>
      </c>
      <c r="H225" s="12" t="n">
        <v>22</v>
      </c>
    </row>
    <row r="226">
      <c r="A226" s="1" t="n">
        <v>240</v>
      </c>
      <c r="B226" s="2" t="inlineStr">
        <is>
          <t>Belgium</t>
        </is>
      </c>
      <c r="C226" s="2" t="inlineStr">
        <is>
          <t>Romelu Lukaku</t>
        </is>
      </c>
      <c r="D226" s="2" t="inlineStr">
        <is>
          <t>Avançado</t>
        </is>
      </c>
      <c r="E226" s="10" t="n">
        <v>13</v>
      </c>
      <c r="F226" s="10" t="n">
        <v>1170</v>
      </c>
      <c r="G226" s="10" t="n">
        <v>12</v>
      </c>
      <c r="H226" s="12" t="n">
        <v>170</v>
      </c>
    </row>
    <row r="227">
      <c r="A227" s="1" t="n">
        <v>241</v>
      </c>
      <c r="B227" s="2" t="inlineStr">
        <is>
          <t>Belgium</t>
        </is>
      </c>
      <c r="C227" s="2" t="inlineStr">
        <is>
          <t>Fernández-Pardo</t>
        </is>
      </c>
      <c r="D227" s="2" t="inlineStr">
        <is>
          <t>Avançado</t>
        </is>
      </c>
      <c r="E227" s="10" t="n">
        <v>13</v>
      </c>
      <c r="F227" s="10" t="n">
        <v>1170</v>
      </c>
      <c r="G227" s="10" t="n">
        <v>12</v>
      </c>
      <c r="H227" s="12" t="n">
        <v>100</v>
      </c>
    </row>
    <row r="228">
      <c r="A228" s="1" t="n">
        <v>242</v>
      </c>
      <c r="B228" s="2" t="inlineStr">
        <is>
          <t>Belgium</t>
        </is>
      </c>
      <c r="C228" s="2" t="inlineStr">
        <is>
          <t>Leandro Trossard</t>
        </is>
      </c>
      <c r="D228" s="2" t="inlineStr">
        <is>
          <t>Avançado</t>
        </is>
      </c>
      <c r="E228" s="10" t="n">
        <v>13</v>
      </c>
      <c r="F228" s="10" t="n">
        <v>1170</v>
      </c>
      <c r="G228" s="10" t="n">
        <v>8</v>
      </c>
      <c r="H228" s="12" t="n">
        <v>83</v>
      </c>
    </row>
    <row r="229">
      <c r="A229" s="1" t="n">
        <v>243</v>
      </c>
      <c r="B229" s="2" t="inlineStr">
        <is>
          <t>Belgium</t>
        </is>
      </c>
      <c r="C229" s="2" t="inlineStr">
        <is>
          <t>Jérémy Doku</t>
        </is>
      </c>
      <c r="D229" s="2" t="inlineStr">
        <is>
          <t>Avançado</t>
        </is>
      </c>
      <c r="E229" s="10" t="n">
        <v>13</v>
      </c>
      <c r="F229" s="10" t="n">
        <v>1170</v>
      </c>
      <c r="G229" s="10" t="n">
        <v>3</v>
      </c>
      <c r="H229" s="12" t="n">
        <v>91</v>
      </c>
    </row>
    <row r="230">
      <c r="A230" s="1" t="n">
        <v>244</v>
      </c>
      <c r="B230" s="2" t="inlineStr">
        <is>
          <t>Belgium</t>
        </is>
      </c>
      <c r="C230" s="2" t="inlineStr">
        <is>
          <t>Diego Moreira</t>
        </is>
      </c>
      <c r="D230" s="2" t="inlineStr">
        <is>
          <t>Avançado</t>
        </is>
      </c>
      <c r="E230" s="10" t="n">
        <v>13</v>
      </c>
      <c r="F230" s="10" t="n">
        <v>1170</v>
      </c>
      <c r="G230" s="10" t="n">
        <v>1</v>
      </c>
      <c r="H230" s="12" t="n">
        <v>17</v>
      </c>
    </row>
    <row r="231">
      <c r="A231" s="1" t="n">
        <v>245</v>
      </c>
      <c r="B231" s="2" t="inlineStr">
        <is>
          <t>Bosnia and Herzegovina</t>
        </is>
      </c>
      <c r="C231" s="2" t="inlineStr">
        <is>
          <t>Osman Hadzikic</t>
        </is>
      </c>
      <c r="D231" s="2" t="inlineStr">
        <is>
          <t>Guarda Redes</t>
        </is>
      </c>
      <c r="E231" s="12" t="n">
        <v>13</v>
      </c>
      <c r="F231" s="12" t="n">
        <v>1200</v>
      </c>
      <c r="G231" s="12" t="n">
        <v>0</v>
      </c>
      <c r="H231" s="18" t="n">
        <v>0</v>
      </c>
    </row>
    <row r="232">
      <c r="A232" s="1" t="n">
        <v>246</v>
      </c>
      <c r="B232" s="2" t="inlineStr">
        <is>
          <t>Bosnia and Herzegovina</t>
        </is>
      </c>
      <c r="C232" s="2" t="inlineStr">
        <is>
          <t>Nikola Vasilj</t>
        </is>
      </c>
      <c r="D232" s="2" t="inlineStr">
        <is>
          <t>Guarda Redes</t>
        </is>
      </c>
      <c r="E232" s="12" t="n">
        <v>13</v>
      </c>
      <c r="F232" s="12" t="n">
        <v>1200</v>
      </c>
      <c r="G232" s="12" t="n">
        <v>11</v>
      </c>
      <c r="H232" s="18" t="n">
        <v>1050</v>
      </c>
    </row>
    <row r="233">
      <c r="A233" s="1" t="n">
        <v>247</v>
      </c>
      <c r="B233" s="2" t="inlineStr">
        <is>
          <t>Bosnia and Herzegovina</t>
        </is>
      </c>
      <c r="C233" s="2" t="inlineStr">
        <is>
          <t>Martin Zlomislic</t>
        </is>
      </c>
      <c r="D233" s="2" t="inlineStr">
        <is>
          <t>Guarda Redes</t>
        </is>
      </c>
      <c r="E233" s="12" t="n">
        <v>13</v>
      </c>
      <c r="F233" s="12" t="n">
        <v>1200</v>
      </c>
      <c r="G233" s="12" t="n">
        <v>2</v>
      </c>
      <c r="H233" s="18" t="n">
        <v>180</v>
      </c>
    </row>
    <row r="234">
      <c r="A234" s="1" t="n">
        <v>248</v>
      </c>
      <c r="B234" s="2" t="inlineStr">
        <is>
          <t>Bosnia and Herzegovina</t>
        </is>
      </c>
      <c r="C234" s="2" t="inlineStr">
        <is>
          <t>Amar Dedić</t>
        </is>
      </c>
      <c r="D234" s="2" t="inlineStr">
        <is>
          <t>Defesa</t>
        </is>
      </c>
      <c r="E234" s="12" t="n">
        <v>13</v>
      </c>
      <c r="F234" s="12" t="n">
        <v>1200</v>
      </c>
      <c r="G234" s="12" t="n">
        <v>11</v>
      </c>
      <c r="H234" s="18" t="n">
        <v>862</v>
      </c>
    </row>
    <row r="235">
      <c r="A235" s="1" t="n">
        <v>249</v>
      </c>
      <c r="B235" s="2" t="inlineStr">
        <is>
          <t>Bosnia and Herzegovina</t>
        </is>
      </c>
      <c r="C235" s="2" t="inlineStr">
        <is>
          <t>Nihad Mujakic</t>
        </is>
      </c>
      <c r="D235" s="2" t="inlineStr">
        <is>
          <t>Defesa</t>
        </is>
      </c>
      <c r="E235" s="12" t="n">
        <v>13</v>
      </c>
      <c r="F235" s="12" t="n">
        <v>1200</v>
      </c>
      <c r="G235" s="12" t="n">
        <v>6</v>
      </c>
      <c r="H235" s="18" t="n">
        <v>294</v>
      </c>
    </row>
    <row r="236">
      <c r="A236" s="1" t="n">
        <v>250</v>
      </c>
      <c r="B236" s="2" t="inlineStr">
        <is>
          <t>Bosnia and Herzegovina</t>
        </is>
      </c>
      <c r="C236" s="2" t="inlineStr">
        <is>
          <t>Dennis Hadzikadunic</t>
        </is>
      </c>
      <c r="D236" s="2" t="inlineStr">
        <is>
          <t>Defesa</t>
        </is>
      </c>
      <c r="E236" s="12" t="n">
        <v>13</v>
      </c>
      <c r="F236" s="12" t="n">
        <v>1200</v>
      </c>
      <c r="G236" s="12" t="n">
        <v>3</v>
      </c>
      <c r="H236" s="18" t="n">
        <v>225</v>
      </c>
    </row>
    <row r="237">
      <c r="A237" s="1" t="n">
        <v>251</v>
      </c>
      <c r="B237" s="2" t="inlineStr">
        <is>
          <t>Bosnia and Herzegovina</t>
        </is>
      </c>
      <c r="C237" s="2" t="inlineStr">
        <is>
          <t>Tarik Muharemovic</t>
        </is>
      </c>
      <c r="D237" s="2" t="inlineStr">
        <is>
          <t>Defesa</t>
        </is>
      </c>
      <c r="E237" s="12" t="n">
        <v>13</v>
      </c>
      <c r="F237" s="12" t="n">
        <v>1200</v>
      </c>
      <c r="G237" s="12" t="n">
        <v>9</v>
      </c>
      <c r="H237" s="18" t="n">
        <v>780</v>
      </c>
    </row>
    <row r="238">
      <c r="A238" s="1" t="n">
        <v>252</v>
      </c>
      <c r="B238" s="2" t="inlineStr">
        <is>
          <t>Bosnia and Herzegovina</t>
        </is>
      </c>
      <c r="C238" s="2" t="inlineStr">
        <is>
          <t>Sead Kolasinac</t>
        </is>
      </c>
      <c r="D238" s="2" t="inlineStr">
        <is>
          <t>Defesa</t>
        </is>
      </c>
      <c r="E238" s="12" t="n">
        <v>13</v>
      </c>
      <c r="F238" s="12" t="n">
        <v>1200</v>
      </c>
      <c r="G238" s="12" t="n">
        <v>4</v>
      </c>
      <c r="H238" s="18" t="n">
        <v>287</v>
      </c>
    </row>
    <row r="239">
      <c r="A239" s="1" t="n">
        <v>253</v>
      </c>
      <c r="B239" s="2" t="inlineStr">
        <is>
          <t>Bosnia and Herzegovina</t>
        </is>
      </c>
      <c r="C239" s="2" t="inlineStr">
        <is>
          <t>Nikola Katic</t>
        </is>
      </c>
      <c r="D239" s="2" t="inlineStr">
        <is>
          <t>Defesa</t>
        </is>
      </c>
      <c r="E239" s="12" t="n">
        <v>13</v>
      </c>
      <c r="F239" s="12" t="n">
        <v>1200</v>
      </c>
      <c r="G239" s="12" t="n">
        <v>10</v>
      </c>
      <c r="H239" s="18" t="n">
        <v>705</v>
      </c>
    </row>
    <row r="240">
      <c r="A240" s="1" t="n">
        <v>254</v>
      </c>
      <c r="B240" s="2" t="inlineStr">
        <is>
          <t>Bosnia and Herzegovina</t>
        </is>
      </c>
      <c r="C240" s="2" t="inlineStr">
        <is>
          <t>Stjepan Radeljic</t>
        </is>
      </c>
      <c r="D240" s="2" t="inlineStr">
        <is>
          <t>Defesa</t>
        </is>
      </c>
      <c r="E240" s="12" t="n">
        <v>13</v>
      </c>
      <c r="F240" s="12" t="n">
        <v>1200</v>
      </c>
      <c r="G240" s="12" t="n">
        <v>4</v>
      </c>
      <c r="H240" s="18" t="n">
        <v>315</v>
      </c>
    </row>
    <row r="241">
      <c r="A241" s="1" t="n">
        <v>255</v>
      </c>
      <c r="B241" s="2" t="inlineStr">
        <is>
          <t>Bosnia and Herzegovina</t>
        </is>
      </c>
      <c r="C241" s="2" t="inlineStr">
        <is>
          <t>Nidal Celik</t>
        </is>
      </c>
      <c r="D241" s="2" t="inlineStr">
        <is>
          <t>Defesa</t>
        </is>
      </c>
      <c r="E241" s="12" t="n">
        <v>13</v>
      </c>
      <c r="F241" s="12" t="n">
        <v>1200</v>
      </c>
      <c r="G241" s="12" t="n">
        <v>1</v>
      </c>
      <c r="H241" s="18" t="n">
        <v>45</v>
      </c>
    </row>
    <row r="242">
      <c r="A242" s="1" t="n">
        <v>256</v>
      </c>
      <c r="B242" s="2" t="inlineStr">
        <is>
          <t>Bosnia and Herzegovina</t>
        </is>
      </c>
      <c r="C242" s="2" t="inlineStr">
        <is>
          <t>Ivan Sunjic</t>
        </is>
      </c>
      <c r="D242" s="2" t="inlineStr">
        <is>
          <t>Médio</t>
        </is>
      </c>
      <c r="E242" s="12" t="n">
        <v>13</v>
      </c>
      <c r="F242" s="12" t="n">
        <v>1200</v>
      </c>
      <c r="G242" s="12" t="n">
        <v>9</v>
      </c>
      <c r="H242" s="18" t="n">
        <v>702</v>
      </c>
    </row>
    <row r="243">
      <c r="A243" s="1" t="n">
        <v>257</v>
      </c>
      <c r="B243" s="2" t="inlineStr">
        <is>
          <t>Bosnia and Herzegovina</t>
        </is>
      </c>
      <c r="C243" s="2" t="inlineStr">
        <is>
          <t>Amir Hadziahmetovic</t>
        </is>
      </c>
      <c r="D243" s="2" t="inlineStr">
        <is>
          <t>Médio</t>
        </is>
      </c>
      <c r="E243" s="12" t="n">
        <v>13</v>
      </c>
      <c r="F243" s="12" t="n">
        <v>1200</v>
      </c>
      <c r="G243" s="12" t="n">
        <v>5</v>
      </c>
      <c r="H243" s="18" t="n">
        <v>93</v>
      </c>
    </row>
    <row r="244">
      <c r="A244" s="1" t="n">
        <v>258</v>
      </c>
      <c r="B244" s="2" t="inlineStr">
        <is>
          <t>Bosnia and Herzegovina</t>
        </is>
      </c>
      <c r="C244" s="2" t="inlineStr">
        <is>
          <t>Dzenis Burnic</t>
        </is>
      </c>
      <c r="D244" s="2" t="inlineStr">
        <is>
          <t>Médio</t>
        </is>
      </c>
      <c r="E244" s="12" t="n">
        <v>13</v>
      </c>
      <c r="F244" s="12" t="n">
        <v>1200</v>
      </c>
      <c r="G244" s="12" t="n">
        <v>11</v>
      </c>
      <c r="H244" s="18" t="n">
        <v>548</v>
      </c>
    </row>
    <row r="245">
      <c r="A245" s="1" t="n">
        <v>259</v>
      </c>
      <c r="B245" s="2" t="inlineStr">
        <is>
          <t>Bosnia and Herzegovina</t>
        </is>
      </c>
      <c r="C245" s="2" t="inlineStr">
        <is>
          <t>Benjamin Tahirovic</t>
        </is>
      </c>
      <c r="D245" s="2" t="inlineStr">
        <is>
          <t>Médio</t>
        </is>
      </c>
      <c r="E245" s="12" t="n">
        <v>13</v>
      </c>
      <c r="F245" s="12" t="n">
        <v>1200</v>
      </c>
      <c r="G245" s="12" t="n">
        <v>13</v>
      </c>
      <c r="H245" s="18" t="n">
        <v>906</v>
      </c>
    </row>
    <row r="246">
      <c r="A246" s="1" t="n">
        <v>260</v>
      </c>
      <c r="B246" s="2" t="inlineStr">
        <is>
          <t>Bosnia and Herzegovina</t>
        </is>
      </c>
      <c r="C246" s="2" t="inlineStr">
        <is>
          <t>Armin Gigovic</t>
        </is>
      </c>
      <c r="D246" s="2" t="inlineStr">
        <is>
          <t>Médio</t>
        </is>
      </c>
      <c r="E246" s="12" t="n">
        <v>13</v>
      </c>
      <c r="F246" s="12" t="n">
        <v>1200</v>
      </c>
      <c r="G246" s="12" t="n">
        <v>11</v>
      </c>
      <c r="H246" s="18" t="n">
        <v>459</v>
      </c>
    </row>
    <row r="247">
      <c r="A247" s="1" t="n">
        <v>261</v>
      </c>
      <c r="B247" s="2" t="inlineStr">
        <is>
          <t>Bosnia and Herzegovina</t>
        </is>
      </c>
      <c r="C247" s="2" t="inlineStr">
        <is>
          <t>Ivan Basic</t>
        </is>
      </c>
      <c r="D247" s="2" t="inlineStr">
        <is>
          <t>Médio</t>
        </is>
      </c>
      <c r="E247" s="12" t="n">
        <v>13</v>
      </c>
      <c r="F247" s="12" t="n">
        <v>1200</v>
      </c>
      <c r="G247" s="12" t="n">
        <v>10</v>
      </c>
      <c r="H247" s="18" t="n">
        <v>500</v>
      </c>
    </row>
    <row r="248">
      <c r="A248" s="1" t="n">
        <v>262</v>
      </c>
      <c r="B248" s="2" t="inlineStr">
        <is>
          <t>Bosnia and Herzegovina</t>
        </is>
      </c>
      <c r="C248" s="2" t="inlineStr">
        <is>
          <t>Ermin Mahmic</t>
        </is>
      </c>
      <c r="D248" s="2" t="inlineStr">
        <is>
          <t>Médio</t>
        </is>
      </c>
      <c r="E248" s="12" t="n">
        <v>13</v>
      </c>
      <c r="F248" s="12" t="n">
        <v>1200</v>
      </c>
      <c r="G248" s="12" t="n">
        <v>1</v>
      </c>
      <c r="H248" s="18" t="n">
        <v>45</v>
      </c>
    </row>
    <row r="249">
      <c r="A249" s="1" t="n">
        <v>263</v>
      </c>
      <c r="B249" s="2" t="inlineStr">
        <is>
          <t>Bosnia and Herzegovina</t>
        </is>
      </c>
      <c r="C249" s="2" t="inlineStr">
        <is>
          <t>Amar Memić</t>
        </is>
      </c>
      <c r="D249" s="2" t="inlineStr">
        <is>
          <t>Avançado</t>
        </is>
      </c>
      <c r="E249" s="12" t="n">
        <v>13</v>
      </c>
      <c r="F249" s="12" t="n">
        <v>1200</v>
      </c>
      <c r="G249" s="12" t="n">
        <v>12</v>
      </c>
      <c r="H249" s="18" t="n">
        <v>754</v>
      </c>
    </row>
    <row r="250">
      <c r="A250" s="1" t="n">
        <v>264</v>
      </c>
      <c r="B250" s="2" t="inlineStr">
        <is>
          <t>Bosnia and Herzegovina</t>
        </is>
      </c>
      <c r="C250" s="2" t="inlineStr">
        <is>
          <t>Esmir Bajraktarević</t>
        </is>
      </c>
      <c r="D250" s="2" t="inlineStr">
        <is>
          <t>Avançado</t>
        </is>
      </c>
      <c r="E250" s="12" t="n">
        <v>13</v>
      </c>
      <c r="F250" s="12" t="n">
        <v>1200</v>
      </c>
      <c r="G250" s="12" t="n">
        <v>9</v>
      </c>
      <c r="H250" s="18" t="n">
        <v>624</v>
      </c>
    </row>
    <row r="251">
      <c r="A251" s="1" t="n">
        <v>265</v>
      </c>
      <c r="B251" s="2" t="inlineStr">
        <is>
          <t>Bosnia and Herzegovina</t>
        </is>
      </c>
      <c r="C251" s="2" t="inlineStr">
        <is>
          <t>Samed Bazdar</t>
        </is>
      </c>
      <c r="D251" s="2" t="inlineStr">
        <is>
          <t>Avançado</t>
        </is>
      </c>
      <c r="E251" s="12" t="n">
        <v>13</v>
      </c>
      <c r="F251" s="12" t="n">
        <v>1200</v>
      </c>
      <c r="G251" s="12" t="n">
        <v>10</v>
      </c>
      <c r="H251" s="18" t="n">
        <v>358</v>
      </c>
    </row>
    <row r="252">
      <c r="A252" s="1" t="n">
        <v>266</v>
      </c>
      <c r="B252" s="2" t="inlineStr">
        <is>
          <t>Bosnia and Herzegovina</t>
        </is>
      </c>
      <c r="C252" s="2" t="inlineStr">
        <is>
          <t>Ermedin Demirovic</t>
        </is>
      </c>
      <c r="D252" s="2" t="inlineStr">
        <is>
          <t>Avançado</t>
        </is>
      </c>
      <c r="E252" s="12" t="n">
        <v>13</v>
      </c>
      <c r="F252" s="12" t="n">
        <v>1200</v>
      </c>
      <c r="G252" s="12" t="n">
        <v>8</v>
      </c>
      <c r="H252" s="18" t="n">
        <v>702</v>
      </c>
    </row>
    <row r="253">
      <c r="A253" s="1" t="n">
        <v>267</v>
      </c>
      <c r="B253" s="2" t="inlineStr">
        <is>
          <t>Bosnia and Herzegovina</t>
        </is>
      </c>
      <c r="C253" s="2" t="inlineStr">
        <is>
          <t>Edin Dzeko</t>
        </is>
      </c>
      <c r="D253" s="2" t="inlineStr">
        <is>
          <t>Avançado</t>
        </is>
      </c>
      <c r="E253" s="12" t="n">
        <v>13</v>
      </c>
      <c r="F253" s="12" t="n">
        <v>1200</v>
      </c>
      <c r="G253" s="12" t="n">
        <v>9</v>
      </c>
      <c r="H253" s="18" t="n">
        <v>716</v>
      </c>
    </row>
    <row r="254">
      <c r="A254" s="1" t="n">
        <v>268</v>
      </c>
      <c r="B254" s="2" t="inlineStr">
        <is>
          <t>Bosnia and Herzegovina</t>
        </is>
      </c>
      <c r="C254" s="2" t="inlineStr">
        <is>
          <t>Haris Tabakovic</t>
        </is>
      </c>
      <c r="D254" s="2" t="inlineStr">
        <is>
          <t>Avançado</t>
        </is>
      </c>
      <c r="E254" s="12" t="n">
        <v>13</v>
      </c>
      <c r="F254" s="12" t="n">
        <v>1200</v>
      </c>
      <c r="G254" s="12" t="n">
        <v>5</v>
      </c>
      <c r="H254" s="18" t="n">
        <v>289</v>
      </c>
    </row>
    <row r="255">
      <c r="A255" s="1" t="n">
        <v>269</v>
      </c>
      <c r="B255" s="2" t="inlineStr">
        <is>
          <t>Bosnia and Herzegovina</t>
        </is>
      </c>
      <c r="C255" s="2" t="inlineStr">
        <is>
          <t>Jovo Lukic</t>
        </is>
      </c>
      <c r="D255" s="2" t="inlineStr">
        <is>
          <t>Avançado</t>
        </is>
      </c>
      <c r="E255" s="12" t="n">
        <v>13</v>
      </c>
      <c r="F255" s="12" t="n">
        <v>1200</v>
      </c>
      <c r="G255" s="12" t="n">
        <v>1</v>
      </c>
      <c r="H255" s="18" t="n">
        <v>45</v>
      </c>
    </row>
    <row r="256">
      <c r="A256" s="1" t="n">
        <v>270</v>
      </c>
      <c r="B256" s="2" t="inlineStr">
        <is>
          <t>Bosnia and Herzegovina</t>
        </is>
      </c>
      <c r="C256" s="2" t="inlineStr">
        <is>
          <t>Kerim Alajbegovic</t>
        </is>
      </c>
      <c r="D256" s="2" t="inlineStr">
        <is>
          <t>Avançado</t>
        </is>
      </c>
      <c r="E256" s="12" t="n">
        <v>13</v>
      </c>
      <c r="F256" s="12" t="n">
        <v>1200</v>
      </c>
      <c r="G256" s="12" t="n">
        <v>9</v>
      </c>
      <c r="H256" s="18" t="n">
        <v>425</v>
      </c>
    </row>
    <row r="257">
      <c r="A257" s="1" t="n">
        <v>271</v>
      </c>
      <c r="B257" s="2" t="inlineStr">
        <is>
          <t>Brazil</t>
        </is>
      </c>
      <c r="C257" s="2" t="inlineStr">
        <is>
          <t>Alisson Becker</t>
        </is>
      </c>
      <c r="D257" s="2" t="inlineStr">
        <is>
          <t>Guarda Redes</t>
        </is>
      </c>
      <c r="E257" s="16" t="n">
        <v>13</v>
      </c>
      <c r="F257" s="16" t="n">
        <v>1170</v>
      </c>
      <c r="G257" s="16" t="n">
        <v>6</v>
      </c>
      <c r="H257" s="16" t="n">
        <v>484</v>
      </c>
    </row>
    <row r="258">
      <c r="A258" s="1" t="n">
        <v>272</v>
      </c>
      <c r="B258" s="2" t="inlineStr">
        <is>
          <t>Brazil</t>
        </is>
      </c>
      <c r="C258" s="2" t="inlineStr">
        <is>
          <t>Weverton</t>
        </is>
      </c>
      <c r="D258" s="2" t="inlineStr">
        <is>
          <t>Guarda Redes</t>
        </is>
      </c>
      <c r="E258" s="16" t="n">
        <v>13</v>
      </c>
      <c r="F258" s="16" t="n">
        <v>1170</v>
      </c>
      <c r="G258" s="16" t="n">
        <v>0</v>
      </c>
      <c r="H258" s="16" t="n">
        <v>0</v>
      </c>
    </row>
    <row r="259">
      <c r="A259" s="1" t="n">
        <v>273</v>
      </c>
      <c r="B259" s="2" t="inlineStr">
        <is>
          <t>Brazil</t>
        </is>
      </c>
      <c r="C259" s="2" t="inlineStr">
        <is>
          <t>Ederson Moraes</t>
        </is>
      </c>
      <c r="D259" s="2" t="inlineStr">
        <is>
          <t>Guarda Redes</t>
        </is>
      </c>
      <c r="E259" s="16" t="n">
        <v>13</v>
      </c>
      <c r="F259" s="16" t="n">
        <v>1170</v>
      </c>
      <c r="G259" s="16" t="n">
        <v>3</v>
      </c>
      <c r="H259" s="16" t="n">
        <v>224</v>
      </c>
    </row>
    <row r="260">
      <c r="A260" s="1" t="n">
        <v>274</v>
      </c>
      <c r="B260" s="2" t="inlineStr">
        <is>
          <t>Brazil</t>
        </is>
      </c>
      <c r="C260" s="2" t="inlineStr">
        <is>
          <t>Gabriel Magalhães</t>
        </is>
      </c>
      <c r="D260" s="2" t="inlineStr">
        <is>
          <t>Defesa</t>
        </is>
      </c>
      <c r="E260" s="16" t="n">
        <v>13</v>
      </c>
      <c r="F260" s="16" t="n">
        <v>1170</v>
      </c>
      <c r="G260" s="16" t="n">
        <v>4</v>
      </c>
      <c r="H260" s="16" t="n">
        <v>334</v>
      </c>
    </row>
    <row r="261">
      <c r="A261" s="1" t="n">
        <v>275</v>
      </c>
      <c r="B261" s="2" t="inlineStr">
        <is>
          <t>Brazil</t>
        </is>
      </c>
      <c r="C261" s="2" t="inlineStr">
        <is>
          <t>Marquinhos</t>
        </is>
      </c>
      <c r="D261" s="2" t="inlineStr">
        <is>
          <t>Defesa</t>
        </is>
      </c>
      <c r="E261" s="16" t="n">
        <v>13</v>
      </c>
      <c r="F261" s="16" t="n">
        <v>1170</v>
      </c>
      <c r="G261" s="16" t="n">
        <v>9</v>
      </c>
      <c r="H261" s="16" t="n">
        <v>749</v>
      </c>
    </row>
    <row r="262">
      <c r="A262" s="1" t="n">
        <v>276</v>
      </c>
      <c r="B262" s="2" t="inlineStr">
        <is>
          <t>Brazil</t>
        </is>
      </c>
      <c r="C262" s="2" t="inlineStr">
        <is>
          <t>Danilo</t>
        </is>
      </c>
      <c r="D262" s="2" t="inlineStr">
        <is>
          <t>Defesa</t>
        </is>
      </c>
      <c r="E262" s="16" t="n">
        <v>13</v>
      </c>
      <c r="F262" s="16" t="n">
        <v>1170</v>
      </c>
      <c r="G262" s="16" t="n">
        <v>3</v>
      </c>
      <c r="H262" s="16" t="n">
        <v>74</v>
      </c>
    </row>
    <row r="263">
      <c r="A263" s="1" t="n">
        <v>277</v>
      </c>
      <c r="B263" s="2" t="inlineStr">
        <is>
          <t>Brazil</t>
        </is>
      </c>
      <c r="C263" s="2" t="inlineStr">
        <is>
          <t>Bremer</t>
        </is>
      </c>
      <c r="D263" s="2" t="inlineStr">
        <is>
          <t>Defesa</t>
        </is>
      </c>
      <c r="E263" s="16" t="n">
        <v>13</v>
      </c>
      <c r="F263" s="16" t="n">
        <v>1170</v>
      </c>
      <c r="G263" s="16" t="n">
        <v>2</v>
      </c>
      <c r="H263" s="16" t="n">
        <v>136</v>
      </c>
    </row>
    <row r="264">
      <c r="A264" s="1" t="n">
        <v>278</v>
      </c>
      <c r="B264" s="2" t="inlineStr">
        <is>
          <t>Brazil</t>
        </is>
      </c>
      <c r="C264" s="2" t="inlineStr">
        <is>
          <t>Léo Pereira</t>
        </is>
      </c>
      <c r="D264" s="2" t="inlineStr">
        <is>
          <t>Defesa</t>
        </is>
      </c>
      <c r="E264" s="16" t="n">
        <v>13</v>
      </c>
      <c r="F264" s="16" t="n">
        <v>1170</v>
      </c>
      <c r="G264" s="16" t="n">
        <v>3</v>
      </c>
      <c r="H264" s="16" t="n">
        <v>270</v>
      </c>
    </row>
    <row r="265">
      <c r="A265" s="1" t="n">
        <v>279</v>
      </c>
      <c r="B265" s="2" t="inlineStr">
        <is>
          <t>Brazil</t>
        </is>
      </c>
      <c r="C265" s="2" t="inlineStr">
        <is>
          <t>Roger Ibañez</t>
        </is>
      </c>
      <c r="D265" s="2" t="inlineStr">
        <is>
          <t>Defesa</t>
        </is>
      </c>
      <c r="E265" s="16" t="n">
        <v>13</v>
      </c>
      <c r="F265" s="16" t="n">
        <v>1170</v>
      </c>
      <c r="G265" s="16" t="n">
        <v>3</v>
      </c>
      <c r="H265" s="16" t="n">
        <v>124</v>
      </c>
    </row>
    <row r="266">
      <c r="A266" s="1" t="n">
        <v>280</v>
      </c>
      <c r="B266" s="2" t="inlineStr">
        <is>
          <t>Brazil</t>
        </is>
      </c>
      <c r="C266" s="2" t="inlineStr">
        <is>
          <t>Alex Sandro</t>
        </is>
      </c>
      <c r="D266" s="2" t="inlineStr">
        <is>
          <t>Defesa</t>
        </is>
      </c>
      <c r="E266" s="16" t="n">
        <v>13</v>
      </c>
      <c r="F266" s="16" t="n">
        <v>1170</v>
      </c>
      <c r="G266" s="16" t="n">
        <v>4</v>
      </c>
      <c r="H266" s="16" t="n">
        <v>300</v>
      </c>
    </row>
    <row r="267">
      <c r="A267" s="1" t="n">
        <v>281</v>
      </c>
      <c r="B267" s="2" t="inlineStr">
        <is>
          <t>Brazil</t>
        </is>
      </c>
      <c r="C267" s="2" t="inlineStr">
        <is>
          <t>Douglas Santos</t>
        </is>
      </c>
      <c r="D267" s="2" t="inlineStr">
        <is>
          <t>Defesa</t>
        </is>
      </c>
      <c r="E267" s="16" t="n">
        <v>13</v>
      </c>
      <c r="F267" s="16" t="n">
        <v>1170</v>
      </c>
      <c r="G267" s="16" t="n">
        <v>5</v>
      </c>
      <c r="H267" s="16" t="n">
        <v>364</v>
      </c>
    </row>
    <row r="268">
      <c r="A268" s="1" t="n">
        <v>282</v>
      </c>
      <c r="B268" s="2" t="inlineStr">
        <is>
          <t>Brazil</t>
        </is>
      </c>
      <c r="C268" s="2" t="inlineStr">
        <is>
          <t>Éderson</t>
        </is>
      </c>
      <c r="D268" s="2" t="inlineStr">
        <is>
          <t>Médio</t>
        </is>
      </c>
      <c r="E268" s="16" t="n">
        <v>13</v>
      </c>
      <c r="F268" s="16" t="n">
        <v>1170</v>
      </c>
      <c r="G268" s="16" t="n">
        <v>1</v>
      </c>
      <c r="H268" s="16" t="n">
        <v>6</v>
      </c>
    </row>
    <row r="269">
      <c r="A269" s="1" t="n">
        <v>283</v>
      </c>
      <c r="B269" s="2" t="inlineStr">
        <is>
          <t>Brazil</t>
        </is>
      </c>
      <c r="C269" s="2" t="inlineStr">
        <is>
          <t>Casemiro</t>
        </is>
      </c>
      <c r="D269" s="2" t="inlineStr">
        <is>
          <t>Médio</t>
        </is>
      </c>
      <c r="E269" s="16" t="n">
        <v>13</v>
      </c>
      <c r="F269" s="16" t="n">
        <v>1170</v>
      </c>
      <c r="G269" s="16" t="n">
        <v>10</v>
      </c>
      <c r="H269" s="16" t="n">
        <v>766</v>
      </c>
    </row>
    <row r="270">
      <c r="A270" s="1" t="n">
        <v>284</v>
      </c>
      <c r="B270" s="2" t="inlineStr">
        <is>
          <t>Brazil</t>
        </is>
      </c>
      <c r="C270" s="2" t="inlineStr">
        <is>
          <t>Fabinho</t>
        </is>
      </c>
      <c r="D270" s="2" t="inlineStr">
        <is>
          <t>Médio</t>
        </is>
      </c>
      <c r="E270" s="16" t="n">
        <v>13</v>
      </c>
      <c r="F270" s="16" t="n">
        <v>1170</v>
      </c>
      <c r="G270" s="16" t="n">
        <v>3</v>
      </c>
      <c r="H270" s="16" t="n">
        <v>104</v>
      </c>
    </row>
    <row r="271">
      <c r="A271" s="1" t="n">
        <v>285</v>
      </c>
      <c r="B271" s="2" t="inlineStr">
        <is>
          <t>Brazil</t>
        </is>
      </c>
      <c r="C271" s="2" t="inlineStr">
        <is>
          <t>Danilo</t>
        </is>
      </c>
      <c r="D271" s="2" t="inlineStr">
        <is>
          <t>Médio</t>
        </is>
      </c>
      <c r="E271" s="16" t="n">
        <v>13</v>
      </c>
      <c r="F271" s="16" t="n">
        <v>1170</v>
      </c>
      <c r="G271" s="16" t="n">
        <v>3</v>
      </c>
      <c r="H271" s="16" t="n">
        <v>139</v>
      </c>
    </row>
    <row r="272">
      <c r="A272" s="1" t="n">
        <v>286</v>
      </c>
      <c r="B272" s="2" t="inlineStr">
        <is>
          <t>Brazil</t>
        </is>
      </c>
      <c r="C272" s="2" t="inlineStr">
        <is>
          <t>Bruno Guimarães</t>
        </is>
      </c>
      <c r="D272" s="2" t="inlineStr">
        <is>
          <t>Médio</t>
        </is>
      </c>
      <c r="E272" s="16" t="n">
        <v>13</v>
      </c>
      <c r="F272" s="16" t="n">
        <v>1170</v>
      </c>
      <c r="G272" s="16" t="n">
        <v>10</v>
      </c>
      <c r="H272" s="16" t="n">
        <v>767</v>
      </c>
    </row>
    <row r="273">
      <c r="A273" s="1" t="n">
        <v>287</v>
      </c>
      <c r="B273" s="2" t="inlineStr">
        <is>
          <t>Brazil</t>
        </is>
      </c>
      <c r="C273" s="2" t="inlineStr">
        <is>
          <t>Lucas Paquetá</t>
        </is>
      </c>
      <c r="D273" s="2" t="inlineStr">
        <is>
          <t>Médio</t>
        </is>
      </c>
      <c r="E273" s="16" t="n">
        <v>13</v>
      </c>
      <c r="F273" s="16" t="n">
        <v>1170</v>
      </c>
      <c r="G273" s="16" t="n">
        <v>7</v>
      </c>
      <c r="H273" s="16" t="n">
        <v>285</v>
      </c>
    </row>
    <row r="274">
      <c r="A274" s="1" t="n">
        <v>288</v>
      </c>
      <c r="B274" s="2" t="inlineStr">
        <is>
          <t>Brazil</t>
        </is>
      </c>
      <c r="C274" s="2" t="inlineStr">
        <is>
          <t>Raphinha</t>
        </is>
      </c>
      <c r="D274" s="2" t="inlineStr">
        <is>
          <t>Avançado</t>
        </is>
      </c>
      <c r="E274" s="16" t="n">
        <v>13</v>
      </c>
      <c r="F274" s="16" t="n">
        <v>1170</v>
      </c>
      <c r="G274" s="16" t="n">
        <v>7</v>
      </c>
      <c r="H274" s="16" t="n">
        <v>470</v>
      </c>
    </row>
    <row r="275">
      <c r="A275" s="1" t="n">
        <v>289</v>
      </c>
      <c r="B275" s="2" t="inlineStr">
        <is>
          <t>Brazil</t>
        </is>
      </c>
      <c r="C275" s="2" t="inlineStr">
        <is>
          <t>Endrick</t>
        </is>
      </c>
      <c r="D275" s="2" t="inlineStr">
        <is>
          <t>Avançado</t>
        </is>
      </c>
      <c r="E275" s="16" t="n">
        <v>13</v>
      </c>
      <c r="F275" s="16" t="n">
        <v>1170</v>
      </c>
      <c r="G275" s="16" t="n">
        <v>3</v>
      </c>
      <c r="H275" s="16" t="n">
        <v>102</v>
      </c>
    </row>
    <row r="276">
      <c r="A276" s="1" t="n">
        <v>290</v>
      </c>
      <c r="B276" s="2" t="inlineStr">
        <is>
          <t>Brazil</t>
        </is>
      </c>
      <c r="C276" s="2" t="inlineStr">
        <is>
          <t>Luiz Henrique</t>
        </is>
      </c>
      <c r="D276" s="2" t="inlineStr">
        <is>
          <t>Avançado</t>
        </is>
      </c>
      <c r="E276" s="16" t="n">
        <v>13</v>
      </c>
      <c r="F276" s="16" t="n">
        <v>1170</v>
      </c>
      <c r="G276" s="16" t="n">
        <v>8</v>
      </c>
      <c r="H276" s="16" t="n">
        <v>344</v>
      </c>
    </row>
    <row r="277">
      <c r="A277" s="1" t="n">
        <v>291</v>
      </c>
      <c r="B277" s="2" t="inlineStr">
        <is>
          <t>Brazil</t>
        </is>
      </c>
      <c r="C277" s="2" t="inlineStr">
        <is>
          <t>Rayan</t>
        </is>
      </c>
      <c r="D277" s="2" t="inlineStr">
        <is>
          <t>Avançado</t>
        </is>
      </c>
      <c r="E277" s="16" t="n">
        <v>13</v>
      </c>
      <c r="F277" s="16" t="n">
        <v>1170</v>
      </c>
      <c r="G277" s="16" t="n">
        <v>2</v>
      </c>
      <c r="H277" s="16" t="n">
        <v>58</v>
      </c>
    </row>
    <row r="278">
      <c r="A278" s="1" t="n">
        <v>292</v>
      </c>
      <c r="B278" s="2" t="inlineStr">
        <is>
          <t>Brazil</t>
        </is>
      </c>
      <c r="C278" s="2" t="inlineStr">
        <is>
          <t>Matheus Cunha</t>
        </is>
      </c>
      <c r="D278" s="2" t="inlineStr">
        <is>
          <t>Avançado</t>
        </is>
      </c>
      <c r="E278" s="16" t="n">
        <v>13</v>
      </c>
      <c r="F278" s="16" t="n">
        <v>1170</v>
      </c>
      <c r="G278" s="16" t="n">
        <v>11</v>
      </c>
      <c r="H278" s="16" t="n">
        <v>620</v>
      </c>
    </row>
    <row r="279">
      <c r="A279" s="1" t="n">
        <v>293</v>
      </c>
      <c r="B279" s="2" t="inlineStr">
        <is>
          <t>Brazil</t>
        </is>
      </c>
      <c r="C279" s="2" t="inlineStr">
        <is>
          <t>Igor Thiago</t>
        </is>
      </c>
      <c r="D279" s="2" t="inlineStr">
        <is>
          <t>Avançado</t>
        </is>
      </c>
      <c r="E279" s="16" t="n">
        <v>13</v>
      </c>
      <c r="F279" s="16" t="n">
        <v>1170</v>
      </c>
      <c r="G279" s="16" t="n">
        <v>3</v>
      </c>
      <c r="H279" s="16" t="n">
        <v>92</v>
      </c>
    </row>
    <row r="280">
      <c r="A280" s="1" t="n">
        <v>294</v>
      </c>
      <c r="B280" s="2" t="inlineStr">
        <is>
          <t>Brazil</t>
        </is>
      </c>
      <c r="C280" s="2" t="inlineStr">
        <is>
          <t>Vinícius Júnior</t>
        </is>
      </c>
      <c r="D280" s="2" t="inlineStr">
        <is>
          <t>Avançado</t>
        </is>
      </c>
      <c r="E280" s="16" t="n">
        <v>13</v>
      </c>
      <c r="F280" s="16" t="n">
        <v>1170</v>
      </c>
      <c r="G280" s="16" t="n">
        <v>11</v>
      </c>
      <c r="H280" s="16" t="n">
        <v>867</v>
      </c>
    </row>
    <row r="281">
      <c r="A281" s="1" t="n">
        <v>295</v>
      </c>
      <c r="B281" s="2" t="inlineStr">
        <is>
          <t>Brazil</t>
        </is>
      </c>
      <c r="C281" s="2" t="inlineStr">
        <is>
          <t>Neymar</t>
        </is>
      </c>
      <c r="D281" s="2" t="inlineStr">
        <is>
          <t>Avançado</t>
        </is>
      </c>
      <c r="E281" s="16" t="n">
        <v>13</v>
      </c>
      <c r="F281" s="16" t="n">
        <v>1170</v>
      </c>
      <c r="G281" s="16" t="n">
        <v>0</v>
      </c>
      <c r="H281" s="16" t="n">
        <v>0</v>
      </c>
    </row>
    <row r="282">
      <c r="A282" s="1" t="n">
        <v>296</v>
      </c>
      <c r="B282" s="2" t="inlineStr">
        <is>
          <t>Brazil</t>
        </is>
      </c>
      <c r="C282" s="2" t="inlineStr">
        <is>
          <t>Gabriel Martinelli</t>
        </is>
      </c>
      <c r="D282" s="2" t="inlineStr">
        <is>
          <t>Avançado</t>
        </is>
      </c>
      <c r="E282" s="16" t="n">
        <v>13</v>
      </c>
      <c r="F282" s="16" t="n">
        <v>1170</v>
      </c>
      <c r="G282" s="16" t="n">
        <v>6</v>
      </c>
      <c r="H282" s="16" t="n">
        <v>329</v>
      </c>
    </row>
    <row r="283">
      <c r="A283" s="1" t="n">
        <v>297</v>
      </c>
      <c r="B283" s="2" t="inlineStr">
        <is>
          <t>Cabo Verde</t>
        </is>
      </c>
      <c r="C283" s="2" t="inlineStr">
        <is>
          <t>Vozinha</t>
        </is>
      </c>
      <c r="D283" s="2" t="inlineStr">
        <is>
          <t>Guarda Redes</t>
        </is>
      </c>
      <c r="E283" s="6" t="n">
        <v>14</v>
      </c>
      <c r="F283" s="6" t="n">
        <v>1260</v>
      </c>
      <c r="G283" s="14" t="n">
        <v>11</v>
      </c>
      <c r="H283" s="15" t="n">
        <v>225</v>
      </c>
    </row>
    <row r="284">
      <c r="A284" s="1" t="n">
        <v>298</v>
      </c>
      <c r="B284" s="2" t="inlineStr">
        <is>
          <t>Cabo Verde</t>
        </is>
      </c>
      <c r="C284" s="2" t="inlineStr">
        <is>
          <t>Márcio Rosa</t>
        </is>
      </c>
      <c r="D284" s="2" t="inlineStr">
        <is>
          <t>Guarda Redes</t>
        </is>
      </c>
      <c r="E284" s="8" t="n">
        <v>14</v>
      </c>
      <c r="F284" s="8" t="n">
        <v>1260</v>
      </c>
      <c r="G284" s="14" t="n">
        <v>2</v>
      </c>
      <c r="H284" s="15" t="n">
        <v>90</v>
      </c>
    </row>
    <row r="285">
      <c r="A285" s="1" t="n">
        <v>299</v>
      </c>
      <c r="B285" s="2" t="inlineStr">
        <is>
          <t>Cabo Verde</t>
        </is>
      </c>
      <c r="C285" s="2" t="inlineStr">
        <is>
          <t>CJ dos Santos</t>
        </is>
      </c>
      <c r="D285" s="2" t="inlineStr">
        <is>
          <t>Guarda Redes</t>
        </is>
      </c>
      <c r="E285" s="6" t="n">
        <v>14</v>
      </c>
      <c r="F285" s="6" t="n">
        <v>1260</v>
      </c>
      <c r="G285" s="14" t="n">
        <v>1</v>
      </c>
      <c r="H285" s="15" t="n">
        <v>45</v>
      </c>
    </row>
    <row r="286">
      <c r="A286" s="1" t="n">
        <v>300</v>
      </c>
      <c r="B286" s="2" t="inlineStr">
        <is>
          <t>Cabo Verde</t>
        </is>
      </c>
      <c r="C286" s="2" t="inlineStr">
        <is>
          <t>Stopira</t>
        </is>
      </c>
      <c r="D286" s="2" t="inlineStr">
        <is>
          <t>Defesa</t>
        </is>
      </c>
      <c r="E286" s="8" t="n">
        <v>14</v>
      </c>
      <c r="F286" s="8" t="n">
        <v>1260</v>
      </c>
      <c r="G286" s="14" t="n">
        <v>3</v>
      </c>
      <c r="H286" s="15" t="n">
        <v>101</v>
      </c>
    </row>
    <row r="287">
      <c r="A287" s="1" t="n">
        <v>301</v>
      </c>
      <c r="B287" s="2" t="inlineStr">
        <is>
          <t>Cabo Verde</t>
        </is>
      </c>
      <c r="C287" s="2" t="inlineStr">
        <is>
          <t>Diney Borges</t>
        </is>
      </c>
      <c r="D287" s="2" t="inlineStr">
        <is>
          <t>Defesa</t>
        </is>
      </c>
      <c r="E287" s="6" t="n">
        <v>14</v>
      </c>
      <c r="F287" s="6" t="n">
        <v>1260</v>
      </c>
      <c r="G287" s="14" t="n">
        <v>9</v>
      </c>
      <c r="H287" s="15" t="n">
        <v>268</v>
      </c>
    </row>
    <row r="288">
      <c r="A288" s="1" t="n">
        <v>302</v>
      </c>
      <c r="B288" s="2" t="inlineStr">
        <is>
          <t>Cabo Verde</t>
        </is>
      </c>
      <c r="C288" s="2" t="inlineStr">
        <is>
          <t>Roberto Lopes</t>
        </is>
      </c>
      <c r="D288" s="2" t="inlineStr">
        <is>
          <t>Defesa</t>
        </is>
      </c>
      <c r="E288" s="8" t="n">
        <v>14</v>
      </c>
      <c r="F288" s="8" t="n">
        <v>1260</v>
      </c>
      <c r="G288" s="14" t="n">
        <v>9</v>
      </c>
      <c r="H288" s="15" t="n">
        <v>221</v>
      </c>
    </row>
    <row r="289">
      <c r="A289" s="1" t="n">
        <v>303</v>
      </c>
      <c r="B289" s="2" t="inlineStr">
        <is>
          <t>Cabo Verde</t>
        </is>
      </c>
      <c r="C289" s="2" t="inlineStr">
        <is>
          <t>Logan Costa</t>
        </is>
      </c>
      <c r="D289" s="2" t="inlineStr">
        <is>
          <t>Defesa</t>
        </is>
      </c>
      <c r="E289" s="6" t="n">
        <v>14</v>
      </c>
      <c r="F289" s="6" t="n">
        <v>1260</v>
      </c>
      <c r="G289" s="14" t="n">
        <v>3</v>
      </c>
      <c r="H289" s="15" t="n">
        <v>45</v>
      </c>
    </row>
    <row r="290">
      <c r="A290" s="1" t="n">
        <v>304</v>
      </c>
      <c r="B290" s="2" t="inlineStr">
        <is>
          <t>Cabo Verde</t>
        </is>
      </c>
      <c r="C290" s="2" t="inlineStr">
        <is>
          <t>Sidny Cabral</t>
        </is>
      </c>
      <c r="D290" s="2" t="inlineStr">
        <is>
          <t>Defesa</t>
        </is>
      </c>
      <c r="E290" s="8" t="n">
        <v>14</v>
      </c>
      <c r="F290" s="8" t="n">
        <v>1260</v>
      </c>
      <c r="G290" s="14" t="n">
        <v>9</v>
      </c>
      <c r="H290" s="15" t="n">
        <v>251</v>
      </c>
    </row>
    <row r="291">
      <c r="A291" s="1" t="n">
        <v>305</v>
      </c>
      <c r="B291" s="2" t="inlineStr">
        <is>
          <t>Cabo Verde</t>
        </is>
      </c>
      <c r="C291" s="2" t="inlineStr">
        <is>
          <t>Steven Moreira</t>
        </is>
      </c>
      <c r="D291" s="2" t="inlineStr">
        <is>
          <t>Defesa</t>
        </is>
      </c>
      <c r="E291" s="6" t="n">
        <v>14</v>
      </c>
      <c r="F291" s="6" t="n">
        <v>1260</v>
      </c>
      <c r="G291" s="14" t="n">
        <v>6</v>
      </c>
      <c r="H291" s="15" t="n">
        <v>123</v>
      </c>
    </row>
    <row r="292">
      <c r="A292" s="1" t="n">
        <v>306</v>
      </c>
      <c r="B292" s="2" t="inlineStr">
        <is>
          <t>Cabo Verde</t>
        </is>
      </c>
      <c r="C292" s="2" t="inlineStr">
        <is>
          <t>Wagner Pina</t>
        </is>
      </c>
      <c r="D292" s="2" t="inlineStr">
        <is>
          <t>Defesa</t>
        </is>
      </c>
      <c r="E292" s="8" t="n">
        <v>14</v>
      </c>
      <c r="F292" s="8" t="n">
        <v>1260</v>
      </c>
      <c r="G292" s="14" t="n">
        <v>7</v>
      </c>
      <c r="H292" s="15" t="n">
        <v>217</v>
      </c>
    </row>
    <row r="293">
      <c r="A293" s="1" t="n">
        <v>307</v>
      </c>
      <c r="B293" s="2" t="inlineStr">
        <is>
          <t>Cabo Verde</t>
        </is>
      </c>
      <c r="C293" s="2" t="inlineStr">
        <is>
          <t>Kelvin Pires</t>
        </is>
      </c>
      <c r="D293" s="2" t="inlineStr">
        <is>
          <t>Defesa</t>
        </is>
      </c>
      <c r="E293" s="6" t="n">
        <v>14</v>
      </c>
      <c r="F293" s="6" t="n">
        <v>1260</v>
      </c>
      <c r="G293" s="14" t="n">
        <v>3</v>
      </c>
      <c r="H293" s="15" t="n">
        <v>194</v>
      </c>
    </row>
    <row r="294">
      <c r="A294" s="1" t="n">
        <v>308</v>
      </c>
      <c r="B294" s="2" t="inlineStr">
        <is>
          <t>Cabo Verde</t>
        </is>
      </c>
      <c r="C294" s="2" t="inlineStr">
        <is>
          <t>Kevin Pina</t>
        </is>
      </c>
      <c r="D294" s="2" t="inlineStr">
        <is>
          <t>Médio</t>
        </is>
      </c>
      <c r="E294" s="8" t="n">
        <v>14</v>
      </c>
      <c r="F294" s="8" t="n">
        <v>1260</v>
      </c>
      <c r="G294" s="14" t="n">
        <v>10</v>
      </c>
      <c r="H294" s="15" t="n">
        <v>391</v>
      </c>
    </row>
    <row r="295">
      <c r="A295" s="1" t="n">
        <v>309</v>
      </c>
      <c r="B295" s="2" t="inlineStr">
        <is>
          <t>Cabo Verde</t>
        </is>
      </c>
      <c r="C295" s="2" t="inlineStr">
        <is>
          <t>João Paulo</t>
        </is>
      </c>
      <c r="D295" s="2" t="inlineStr">
        <is>
          <t>Médio</t>
        </is>
      </c>
      <c r="E295" s="6" t="n">
        <v>14</v>
      </c>
      <c r="F295" s="6" t="n">
        <v>1260</v>
      </c>
      <c r="G295" s="14" t="n">
        <v>10</v>
      </c>
      <c r="H295" s="15" t="n">
        <v>141</v>
      </c>
    </row>
    <row r="296">
      <c r="A296" s="1" t="n">
        <v>310</v>
      </c>
      <c r="B296" s="2" t="inlineStr">
        <is>
          <t>Cabo Verde</t>
        </is>
      </c>
      <c r="C296" s="2" t="inlineStr">
        <is>
          <t>Jamiro Monteiro</t>
        </is>
      </c>
      <c r="D296" s="2" t="inlineStr">
        <is>
          <t>Médio</t>
        </is>
      </c>
      <c r="E296" s="8" t="n">
        <v>14</v>
      </c>
      <c r="F296" s="8" t="n">
        <v>1260</v>
      </c>
      <c r="G296" s="14" t="n">
        <v>10</v>
      </c>
      <c r="H296" s="15" t="n">
        <v>153</v>
      </c>
    </row>
    <row r="297">
      <c r="A297" s="1" t="n">
        <v>311</v>
      </c>
      <c r="B297" s="2" t="inlineStr">
        <is>
          <t>Cabo Verde</t>
        </is>
      </c>
      <c r="C297" s="2" t="inlineStr">
        <is>
          <t>Deroy Duarte</t>
        </is>
      </c>
      <c r="D297" s="2" t="inlineStr">
        <is>
          <t>Médio</t>
        </is>
      </c>
      <c r="E297" s="6" t="n">
        <v>14</v>
      </c>
      <c r="F297" s="6" t="n">
        <v>1260</v>
      </c>
      <c r="G297" s="14" t="n">
        <v>8</v>
      </c>
      <c r="H297" s="15" t="n">
        <v>190</v>
      </c>
    </row>
    <row r="298">
      <c r="A298" s="1" t="n">
        <v>312</v>
      </c>
      <c r="B298" s="2" t="inlineStr">
        <is>
          <t>Cabo Verde</t>
        </is>
      </c>
      <c r="C298" s="2" t="inlineStr">
        <is>
          <t>Laros Duarte</t>
        </is>
      </c>
      <c r="D298" s="2" t="inlineStr">
        <is>
          <t>Médio</t>
        </is>
      </c>
      <c r="E298" s="8" t="n">
        <v>14</v>
      </c>
      <c r="F298" s="8" t="n">
        <v>1260</v>
      </c>
      <c r="G298" s="14" t="n">
        <v>10</v>
      </c>
      <c r="H298" s="15" t="n">
        <v>184</v>
      </c>
    </row>
    <row r="299">
      <c r="A299" s="1" t="n">
        <v>313</v>
      </c>
      <c r="B299" s="2" t="inlineStr">
        <is>
          <t>Cabo Verde</t>
        </is>
      </c>
      <c r="C299" s="2" t="inlineStr">
        <is>
          <t>Yannick Semedo</t>
        </is>
      </c>
      <c r="D299" s="2" t="inlineStr">
        <is>
          <t>Médio</t>
        </is>
      </c>
      <c r="E299" s="6" t="n">
        <v>14</v>
      </c>
      <c r="F299" s="6" t="n">
        <v>1260</v>
      </c>
      <c r="G299" s="14" t="n">
        <v>8</v>
      </c>
      <c r="H299" s="15" t="n">
        <v>92</v>
      </c>
    </row>
    <row r="300">
      <c r="A300" s="1" t="n">
        <v>314</v>
      </c>
      <c r="B300" s="2" t="inlineStr">
        <is>
          <t>Cabo Verde</t>
        </is>
      </c>
      <c r="C300" s="2" t="inlineStr">
        <is>
          <t>Jovane Cabral</t>
        </is>
      </c>
      <c r="D300" s="2" t="inlineStr">
        <is>
          <t>Avançado</t>
        </is>
      </c>
      <c r="E300" s="8" t="n">
        <v>14</v>
      </c>
      <c r="F300" s="8" t="n">
        <v>1260</v>
      </c>
      <c r="G300" s="14" t="n">
        <v>9</v>
      </c>
      <c r="H300" s="15" t="n">
        <v>138</v>
      </c>
    </row>
    <row r="301">
      <c r="A301" s="1" t="n">
        <v>315</v>
      </c>
      <c r="B301" s="2" t="inlineStr">
        <is>
          <t>Cabo Verde</t>
        </is>
      </c>
      <c r="C301" s="2" t="inlineStr">
        <is>
          <t>Gilson Benchimol</t>
        </is>
      </c>
      <c r="D301" s="2" t="inlineStr">
        <is>
          <t>Avançado</t>
        </is>
      </c>
      <c r="E301" s="6" t="n">
        <v>14</v>
      </c>
      <c r="F301" s="6" t="n">
        <v>1260</v>
      </c>
      <c r="G301" s="14" t="n">
        <v>1</v>
      </c>
      <c r="H301" s="15" t="n">
        <v>45</v>
      </c>
    </row>
    <row r="302">
      <c r="A302" s="1" t="n">
        <v>316</v>
      </c>
      <c r="B302" s="2" t="inlineStr">
        <is>
          <t>Cabo Verde</t>
        </is>
      </c>
      <c r="C302" s="2" t="inlineStr">
        <is>
          <t>Garry Rodrigues</t>
        </is>
      </c>
      <c r="D302" s="2" t="inlineStr">
        <is>
          <t>Avançado</t>
        </is>
      </c>
      <c r="E302" s="8" t="n">
        <v>14</v>
      </c>
      <c r="F302" s="8" t="n">
        <v>1260</v>
      </c>
      <c r="G302" s="14" t="n">
        <v>7</v>
      </c>
      <c r="H302" s="15" t="n">
        <v>147</v>
      </c>
    </row>
    <row r="303">
      <c r="A303" s="1" t="n">
        <v>317</v>
      </c>
      <c r="B303" s="2" t="inlineStr">
        <is>
          <t>Cabo Verde</t>
        </is>
      </c>
      <c r="C303" s="2" t="inlineStr">
        <is>
          <t>Willy Semedo</t>
        </is>
      </c>
      <c r="D303" s="2" t="inlineStr">
        <is>
          <t>Avançado</t>
        </is>
      </c>
      <c r="E303" s="6" t="n">
        <v>14</v>
      </c>
      <c r="F303" s="6" t="n">
        <v>1260</v>
      </c>
      <c r="G303" s="14" t="n">
        <v>11</v>
      </c>
      <c r="H303" s="15" t="n">
        <v>203</v>
      </c>
    </row>
    <row r="304">
      <c r="A304" s="1" t="n">
        <v>318</v>
      </c>
      <c r="B304" s="2" t="inlineStr">
        <is>
          <t>Cabo Verde</t>
        </is>
      </c>
      <c r="C304" s="2" t="inlineStr">
        <is>
          <t>Telmo Arcanjo</t>
        </is>
      </c>
      <c r="D304" s="2" t="inlineStr">
        <is>
          <t>Avançado</t>
        </is>
      </c>
      <c r="E304" s="8" t="n">
        <v>14</v>
      </c>
      <c r="F304" s="8" t="n">
        <v>1260</v>
      </c>
      <c r="G304" s="14" t="n">
        <v>9</v>
      </c>
      <c r="H304" s="15" t="n">
        <v>279</v>
      </c>
    </row>
    <row r="305">
      <c r="A305" s="1" t="n">
        <v>319</v>
      </c>
      <c r="B305" s="2" t="inlineStr">
        <is>
          <t>Cabo Verde</t>
        </is>
      </c>
      <c r="C305" s="2" t="inlineStr">
        <is>
          <t>Dailon Livramento</t>
        </is>
      </c>
      <c r="D305" s="2" t="inlineStr">
        <is>
          <t>Avançado</t>
        </is>
      </c>
      <c r="E305" s="6" t="n">
        <v>14</v>
      </c>
      <c r="F305" s="6" t="n">
        <v>1260</v>
      </c>
      <c r="G305" s="14" t="n">
        <v>11</v>
      </c>
      <c r="H305" s="15" t="n">
        <v>137</v>
      </c>
    </row>
    <row r="306">
      <c r="A306" s="1" t="n">
        <v>320</v>
      </c>
      <c r="B306" s="2" t="inlineStr">
        <is>
          <t>Cabo Verde</t>
        </is>
      </c>
      <c r="C306" s="2" t="inlineStr">
        <is>
          <t>Ryan Mendes</t>
        </is>
      </c>
      <c r="D306" s="2" t="inlineStr">
        <is>
          <t>Avançado</t>
        </is>
      </c>
      <c r="E306" s="8" t="n">
        <v>14</v>
      </c>
      <c r="F306" s="8" t="n">
        <v>1260</v>
      </c>
      <c r="G306" s="14" t="n">
        <v>13</v>
      </c>
      <c r="H306" s="15" t="n">
        <v>224</v>
      </c>
    </row>
    <row r="307">
      <c r="A307" s="1" t="n">
        <v>321</v>
      </c>
      <c r="B307" s="2" t="inlineStr">
        <is>
          <t>Cabo Verde</t>
        </is>
      </c>
      <c r="C307" s="2" t="inlineStr">
        <is>
          <t>Nuno da Costa</t>
        </is>
      </c>
      <c r="D307" s="2" t="inlineStr">
        <is>
          <t>Avançado</t>
        </is>
      </c>
      <c r="E307" s="6" t="n">
        <v>14</v>
      </c>
      <c r="F307" s="6" t="n">
        <v>1260</v>
      </c>
      <c r="G307" s="14" t="n">
        <v>5</v>
      </c>
      <c r="H307" s="15" t="n">
        <v>207</v>
      </c>
    </row>
    <row r="308">
      <c r="A308" s="1" t="n">
        <v>322</v>
      </c>
      <c r="B308" s="2" t="inlineStr">
        <is>
          <t>Cabo Verde</t>
        </is>
      </c>
      <c r="C308" s="2" t="inlineStr">
        <is>
          <t>Hélio Varela</t>
        </is>
      </c>
      <c r="D308" s="2" t="inlineStr">
        <is>
          <t>Avançado</t>
        </is>
      </c>
      <c r="E308" s="8" t="n">
        <v>14</v>
      </c>
      <c r="F308" s="8" t="n">
        <v>1260</v>
      </c>
      <c r="G308" s="14" t="n">
        <v>6</v>
      </c>
      <c r="H308" s="15" t="n">
        <v>104</v>
      </c>
    </row>
    <row r="309">
      <c r="A309" s="1" t="n">
        <v>323</v>
      </c>
      <c r="B309" s="2" t="inlineStr">
        <is>
          <t>Canada</t>
        </is>
      </c>
      <c r="C309" s="2" t="inlineStr">
        <is>
          <t>Dayne St. Clair</t>
        </is>
      </c>
      <c r="D309" s="2" t="inlineStr">
        <is>
          <t>Guarda Redes</t>
        </is>
      </c>
      <c r="E309" s="6" t="n">
        <v>18</v>
      </c>
      <c r="F309" s="6" t="n">
        <v>1620</v>
      </c>
      <c r="G309" s="14" t="n">
        <v>11</v>
      </c>
      <c r="H309" s="15" t="n">
        <v>405</v>
      </c>
    </row>
    <row r="310">
      <c r="A310" s="1" t="n">
        <v>324</v>
      </c>
      <c r="B310" s="2" t="inlineStr">
        <is>
          <t>Canada</t>
        </is>
      </c>
      <c r="C310" s="2" t="inlineStr">
        <is>
          <t>Maxime Crépeau</t>
        </is>
      </c>
      <c r="D310" s="2" t="inlineStr">
        <is>
          <t>Guarda Redes</t>
        </is>
      </c>
      <c r="E310" s="8" t="n">
        <v>18</v>
      </c>
      <c r="F310" s="8" t="n">
        <v>1620</v>
      </c>
      <c r="G310" s="14" t="n">
        <v>7</v>
      </c>
      <c r="H310" s="15" t="n">
        <v>495</v>
      </c>
    </row>
    <row r="311">
      <c r="A311" s="1" t="n">
        <v>325</v>
      </c>
      <c r="B311" s="2" t="inlineStr">
        <is>
          <t>Canada</t>
        </is>
      </c>
      <c r="C311" s="2" t="inlineStr">
        <is>
          <t>Owen Goodman</t>
        </is>
      </c>
      <c r="D311" s="2" t="inlineStr">
        <is>
          <t>Guarda Redes</t>
        </is>
      </c>
      <c r="E311" s="6" t="n">
        <v>18</v>
      </c>
      <c r="F311" s="6" t="n">
        <v>1620</v>
      </c>
      <c r="G311" s="14" t="n">
        <v>0</v>
      </c>
      <c r="H311" s="15" t="n">
        <v>0</v>
      </c>
    </row>
    <row r="312">
      <c r="A312" s="1" t="n">
        <v>326</v>
      </c>
      <c r="B312" s="2" t="inlineStr">
        <is>
          <t>Canada</t>
        </is>
      </c>
      <c r="C312" s="2" t="inlineStr">
        <is>
          <t>Alistair Johnston</t>
        </is>
      </c>
      <c r="D312" s="2" t="inlineStr">
        <is>
          <t>Defesa</t>
        </is>
      </c>
      <c r="E312" s="8" t="n">
        <v>18</v>
      </c>
      <c r="F312" s="8" t="n">
        <v>1620</v>
      </c>
      <c r="G312" s="14" t="n">
        <v>6</v>
      </c>
      <c r="H312" s="15" t="n">
        <v>90</v>
      </c>
    </row>
    <row r="313">
      <c r="A313" s="1" t="n">
        <v>327</v>
      </c>
      <c r="B313" s="2" t="inlineStr">
        <is>
          <t>Canada</t>
        </is>
      </c>
      <c r="C313" s="2" t="inlineStr">
        <is>
          <t>Richie Laryea</t>
        </is>
      </c>
      <c r="D313" s="2" t="inlineStr">
        <is>
          <t>Defesa</t>
        </is>
      </c>
      <c r="E313" s="6" t="n">
        <v>18</v>
      </c>
      <c r="F313" s="6" t="n">
        <v>1620</v>
      </c>
      <c r="G313" s="14" t="n">
        <v>15</v>
      </c>
      <c r="H313" s="15" t="n">
        <v>881</v>
      </c>
    </row>
    <row r="314">
      <c r="A314" s="1" t="n">
        <v>328</v>
      </c>
      <c r="B314" s="2" t="inlineStr">
        <is>
          <t>Canada</t>
        </is>
      </c>
      <c r="C314" s="2" t="inlineStr">
        <is>
          <t>Alfie Jones</t>
        </is>
      </c>
      <c r="D314" s="2" t="inlineStr">
        <is>
          <t>Defesa</t>
        </is>
      </c>
      <c r="E314" s="8" t="n">
        <v>18</v>
      </c>
      <c r="F314" s="8" t="n">
        <v>1620</v>
      </c>
      <c r="G314" s="14" t="n">
        <v>2</v>
      </c>
      <c r="H314" s="15" t="n">
        <v>110</v>
      </c>
    </row>
    <row r="315">
      <c r="A315" s="1" t="n">
        <v>329</v>
      </c>
      <c r="B315" s="2" t="inlineStr">
        <is>
          <t>Canada</t>
        </is>
      </c>
      <c r="C315" s="2" t="inlineStr">
        <is>
          <t>Luc De Fougerolles</t>
        </is>
      </c>
      <c r="D315" s="2" t="inlineStr">
        <is>
          <t>Defesa</t>
        </is>
      </c>
      <c r="E315" s="6" t="n">
        <v>18</v>
      </c>
      <c r="F315" s="6" t="n">
        <v>1620</v>
      </c>
      <c r="G315" s="14" t="n">
        <v>10</v>
      </c>
      <c r="H315" s="15" t="n">
        <v>432</v>
      </c>
    </row>
    <row r="316">
      <c r="A316" s="1" t="n">
        <v>330</v>
      </c>
      <c r="B316" s="2" t="inlineStr">
        <is>
          <t>Canada</t>
        </is>
      </c>
      <c r="C316" s="2" t="inlineStr">
        <is>
          <t>Joel Waterman</t>
        </is>
      </c>
      <c r="D316" s="2" t="inlineStr">
        <is>
          <t>Defesa</t>
        </is>
      </c>
      <c r="E316" s="8" t="n">
        <v>18</v>
      </c>
      <c r="F316" s="8" t="n">
        <v>1620</v>
      </c>
      <c r="G316" s="14" t="n">
        <v>11</v>
      </c>
      <c r="H316" s="15" t="n">
        <v>394</v>
      </c>
    </row>
    <row r="317">
      <c r="A317" s="1" t="n">
        <v>331</v>
      </c>
      <c r="B317" s="2" t="inlineStr">
        <is>
          <t>Canada</t>
        </is>
      </c>
      <c r="C317" s="2" t="inlineStr">
        <is>
          <t>Derek Cornelius</t>
        </is>
      </c>
      <c r="D317" s="2" t="inlineStr">
        <is>
          <t>Defesa</t>
        </is>
      </c>
      <c r="E317" s="6" t="n">
        <v>18</v>
      </c>
      <c r="F317" s="6" t="n">
        <v>1620</v>
      </c>
      <c r="G317" s="14" t="n">
        <v>14</v>
      </c>
      <c r="H317" s="15" t="n">
        <v>579</v>
      </c>
    </row>
    <row r="318">
      <c r="A318" s="1" t="n">
        <v>332</v>
      </c>
      <c r="B318" s="2" t="inlineStr">
        <is>
          <t>Canada</t>
        </is>
      </c>
      <c r="C318" s="2" t="inlineStr">
        <is>
          <t>Moïse Bombito</t>
        </is>
      </c>
      <c r="D318" s="2" t="inlineStr">
        <is>
          <t>Defesa</t>
        </is>
      </c>
      <c r="E318" s="8" t="n">
        <v>18</v>
      </c>
      <c r="F318" s="8" t="n">
        <v>1620</v>
      </c>
      <c r="G318" s="14" t="n">
        <v>3</v>
      </c>
      <c r="H318" s="15" t="n">
        <v>31</v>
      </c>
    </row>
    <row r="319">
      <c r="A319" s="1" t="n">
        <v>333</v>
      </c>
      <c r="B319" s="2" t="inlineStr">
        <is>
          <t>Canada</t>
        </is>
      </c>
      <c r="C319" s="2" t="inlineStr">
        <is>
          <t>Alphonso Davies</t>
        </is>
      </c>
      <c r="D319" s="2" t="inlineStr">
        <is>
          <t>Defesa</t>
        </is>
      </c>
      <c r="E319" s="6" t="n">
        <v>18</v>
      </c>
      <c r="F319" s="6" t="n">
        <v>1620</v>
      </c>
      <c r="G319" s="14" t="n">
        <v>2</v>
      </c>
      <c r="H319" s="15" t="n">
        <v>0</v>
      </c>
    </row>
    <row r="320">
      <c r="A320" s="1" t="n">
        <v>334</v>
      </c>
      <c r="B320" s="2" t="inlineStr">
        <is>
          <t>Canada</t>
        </is>
      </c>
      <c r="C320" s="2" t="inlineStr">
        <is>
          <t>Niko Sigur</t>
        </is>
      </c>
      <c r="D320" s="2" t="inlineStr">
        <is>
          <t>Médio</t>
        </is>
      </c>
      <c r="E320" s="8" t="n">
        <v>18</v>
      </c>
      <c r="F320" s="8" t="n">
        <v>1620</v>
      </c>
      <c r="G320" s="14" t="n">
        <v>16</v>
      </c>
      <c r="H320" s="15" t="n">
        <v>806</v>
      </c>
    </row>
    <row r="321">
      <c r="A321" s="1" t="n">
        <v>335</v>
      </c>
      <c r="B321" s="2" t="inlineStr">
        <is>
          <t>Canada</t>
        </is>
      </c>
      <c r="C321" s="2" t="inlineStr">
        <is>
          <t>Mathieu Choinière</t>
        </is>
      </c>
      <c r="D321" s="2" t="inlineStr">
        <is>
          <t>Médio</t>
        </is>
      </c>
      <c r="E321" s="6" t="n">
        <v>18</v>
      </c>
      <c r="F321" s="6" t="n">
        <v>1620</v>
      </c>
      <c r="G321" s="14" t="n">
        <v>14</v>
      </c>
      <c r="H321" s="15" t="n">
        <v>266</v>
      </c>
    </row>
    <row r="322">
      <c r="A322" s="1" t="n">
        <v>336</v>
      </c>
      <c r="B322" s="2" t="inlineStr">
        <is>
          <t>Canada</t>
        </is>
      </c>
      <c r="C322" s="2" t="inlineStr">
        <is>
          <t>Stephen Eustáquio</t>
        </is>
      </c>
      <c r="D322" s="2" t="inlineStr">
        <is>
          <t>Médio</t>
        </is>
      </c>
      <c r="E322" s="8" t="n">
        <v>18</v>
      </c>
      <c r="F322" s="8" t="n">
        <v>1620</v>
      </c>
      <c r="G322" s="14" t="n">
        <v>8</v>
      </c>
      <c r="H322" s="15" t="n">
        <v>472</v>
      </c>
    </row>
    <row r="323">
      <c r="A323" s="1" t="n">
        <v>337</v>
      </c>
      <c r="B323" s="2" t="inlineStr">
        <is>
          <t>Canada</t>
        </is>
      </c>
      <c r="C323" s="2" t="inlineStr">
        <is>
          <t>Ismaël Koné</t>
        </is>
      </c>
      <c r="D323" s="2" t="inlineStr">
        <is>
          <t>Médio</t>
        </is>
      </c>
      <c r="E323" s="6" t="n">
        <v>18</v>
      </c>
      <c r="F323" s="6" t="n">
        <v>1620</v>
      </c>
      <c r="G323" s="14" t="n">
        <v>13</v>
      </c>
      <c r="H323" s="15" t="n">
        <v>678</v>
      </c>
    </row>
    <row r="324">
      <c r="A324" s="1" t="n">
        <v>338</v>
      </c>
      <c r="B324" s="2" t="inlineStr">
        <is>
          <t>Canada</t>
        </is>
      </c>
      <c r="C324" s="2" t="inlineStr">
        <is>
          <t>Jonathan Osorio</t>
        </is>
      </c>
      <c r="D324" s="2" t="inlineStr">
        <is>
          <t>Médio</t>
        </is>
      </c>
      <c r="E324" s="8" t="n">
        <v>18</v>
      </c>
      <c r="F324" s="8" t="n">
        <v>1620</v>
      </c>
      <c r="G324" s="14" t="n">
        <v>9</v>
      </c>
      <c r="H324" s="15" t="n">
        <v>192</v>
      </c>
    </row>
    <row r="325">
      <c r="A325" s="1" t="n">
        <v>339</v>
      </c>
      <c r="B325" s="2" t="inlineStr">
        <is>
          <t>Canada</t>
        </is>
      </c>
      <c r="C325" s="2" t="inlineStr">
        <is>
          <t>Nathan Saliba</t>
        </is>
      </c>
      <c r="D325" s="2" t="inlineStr">
        <is>
          <t>Médio</t>
        </is>
      </c>
      <c r="E325" s="6" t="n">
        <v>18</v>
      </c>
      <c r="F325" s="6" t="n">
        <v>1620</v>
      </c>
      <c r="G325" s="14" t="n">
        <v>12</v>
      </c>
      <c r="H325" s="15" t="n">
        <v>403</v>
      </c>
    </row>
    <row r="326">
      <c r="A326" s="1" t="n">
        <v>340</v>
      </c>
      <c r="B326" s="2" t="inlineStr">
        <is>
          <t>Canada</t>
        </is>
      </c>
      <c r="C326" s="2" t="inlineStr">
        <is>
          <t>Marcelo Flores</t>
        </is>
      </c>
      <c r="D326" s="2" t="inlineStr">
        <is>
          <t>Médio</t>
        </is>
      </c>
      <c r="E326" s="8" t="n">
        <v>18</v>
      </c>
      <c r="F326" s="8" t="n">
        <v>1620</v>
      </c>
      <c r="G326" s="14" t="n"/>
      <c r="H326" s="15" t="n">
        <v>103</v>
      </c>
    </row>
    <row r="327">
      <c r="A327" s="1" t="n">
        <v>341</v>
      </c>
      <c r="B327" s="2" t="inlineStr">
        <is>
          <t>Canada</t>
        </is>
      </c>
      <c r="C327" s="2" t="inlineStr">
        <is>
          <t>Tajon Buchanan</t>
        </is>
      </c>
      <c r="D327" s="2" t="inlineStr">
        <is>
          <t>Avançado</t>
        </is>
      </c>
      <c r="E327" s="6" t="n">
        <v>18</v>
      </c>
      <c r="F327" s="6" t="n">
        <v>1620</v>
      </c>
      <c r="G327" s="14" t="n">
        <v>16</v>
      </c>
      <c r="H327" s="15" t="n">
        <v>667</v>
      </c>
    </row>
    <row r="328">
      <c r="A328" s="1" t="n">
        <v>342</v>
      </c>
      <c r="B328" s="2" t="inlineStr">
        <is>
          <t>Canada</t>
        </is>
      </c>
      <c r="C328" s="2" t="inlineStr">
        <is>
          <t>Cyle Larin</t>
        </is>
      </c>
      <c r="D328" s="2" t="inlineStr">
        <is>
          <t>Avançado</t>
        </is>
      </c>
      <c r="E328" s="8" t="n">
        <v>18</v>
      </c>
      <c r="F328" s="8" t="n">
        <v>1620</v>
      </c>
      <c r="G328" s="14" t="n">
        <v>11</v>
      </c>
      <c r="H328" s="15" t="n">
        <v>245</v>
      </c>
    </row>
    <row r="329">
      <c r="A329" s="1" t="n">
        <v>343</v>
      </c>
      <c r="B329" s="2" t="inlineStr">
        <is>
          <t>Canada</t>
        </is>
      </c>
      <c r="C329" s="2" t="inlineStr">
        <is>
          <t>Jonathan David</t>
        </is>
      </c>
      <c r="D329" s="2" t="inlineStr">
        <is>
          <t>Avançado</t>
        </is>
      </c>
      <c r="E329" s="6" t="n">
        <v>18</v>
      </c>
      <c r="F329" s="6" t="n">
        <v>1620</v>
      </c>
      <c r="G329" s="14" t="n">
        <v>17</v>
      </c>
      <c r="H329" s="15" t="n">
        <v>807</v>
      </c>
    </row>
    <row r="330">
      <c r="A330" s="1" t="n">
        <v>344</v>
      </c>
      <c r="B330" s="2" t="inlineStr">
        <is>
          <t>Canada</t>
        </is>
      </c>
      <c r="C330" s="2" t="inlineStr">
        <is>
          <t>Tani Oluwaseyi</t>
        </is>
      </c>
      <c r="D330" s="2" t="inlineStr">
        <is>
          <t>Avançado</t>
        </is>
      </c>
      <c r="E330" s="8" t="n">
        <v>18</v>
      </c>
      <c r="F330" s="8" t="n">
        <v>1620</v>
      </c>
      <c r="G330" s="14" t="n">
        <v>14</v>
      </c>
      <c r="H330" s="15" t="n">
        <v>490</v>
      </c>
    </row>
    <row r="331">
      <c r="A331" s="1" t="n">
        <v>345</v>
      </c>
      <c r="B331" s="2" t="inlineStr">
        <is>
          <t>Canada</t>
        </is>
      </c>
      <c r="C331" s="2" t="inlineStr">
        <is>
          <t>Promise David</t>
        </is>
      </c>
      <c r="D331" s="2" t="inlineStr">
        <is>
          <t>Avançado</t>
        </is>
      </c>
      <c r="E331" s="6" t="n">
        <v>18</v>
      </c>
      <c r="F331" s="6" t="n">
        <v>1620</v>
      </c>
      <c r="G331" s="14" t="n">
        <v>9</v>
      </c>
      <c r="H331" s="15" t="n">
        <v>111</v>
      </c>
    </row>
    <row r="332">
      <c r="A332" s="1" t="n">
        <v>346</v>
      </c>
      <c r="B332" s="2" t="inlineStr">
        <is>
          <t>Canada</t>
        </is>
      </c>
      <c r="C332" s="2" t="inlineStr">
        <is>
          <t>Liam Millar</t>
        </is>
      </c>
      <c r="D332" s="2" t="inlineStr">
        <is>
          <t>Avançado</t>
        </is>
      </c>
      <c r="E332" s="8" t="n">
        <v>18</v>
      </c>
      <c r="F332" s="8" t="n">
        <v>1620</v>
      </c>
      <c r="G332" s="14" t="n">
        <v>5</v>
      </c>
      <c r="H332" s="15" t="n">
        <v>253</v>
      </c>
    </row>
    <row r="333">
      <c r="A333" s="1" t="n">
        <v>347</v>
      </c>
      <c r="B333" s="2" t="inlineStr">
        <is>
          <t>Canada</t>
        </is>
      </c>
      <c r="C333" s="2" t="inlineStr">
        <is>
          <t>Jacob Shaffelburg</t>
        </is>
      </c>
      <c r="D333" s="2" t="inlineStr">
        <is>
          <t>Avançado</t>
        </is>
      </c>
      <c r="E333" s="6" t="n">
        <v>18</v>
      </c>
      <c r="F333" s="6" t="n">
        <v>1620</v>
      </c>
      <c r="G333" s="14" t="n">
        <v>11</v>
      </c>
      <c r="H333" s="15" t="n">
        <v>97</v>
      </c>
    </row>
    <row r="334">
      <c r="A334" s="1" t="n">
        <v>348</v>
      </c>
      <c r="B334" s="2" t="inlineStr">
        <is>
          <t>Canada</t>
        </is>
      </c>
      <c r="C334" s="2" t="inlineStr">
        <is>
          <t>Ali Ahmed</t>
        </is>
      </c>
      <c r="D334" s="2" t="inlineStr">
        <is>
          <t>Avançado</t>
        </is>
      </c>
      <c r="E334" s="8" t="n">
        <v>18</v>
      </c>
      <c r="F334" s="8" t="n">
        <v>1620</v>
      </c>
      <c r="G334" s="14" t="n">
        <v>12</v>
      </c>
      <c r="H334" s="15" t="n">
        <v>336</v>
      </c>
    </row>
    <row r="335">
      <c r="A335" s="1" t="n">
        <v>349</v>
      </c>
      <c r="B335" s="2" t="inlineStr">
        <is>
          <t>Qatar</t>
        </is>
      </c>
      <c r="C335" s="2" t="inlineStr">
        <is>
          <t>Mahmud Abunada</t>
        </is>
      </c>
      <c r="D335" s="2" t="inlineStr">
        <is>
          <t>Guarda Redes</t>
        </is>
      </c>
      <c r="E335" s="11" t="n">
        <v>14</v>
      </c>
      <c r="F335" s="11" t="n">
        <v>1260</v>
      </c>
      <c r="G335" s="11" t="n">
        <v>5</v>
      </c>
      <c r="H335" s="15" t="n">
        <v>404</v>
      </c>
    </row>
    <row r="336">
      <c r="A336" s="1" t="n">
        <v>350</v>
      </c>
      <c r="B336" s="2" t="inlineStr">
        <is>
          <t>Qatar</t>
        </is>
      </c>
      <c r="C336" s="2" t="inlineStr">
        <is>
          <t>Salah Zakaria</t>
        </is>
      </c>
      <c r="D336" s="2" t="inlineStr">
        <is>
          <t>Guarda Redes</t>
        </is>
      </c>
      <c r="E336" s="11" t="n">
        <v>14</v>
      </c>
      <c r="F336" s="11" t="n">
        <v>1260</v>
      </c>
      <c r="G336" s="11" t="n">
        <v>2</v>
      </c>
      <c r="H336" s="15" t="n">
        <v>180</v>
      </c>
    </row>
    <row r="337">
      <c r="A337" s="1" t="n">
        <v>351</v>
      </c>
      <c r="B337" s="2" t="inlineStr">
        <is>
          <t>Qatar</t>
        </is>
      </c>
      <c r="C337" s="2" t="inlineStr">
        <is>
          <t>Meshaal Barsham</t>
        </is>
      </c>
      <c r="D337" s="2" t="inlineStr">
        <is>
          <t>Guarda Redes</t>
        </is>
      </c>
      <c r="E337" s="11" t="n">
        <v>14</v>
      </c>
      <c r="F337" s="11" t="n">
        <v>1260</v>
      </c>
      <c r="G337" s="11" t="n">
        <v>7</v>
      </c>
      <c r="H337" s="15" t="n">
        <v>586</v>
      </c>
    </row>
    <row r="338">
      <c r="A338" s="1" t="n">
        <v>352</v>
      </c>
      <c r="B338" s="2" t="inlineStr">
        <is>
          <t>Qatar</t>
        </is>
      </c>
      <c r="C338" s="2" t="inlineStr">
        <is>
          <t>Pedro Ró-Ró</t>
        </is>
      </c>
      <c r="D338" s="2" t="inlineStr">
        <is>
          <t>Defesa</t>
        </is>
      </c>
      <c r="E338" s="11" t="n">
        <v>14</v>
      </c>
      <c r="F338" s="11" t="n">
        <v>1260</v>
      </c>
      <c r="G338" s="11" t="n">
        <v>7</v>
      </c>
      <c r="H338" s="15" t="n">
        <v>630</v>
      </c>
    </row>
    <row r="339">
      <c r="A339" s="1" t="n">
        <v>353</v>
      </c>
      <c r="B339" s="2" t="inlineStr">
        <is>
          <t>Qatar</t>
        </is>
      </c>
      <c r="C339" s="2" t="inlineStr">
        <is>
          <t>Ayoub Al Oui</t>
        </is>
      </c>
      <c r="D339" s="2" t="inlineStr">
        <is>
          <t>Defesa</t>
        </is>
      </c>
      <c r="E339" s="11" t="n">
        <v>14</v>
      </c>
      <c r="F339" s="11" t="n">
        <v>1260</v>
      </c>
      <c r="G339" s="11" t="n">
        <v>6</v>
      </c>
      <c r="H339" s="15" t="n">
        <v>430</v>
      </c>
    </row>
    <row r="340">
      <c r="A340" s="1" t="n">
        <v>354</v>
      </c>
      <c r="B340" s="2" t="inlineStr">
        <is>
          <t>Qatar</t>
        </is>
      </c>
      <c r="C340" s="2" t="inlineStr">
        <is>
          <t>Lucas Mendes</t>
        </is>
      </c>
      <c r="D340" s="2" t="inlineStr">
        <is>
          <t>Defesa</t>
        </is>
      </c>
      <c r="E340" s="11" t="n">
        <v>14</v>
      </c>
      <c r="F340" s="11" t="n">
        <v>1260</v>
      </c>
      <c r="G340" s="11" t="n">
        <v>9</v>
      </c>
      <c r="H340" s="15" t="n">
        <v>408</v>
      </c>
    </row>
    <row r="341">
      <c r="A341" s="1" t="n">
        <v>355</v>
      </c>
      <c r="B341" s="2" t="inlineStr">
        <is>
          <t>Qatar</t>
        </is>
      </c>
      <c r="C341" s="2" t="inlineStr">
        <is>
          <t>Issa Laye</t>
        </is>
      </c>
      <c r="D341" s="2" t="inlineStr">
        <is>
          <t>Defesa</t>
        </is>
      </c>
      <c r="E341" s="11" t="n">
        <v>14</v>
      </c>
      <c r="F341" s="11" t="n">
        <v>1260</v>
      </c>
      <c r="G341" s="11" t="n">
        <v>3</v>
      </c>
      <c r="H341" s="15" t="n">
        <v>168</v>
      </c>
    </row>
    <row r="342">
      <c r="A342" s="1" t="n">
        <v>356</v>
      </c>
      <c r="B342" s="2" t="inlineStr">
        <is>
          <t>Qatar</t>
        </is>
      </c>
      <c r="C342" s="2" t="inlineStr">
        <is>
          <t>Boualem Khoukhi</t>
        </is>
      </c>
      <c r="D342" s="2" t="inlineStr">
        <is>
          <t>Defesa</t>
        </is>
      </c>
      <c r="E342" s="11" t="n">
        <v>14</v>
      </c>
      <c r="F342" s="11" t="n">
        <v>1260</v>
      </c>
      <c r="G342" s="11" t="n">
        <v>5</v>
      </c>
      <c r="H342" s="15" t="n">
        <v>365</v>
      </c>
    </row>
    <row r="343">
      <c r="A343" s="1" t="n">
        <v>357</v>
      </c>
      <c r="B343" s="2" t="inlineStr">
        <is>
          <t>Qatar</t>
        </is>
      </c>
      <c r="C343" s="2" t="inlineStr">
        <is>
          <t>Al Hashmi Al Hussain</t>
        </is>
      </c>
      <c r="D343" s="2" t="inlineStr">
        <is>
          <t>Defesa</t>
        </is>
      </c>
      <c r="E343" s="11" t="n">
        <v>14</v>
      </c>
      <c r="F343" s="11" t="n">
        <v>1260</v>
      </c>
      <c r="G343" s="11" t="n">
        <v>6</v>
      </c>
      <c r="H343" s="15" t="n">
        <v>395</v>
      </c>
    </row>
    <row r="344">
      <c r="A344" s="1" t="n">
        <v>358</v>
      </c>
      <c r="B344" s="2" t="inlineStr">
        <is>
          <t>Qatar</t>
        </is>
      </c>
      <c r="C344" s="2" t="inlineStr">
        <is>
          <t>Homam Ahmed</t>
        </is>
      </c>
      <c r="D344" s="2" t="inlineStr">
        <is>
          <t>Defesa</t>
        </is>
      </c>
      <c r="E344" s="11" t="n">
        <v>14</v>
      </c>
      <c r="F344" s="11" t="n">
        <v>1260</v>
      </c>
      <c r="G344" s="11" t="n">
        <v>11</v>
      </c>
      <c r="H344" s="15" t="n">
        <v>759</v>
      </c>
    </row>
    <row r="345">
      <c r="A345" s="1" t="n">
        <v>359</v>
      </c>
      <c r="B345" s="2" t="inlineStr">
        <is>
          <t>Qatar</t>
        </is>
      </c>
      <c r="C345" s="2" t="inlineStr">
        <is>
          <t>Sultan Al-Brake</t>
        </is>
      </c>
      <c r="D345" s="2" t="inlineStr">
        <is>
          <t>Defesa</t>
        </is>
      </c>
      <c r="E345" s="11" t="n">
        <v>14</v>
      </c>
      <c r="F345" s="11" t="n">
        <v>1260</v>
      </c>
      <c r="G345" s="11" t="n">
        <v>7</v>
      </c>
      <c r="H345" s="15" t="n">
        <v>391</v>
      </c>
    </row>
    <row r="346">
      <c r="A346" s="1" t="n">
        <v>360</v>
      </c>
      <c r="B346" s="2" t="inlineStr">
        <is>
          <t>Qatar</t>
        </is>
      </c>
      <c r="C346" s="2" t="inlineStr">
        <is>
          <t>Jassem Gaber</t>
        </is>
      </c>
      <c r="D346" s="2" t="inlineStr">
        <is>
          <t>Médio</t>
        </is>
      </c>
      <c r="E346" s="11" t="n">
        <v>14</v>
      </c>
      <c r="F346" s="11" t="n">
        <v>1260</v>
      </c>
      <c r="G346" s="11" t="n">
        <v>4</v>
      </c>
      <c r="H346" s="15" t="n">
        <v>219</v>
      </c>
    </row>
    <row r="347">
      <c r="A347" s="1" t="n">
        <v>361</v>
      </c>
      <c r="B347" s="2" t="inlineStr">
        <is>
          <t>Qatar</t>
        </is>
      </c>
      <c r="C347" s="2" t="inlineStr">
        <is>
          <t>Karim Boudiaf</t>
        </is>
      </c>
      <c r="D347" s="2" t="inlineStr">
        <is>
          <t>Médio</t>
        </is>
      </c>
      <c r="E347" s="11" t="n">
        <v>14</v>
      </c>
      <c r="F347" s="11" t="n">
        <v>1260</v>
      </c>
      <c r="G347" s="11" t="n">
        <v>6</v>
      </c>
      <c r="H347" s="15" t="n">
        <v>391</v>
      </c>
    </row>
    <row r="348">
      <c r="A348" s="1" t="n">
        <v>362</v>
      </c>
      <c r="B348" s="2" t="inlineStr">
        <is>
          <t>Qatar</t>
        </is>
      </c>
      <c r="C348" s="2" t="inlineStr">
        <is>
          <t>Ahmed Fathy</t>
        </is>
      </c>
      <c r="D348" s="2" t="inlineStr">
        <is>
          <t>Médio</t>
        </is>
      </c>
      <c r="E348" s="11" t="n">
        <v>14</v>
      </c>
      <c r="F348" s="11" t="n">
        <v>1260</v>
      </c>
      <c r="G348" s="11" t="n">
        <v>11</v>
      </c>
      <c r="H348" s="15" t="n">
        <v>604</v>
      </c>
    </row>
    <row r="349">
      <c r="A349" s="1" t="n">
        <v>363</v>
      </c>
      <c r="B349" s="2" t="inlineStr">
        <is>
          <t>Qatar</t>
        </is>
      </c>
      <c r="C349" s="2" t="inlineStr">
        <is>
          <t>Assim Madibo</t>
        </is>
      </c>
      <c r="D349" s="2" t="inlineStr">
        <is>
          <t>Médio</t>
        </is>
      </c>
      <c r="E349" s="11" t="n">
        <v>14</v>
      </c>
      <c r="F349" s="11" t="n">
        <v>1260</v>
      </c>
      <c r="G349" s="11" t="n">
        <v>8</v>
      </c>
      <c r="H349" s="15" t="n">
        <v>590</v>
      </c>
    </row>
    <row r="350">
      <c r="A350" s="1" t="n">
        <v>364</v>
      </c>
      <c r="B350" s="2" t="inlineStr">
        <is>
          <t>Qatar</t>
        </is>
      </c>
      <c r="C350" s="2" t="inlineStr">
        <is>
          <t>Mohamed Almanai</t>
        </is>
      </c>
      <c r="D350" s="2" t="inlineStr">
        <is>
          <t>Médio</t>
        </is>
      </c>
      <c r="E350" s="11" t="n">
        <v>14</v>
      </c>
      <c r="F350" s="11" t="n">
        <v>1260</v>
      </c>
      <c r="G350" s="11" t="n">
        <v>10</v>
      </c>
      <c r="H350" s="15" t="n">
        <v>525</v>
      </c>
    </row>
    <row r="351">
      <c r="A351" s="1" t="n">
        <v>365</v>
      </c>
      <c r="B351" s="2" t="inlineStr">
        <is>
          <t>Qatar</t>
        </is>
      </c>
      <c r="C351" s="2" t="inlineStr">
        <is>
          <t>Abdulaziz Hatem</t>
        </is>
      </c>
      <c r="D351" s="2" t="inlineStr">
        <is>
          <t>Médio</t>
        </is>
      </c>
      <c r="E351" s="11" t="n">
        <v>14</v>
      </c>
      <c r="F351" s="11" t="n">
        <v>1260</v>
      </c>
      <c r="G351" s="11" t="n">
        <v>6</v>
      </c>
      <c r="H351" s="15" t="n">
        <v>369</v>
      </c>
    </row>
    <row r="352">
      <c r="A352" s="1" t="n">
        <v>366</v>
      </c>
      <c r="B352" s="2" t="inlineStr">
        <is>
          <t>Qatar</t>
        </is>
      </c>
      <c r="C352" s="2" t="inlineStr">
        <is>
          <t>Hassan Al Haydos</t>
        </is>
      </c>
      <c r="D352" s="2" t="inlineStr">
        <is>
          <t>Avançado</t>
        </is>
      </c>
      <c r="E352" s="11" t="n">
        <v>14</v>
      </c>
      <c r="F352" s="11" t="n">
        <v>1260</v>
      </c>
      <c r="G352" s="11" t="n">
        <v>2</v>
      </c>
      <c r="H352" s="15" t="n">
        <v>14</v>
      </c>
    </row>
    <row r="353">
      <c r="A353" s="1" t="n">
        <v>367</v>
      </c>
      <c r="B353" s="2" t="inlineStr">
        <is>
          <t>Qatar</t>
        </is>
      </c>
      <c r="C353" s="2" t="inlineStr">
        <is>
          <t>Yusuf Abdurisag</t>
        </is>
      </c>
      <c r="D353" s="2" t="inlineStr">
        <is>
          <t>Avançado</t>
        </is>
      </c>
      <c r="E353" s="11" t="n">
        <v>14</v>
      </c>
      <c r="F353" s="11" t="n">
        <v>1260</v>
      </c>
      <c r="G353" s="11" t="n">
        <v>4</v>
      </c>
      <c r="H353" s="15" t="n">
        <v>202</v>
      </c>
    </row>
    <row r="354">
      <c r="A354" s="1" t="n">
        <v>368</v>
      </c>
      <c r="B354" s="2" t="inlineStr">
        <is>
          <t>Qatar</t>
        </is>
      </c>
      <c r="C354" s="2" t="inlineStr">
        <is>
          <t>Ahmed Al Ganehi</t>
        </is>
      </c>
      <c r="D354" s="2" t="inlineStr">
        <is>
          <t>Avançado</t>
        </is>
      </c>
      <c r="E354" s="11" t="n">
        <v>14</v>
      </c>
      <c r="F354" s="11" t="n">
        <v>1260</v>
      </c>
      <c r="G354" s="11" t="n">
        <v>5</v>
      </c>
      <c r="H354" s="15" t="n">
        <v>299</v>
      </c>
    </row>
    <row r="355">
      <c r="A355" s="1" t="n">
        <v>369</v>
      </c>
      <c r="B355" s="2" t="inlineStr">
        <is>
          <t>Qatar</t>
        </is>
      </c>
      <c r="C355" s="2" t="inlineStr">
        <is>
          <t>Ahmed Alaaeldin</t>
        </is>
      </c>
      <c r="D355" s="2" t="inlineStr">
        <is>
          <t>Avançado</t>
        </is>
      </c>
      <c r="E355" s="11" t="n">
        <v>14</v>
      </c>
      <c r="F355" s="11" t="n">
        <v>1260</v>
      </c>
      <c r="G355" s="11" t="n">
        <v>8</v>
      </c>
      <c r="H355" s="15" t="n">
        <v>298</v>
      </c>
    </row>
    <row r="356">
      <c r="A356" s="1" t="n">
        <v>370</v>
      </c>
      <c r="B356" s="2" t="inlineStr">
        <is>
          <t>Qatar</t>
        </is>
      </c>
      <c r="C356" s="2" t="inlineStr">
        <is>
          <t>Mohamed Muntari</t>
        </is>
      </c>
      <c r="D356" s="2" t="inlineStr">
        <is>
          <t>Avançado</t>
        </is>
      </c>
      <c r="E356" s="11" t="n">
        <v>14</v>
      </c>
      <c r="F356" s="11" t="n">
        <v>1260</v>
      </c>
      <c r="G356" s="11" t="n">
        <v>7</v>
      </c>
      <c r="H356" s="15" t="n">
        <v>204</v>
      </c>
    </row>
    <row r="357">
      <c r="A357" s="1" t="n">
        <v>371</v>
      </c>
      <c r="B357" s="2" t="inlineStr">
        <is>
          <t>Qatar</t>
        </is>
      </c>
      <c r="C357" s="2" t="inlineStr">
        <is>
          <t>Almoez Ali</t>
        </is>
      </c>
      <c r="D357" s="2" t="inlineStr">
        <is>
          <t>Avançado</t>
        </is>
      </c>
      <c r="E357" s="11" t="n">
        <v>14</v>
      </c>
      <c r="F357" s="11" t="n">
        <v>1260</v>
      </c>
      <c r="G357" s="11" t="n">
        <v>5</v>
      </c>
      <c r="H357" s="15" t="n">
        <v>271</v>
      </c>
    </row>
    <row r="358">
      <c r="A358" s="1" t="n">
        <v>372</v>
      </c>
      <c r="B358" s="2" t="inlineStr">
        <is>
          <t>Qatar</t>
        </is>
      </c>
      <c r="C358" s="2" t="inlineStr">
        <is>
          <t>Edmilson Júnior</t>
        </is>
      </c>
      <c r="D358" s="2" t="inlineStr">
        <is>
          <t>Avançado</t>
        </is>
      </c>
      <c r="E358" s="11" t="n">
        <v>14</v>
      </c>
      <c r="F358" s="11" t="n">
        <v>1260</v>
      </c>
      <c r="G358" s="11" t="n">
        <v>12</v>
      </c>
      <c r="H358" s="15" t="n">
        <v>673</v>
      </c>
    </row>
    <row r="359">
      <c r="A359" s="1" t="n">
        <v>373</v>
      </c>
      <c r="B359" s="2" t="inlineStr">
        <is>
          <t>Qatar</t>
        </is>
      </c>
      <c r="C359" s="2" t="inlineStr">
        <is>
          <t>Akram Afif</t>
        </is>
      </c>
      <c r="D359" s="2" t="inlineStr">
        <is>
          <t>Avançado</t>
        </is>
      </c>
      <c r="E359" s="11" t="n">
        <v>14</v>
      </c>
      <c r="F359" s="11" t="n">
        <v>1260</v>
      </c>
      <c r="G359" s="11" t="n">
        <v>12</v>
      </c>
      <c r="H359" s="15" t="n">
        <v>984</v>
      </c>
    </row>
    <row r="360">
      <c r="A360" s="1" t="n">
        <v>374</v>
      </c>
      <c r="B360" s="2" t="inlineStr">
        <is>
          <t>Qatar</t>
        </is>
      </c>
      <c r="C360" s="2" t="inlineStr">
        <is>
          <t>Tashin Jamshid</t>
        </is>
      </c>
      <c r="D360" s="2" t="inlineStr">
        <is>
          <t>Avançado</t>
        </is>
      </c>
      <c r="E360" s="11" t="n">
        <v>14</v>
      </c>
      <c r="F360" s="11" t="n">
        <v>1260</v>
      </c>
      <c r="G360" s="11" t="n">
        <v>3</v>
      </c>
      <c r="H360" s="15" t="n">
        <v>56</v>
      </c>
    </row>
    <row r="361">
      <c r="A361" s="1" t="n">
        <v>375</v>
      </c>
      <c r="B361" s="2" t="inlineStr">
        <is>
          <t>Czechia</t>
        </is>
      </c>
      <c r="C361" s="2" t="inlineStr">
        <is>
          <t>Matej Kovár</t>
        </is>
      </c>
      <c r="D361" s="2" t="inlineStr">
        <is>
          <t>Guarda Redes</t>
        </is>
      </c>
      <c r="E361" s="12" t="n">
        <v>15</v>
      </c>
      <c r="F361" s="12" t="n">
        <v>1410</v>
      </c>
      <c r="G361" s="12" t="n">
        <v>12</v>
      </c>
      <c r="H361" s="15" t="n">
        <v>375</v>
      </c>
    </row>
    <row r="362">
      <c r="A362" s="1" t="n">
        <v>376</v>
      </c>
      <c r="B362" s="2" t="inlineStr">
        <is>
          <t>Czechia</t>
        </is>
      </c>
      <c r="C362" s="2" t="inlineStr">
        <is>
          <t>Jindrich Stanek</t>
        </is>
      </c>
      <c r="D362" s="2" t="inlineStr">
        <is>
          <t>Guarda Redes</t>
        </is>
      </c>
      <c r="E362" s="12" t="n">
        <v>15</v>
      </c>
      <c r="F362" s="12" t="n">
        <v>1410</v>
      </c>
      <c r="G362" s="12" t="n">
        <v>1</v>
      </c>
      <c r="H362" s="15" t="n">
        <v>0</v>
      </c>
    </row>
    <row r="363">
      <c r="A363" s="1" t="n">
        <v>377</v>
      </c>
      <c r="B363" s="2" t="inlineStr">
        <is>
          <t>Czechia</t>
        </is>
      </c>
      <c r="C363" s="2" t="inlineStr">
        <is>
          <t>Lukas Hornicek</t>
        </is>
      </c>
      <c r="D363" s="2" t="inlineStr">
        <is>
          <t>Guarda Redes</t>
        </is>
      </c>
      <c r="E363" s="12" t="n">
        <v>15</v>
      </c>
      <c r="F363" s="12" t="n">
        <v>1410</v>
      </c>
      <c r="G363" s="12" t="n">
        <v>1</v>
      </c>
      <c r="H363" s="15" t="n">
        <v>90</v>
      </c>
    </row>
    <row r="364">
      <c r="A364" s="1" t="n">
        <v>378</v>
      </c>
      <c r="B364" s="2" t="inlineStr">
        <is>
          <t>Czechia</t>
        </is>
      </c>
      <c r="C364" s="2" t="inlineStr">
        <is>
          <t>Vladimír Coufal</t>
        </is>
      </c>
      <c r="D364" s="2" t="inlineStr">
        <is>
          <t>Defesa</t>
        </is>
      </c>
      <c r="E364" s="12" t="n">
        <v>15</v>
      </c>
      <c r="F364" s="12" t="n">
        <v>1410</v>
      </c>
      <c r="G364" s="12" t="n">
        <v>12</v>
      </c>
      <c r="H364" s="15" t="n">
        <v>355</v>
      </c>
    </row>
    <row r="365">
      <c r="A365" s="1" t="n">
        <v>379</v>
      </c>
      <c r="B365" s="2" t="inlineStr">
        <is>
          <t>Czechia</t>
        </is>
      </c>
      <c r="C365" s="2" t="inlineStr">
        <is>
          <t>David Doudera</t>
        </is>
      </c>
      <c r="D365" s="2" t="inlineStr">
        <is>
          <t>Defesa</t>
        </is>
      </c>
      <c r="E365" s="12" t="n">
        <v>15</v>
      </c>
      <c r="F365" s="12" t="n">
        <v>1410</v>
      </c>
      <c r="G365" s="12" t="n">
        <v>7</v>
      </c>
      <c r="H365" s="15" t="n">
        <v>100</v>
      </c>
    </row>
    <row r="366">
      <c r="A366" s="1" t="n">
        <v>380</v>
      </c>
      <c r="B366" s="2" t="inlineStr">
        <is>
          <t>Czechia</t>
        </is>
      </c>
      <c r="C366" s="2" t="inlineStr">
        <is>
          <t>David Zima</t>
        </is>
      </c>
      <c r="D366" s="2" t="inlineStr">
        <is>
          <t>Defesa</t>
        </is>
      </c>
      <c r="E366" s="12" t="n">
        <v>15</v>
      </c>
      <c r="F366" s="12" t="n">
        <v>1410</v>
      </c>
      <c r="G366" s="12" t="n">
        <v>3</v>
      </c>
      <c r="H366" s="15" t="n">
        <v>28</v>
      </c>
    </row>
    <row r="367">
      <c r="A367" s="1" t="n">
        <v>381</v>
      </c>
      <c r="B367" s="2" t="inlineStr">
        <is>
          <t>Czechia</t>
        </is>
      </c>
      <c r="C367" s="2" t="inlineStr">
        <is>
          <t>Tomás Holes</t>
        </is>
      </c>
      <c r="D367" s="2" t="inlineStr">
        <is>
          <t>Defesa</t>
        </is>
      </c>
      <c r="E367" s="12" t="n">
        <v>15</v>
      </c>
      <c r="F367" s="12" t="n">
        <v>1410</v>
      </c>
      <c r="G367" s="12" t="n">
        <v>7</v>
      </c>
      <c r="H367" s="15" t="n">
        <v>135</v>
      </c>
    </row>
    <row r="368">
      <c r="A368" s="1" t="n">
        <v>382</v>
      </c>
      <c r="B368" s="2" t="inlineStr">
        <is>
          <t>Czechia</t>
        </is>
      </c>
      <c r="C368" s="2" t="inlineStr">
        <is>
          <t>Robin Hranác</t>
        </is>
      </c>
      <c r="D368" s="2" t="inlineStr">
        <is>
          <t>Defesa</t>
        </is>
      </c>
      <c r="E368" s="12" t="n">
        <v>15</v>
      </c>
      <c r="F368" s="12" t="n">
        <v>1410</v>
      </c>
      <c r="G368" s="12" t="n">
        <v>8</v>
      </c>
      <c r="H368" s="15" t="n">
        <v>482</v>
      </c>
    </row>
    <row r="369">
      <c r="A369" s="1" t="n">
        <v>383</v>
      </c>
      <c r="B369" s="2" t="inlineStr">
        <is>
          <t>Czechia</t>
        </is>
      </c>
      <c r="C369" s="2" t="inlineStr">
        <is>
          <t>Stepán Chaloupek</t>
        </is>
      </c>
      <c r="D369" s="2" t="inlineStr">
        <is>
          <t>Defesa</t>
        </is>
      </c>
      <c r="E369" s="12" t="n">
        <v>15</v>
      </c>
      <c r="F369" s="12" t="n">
        <v>1410</v>
      </c>
      <c r="G369" s="12" t="n">
        <v>6</v>
      </c>
      <c r="H369" s="15" t="n">
        <v>314</v>
      </c>
    </row>
    <row r="370">
      <c r="A370" s="1" t="n">
        <v>384</v>
      </c>
      <c r="B370" s="2" t="inlineStr">
        <is>
          <t>Czechia</t>
        </is>
      </c>
      <c r="C370" s="2" t="inlineStr">
        <is>
          <t>Ladislav Krejci</t>
        </is>
      </c>
      <c r="D370" s="2" t="inlineStr">
        <is>
          <t>Defesa</t>
        </is>
      </c>
      <c r="E370" s="12" t="n">
        <v>15</v>
      </c>
      <c r="F370" s="12" t="n">
        <v>1410</v>
      </c>
      <c r="G370" s="12" t="n">
        <v>12</v>
      </c>
      <c r="H370" s="15" t="n">
        <v>330</v>
      </c>
    </row>
    <row r="371">
      <c r="A371" s="1" t="n">
        <v>385</v>
      </c>
      <c r="B371" s="2" t="inlineStr">
        <is>
          <t>Czechia</t>
        </is>
      </c>
      <c r="C371" s="2" t="inlineStr">
        <is>
          <t>Jaroslav Zeleny</t>
        </is>
      </c>
      <c r="D371" s="2" t="inlineStr">
        <is>
          <t>Defesa</t>
        </is>
      </c>
      <c r="E371" s="12" t="n">
        <v>15</v>
      </c>
      <c r="F371" s="12" t="n">
        <v>1410</v>
      </c>
      <c r="G371" s="12" t="n">
        <v>12</v>
      </c>
      <c r="H371" s="15" t="n">
        <v>271</v>
      </c>
    </row>
    <row r="372">
      <c r="A372" s="1" t="n">
        <v>386</v>
      </c>
      <c r="B372" s="2" t="inlineStr">
        <is>
          <t>Czechia</t>
        </is>
      </c>
      <c r="C372" s="2" t="inlineStr">
        <is>
          <t>David Jurásek</t>
        </is>
      </c>
      <c r="D372" s="2" t="inlineStr">
        <is>
          <t>Defesa</t>
        </is>
      </c>
      <c r="E372" s="12" t="n">
        <v>15</v>
      </c>
      <c r="F372" s="12" t="n">
        <v>1410</v>
      </c>
      <c r="G372" s="12" t="n">
        <v>7</v>
      </c>
      <c r="H372" s="15" t="n">
        <v>316</v>
      </c>
    </row>
    <row r="373">
      <c r="A373" s="1" t="n">
        <v>387</v>
      </c>
      <c r="B373" s="2" t="inlineStr">
        <is>
          <t>Czechia</t>
        </is>
      </c>
      <c r="C373" s="2" t="inlineStr">
        <is>
          <t>Lukás Cerv</t>
        </is>
      </c>
      <c r="D373" s="2" t="inlineStr">
        <is>
          <t>Médio</t>
        </is>
      </c>
      <c r="E373" s="12" t="n">
        <v>15</v>
      </c>
      <c r="F373" s="12" t="n">
        <v>1410</v>
      </c>
      <c r="G373" s="12" t="n">
        <v>11</v>
      </c>
      <c r="H373" s="15" t="n">
        <v>146</v>
      </c>
    </row>
    <row r="374">
      <c r="A374" s="1" t="n">
        <v>388</v>
      </c>
      <c r="B374" s="2" t="inlineStr">
        <is>
          <t>Czechia</t>
        </is>
      </c>
      <c r="C374" s="2" t="inlineStr">
        <is>
          <t>Tomás Soucek</t>
        </is>
      </c>
      <c r="D374" s="2" t="inlineStr">
        <is>
          <t>Médio</t>
        </is>
      </c>
      <c r="E374" s="12" t="n">
        <v>15</v>
      </c>
      <c r="F374" s="12" t="n">
        <v>1410</v>
      </c>
      <c r="G374" s="12" t="n">
        <v>14</v>
      </c>
      <c r="H374" s="15" t="n">
        <v>336</v>
      </c>
    </row>
    <row r="375">
      <c r="A375" s="1" t="n">
        <v>389</v>
      </c>
      <c r="B375" s="2" t="inlineStr">
        <is>
          <t>Czechia</t>
        </is>
      </c>
      <c r="C375" s="2" t="inlineStr">
        <is>
          <t>Vladimir Darida</t>
        </is>
      </c>
      <c r="D375" s="2" t="inlineStr">
        <is>
          <t>Médio</t>
        </is>
      </c>
      <c r="E375" s="12" t="n">
        <v>15</v>
      </c>
      <c r="F375" s="12" t="n">
        <v>1410</v>
      </c>
      <c r="G375" s="12" t="n">
        <v>3</v>
      </c>
      <c r="H375" s="15" t="n">
        <v>150</v>
      </c>
    </row>
    <row r="376">
      <c r="A376" s="1" t="n">
        <v>390</v>
      </c>
      <c r="B376" s="2" t="inlineStr">
        <is>
          <t>Czechia</t>
        </is>
      </c>
      <c r="C376" s="2" t="inlineStr">
        <is>
          <t>Michal Sadílek</t>
        </is>
      </c>
      <c r="D376" s="2" t="inlineStr">
        <is>
          <t>Médio</t>
        </is>
      </c>
      <c r="E376" s="12" t="n">
        <v>15</v>
      </c>
      <c r="F376" s="12" t="n">
        <v>1410</v>
      </c>
      <c r="G376" s="12" t="n">
        <v>12</v>
      </c>
      <c r="H376" s="15" t="n">
        <v>316</v>
      </c>
    </row>
    <row r="377">
      <c r="A377" s="1" t="n">
        <v>391</v>
      </c>
      <c r="B377" s="2" t="inlineStr">
        <is>
          <t>Czechia</t>
        </is>
      </c>
      <c r="C377" s="2" t="inlineStr">
        <is>
          <t>Alexandr Sojka</t>
        </is>
      </c>
      <c r="D377" s="2" t="inlineStr">
        <is>
          <t>Médio</t>
        </is>
      </c>
      <c r="E377" s="12" t="n">
        <v>15</v>
      </c>
      <c r="F377" s="12" t="n">
        <v>1410</v>
      </c>
      <c r="G377" s="12" t="n">
        <v>3</v>
      </c>
      <c r="H377" s="15" t="n">
        <v>118</v>
      </c>
    </row>
    <row r="378">
      <c r="A378" s="1" t="n">
        <v>392</v>
      </c>
      <c r="B378" s="2" t="inlineStr">
        <is>
          <t>Czechia</t>
        </is>
      </c>
      <c r="C378" s="2" t="inlineStr">
        <is>
          <t>Hugo Sochurek</t>
        </is>
      </c>
      <c r="D378" s="2" t="inlineStr">
        <is>
          <t>Médio</t>
        </is>
      </c>
      <c r="E378" s="12" t="n">
        <v>15</v>
      </c>
      <c r="F378" s="12" t="n">
        <v>1410</v>
      </c>
      <c r="G378" s="12" t="n">
        <v>1</v>
      </c>
      <c r="H378" s="15" t="n">
        <v>45</v>
      </c>
    </row>
    <row r="379">
      <c r="A379" s="1" t="n">
        <v>393</v>
      </c>
      <c r="B379" s="2" t="inlineStr">
        <is>
          <t>Czechia</t>
        </is>
      </c>
      <c r="C379" s="2" t="inlineStr">
        <is>
          <t>Pavel Sulc</t>
        </is>
      </c>
      <c r="D379" s="2" t="inlineStr">
        <is>
          <t>Médio</t>
        </is>
      </c>
      <c r="E379" s="12" t="n">
        <v>15</v>
      </c>
      <c r="F379" s="12" t="n">
        <v>1410</v>
      </c>
      <c r="G379" s="12" t="n">
        <v>12</v>
      </c>
      <c r="H379" s="15" t="n">
        <v>286</v>
      </c>
    </row>
    <row r="380">
      <c r="A380" s="1" t="n">
        <v>394</v>
      </c>
      <c r="B380" s="2" t="inlineStr">
        <is>
          <t>Czechia</t>
        </is>
      </c>
      <c r="C380" s="2" t="inlineStr">
        <is>
          <t>Denis Visinský</t>
        </is>
      </c>
      <c r="D380" s="2" t="inlineStr">
        <is>
          <t>Médio</t>
        </is>
      </c>
      <c r="E380" s="12" t="n">
        <v>15</v>
      </c>
      <c r="F380" s="12" t="n">
        <v>1410</v>
      </c>
      <c r="G380" s="12" t="n">
        <v>2</v>
      </c>
      <c r="H380" s="15" t="n">
        <v>73</v>
      </c>
    </row>
    <row r="381">
      <c r="A381" s="1" t="n">
        <v>395</v>
      </c>
      <c r="B381" s="2" t="inlineStr">
        <is>
          <t>Czechia</t>
        </is>
      </c>
      <c r="C381" s="2" t="inlineStr">
        <is>
          <t>Adam Hlozek</t>
        </is>
      </c>
      <c r="D381" s="2" t="inlineStr">
        <is>
          <t>Avançado</t>
        </is>
      </c>
      <c r="E381" s="12" t="n">
        <v>15</v>
      </c>
      <c r="F381" s="12" t="n">
        <v>1410</v>
      </c>
      <c r="G381" s="12" t="n">
        <v>4</v>
      </c>
      <c r="H381" s="15" t="n">
        <v>90</v>
      </c>
    </row>
    <row r="382">
      <c r="A382" s="1" t="n">
        <v>396</v>
      </c>
      <c r="B382" s="2" t="inlineStr">
        <is>
          <t>Czechia</t>
        </is>
      </c>
      <c r="C382" s="2" t="inlineStr">
        <is>
          <t>Patrik Schick</t>
        </is>
      </c>
      <c r="D382" s="2" t="inlineStr">
        <is>
          <t>Avançado</t>
        </is>
      </c>
      <c r="E382" s="12" t="n">
        <v>15</v>
      </c>
      <c r="F382" s="12" t="n">
        <v>1410</v>
      </c>
      <c r="G382" s="12" t="n">
        <v>12</v>
      </c>
      <c r="H382" s="15" t="n">
        <v>325</v>
      </c>
    </row>
    <row r="383">
      <c r="A383" s="1" t="n">
        <v>397</v>
      </c>
      <c r="B383" s="2" t="inlineStr">
        <is>
          <t>Czechia</t>
        </is>
      </c>
      <c r="C383" s="2" t="inlineStr">
        <is>
          <t>Jan Kuchta</t>
        </is>
      </c>
      <c r="D383" s="2" t="inlineStr">
        <is>
          <t>Avançado</t>
        </is>
      </c>
      <c r="E383" s="12" t="n">
        <v>15</v>
      </c>
      <c r="F383" s="12" t="n">
        <v>1410</v>
      </c>
      <c r="G383" s="12" t="n">
        <v>4</v>
      </c>
      <c r="H383" s="15" t="n">
        <v>67</v>
      </c>
    </row>
    <row r="384">
      <c r="A384" s="1" t="n">
        <v>398</v>
      </c>
      <c r="B384" s="2" t="inlineStr">
        <is>
          <t>Czechia</t>
        </is>
      </c>
      <c r="C384" s="2" t="inlineStr">
        <is>
          <t>Mojmir Chytil</t>
        </is>
      </c>
      <c r="D384" s="2" t="inlineStr">
        <is>
          <t>Avançado</t>
        </is>
      </c>
      <c r="E384" s="12" t="n">
        <v>15</v>
      </c>
      <c r="F384" s="12" t="n">
        <v>1410</v>
      </c>
      <c r="G384" s="12" t="n">
        <v>5</v>
      </c>
      <c r="H384" s="15" t="n">
        <v>167</v>
      </c>
    </row>
    <row r="385">
      <c r="A385" s="1" t="n">
        <v>399</v>
      </c>
      <c r="B385" s="2" t="inlineStr">
        <is>
          <t>Czechia</t>
        </is>
      </c>
      <c r="C385" s="2" t="inlineStr">
        <is>
          <t>Tomás Chory</t>
        </is>
      </c>
      <c r="D385" s="2" t="inlineStr">
        <is>
          <t>Avançado</t>
        </is>
      </c>
      <c r="E385" s="12" t="n">
        <v>15</v>
      </c>
      <c r="F385" s="12" t="n">
        <v>1410</v>
      </c>
      <c r="G385" s="12" t="n">
        <v>12</v>
      </c>
      <c r="H385" s="15" t="n">
        <v>176</v>
      </c>
    </row>
    <row r="386">
      <c r="A386" s="1" t="n">
        <v>400</v>
      </c>
      <c r="B386" s="2" t="inlineStr">
        <is>
          <t>Czechia</t>
        </is>
      </c>
      <c r="C386" s="2" t="inlineStr">
        <is>
          <t>Lukas Provod</t>
        </is>
      </c>
      <c r="D386" s="2" t="inlineStr">
        <is>
          <t>Avançado</t>
        </is>
      </c>
      <c r="E386" s="12" t="n">
        <v>15</v>
      </c>
      <c r="F386" s="12" t="n">
        <v>1410</v>
      </c>
      <c r="G386" s="12" t="n">
        <v>1</v>
      </c>
      <c r="H386" s="15" t="n">
        <v>250</v>
      </c>
    </row>
    <row r="387">
      <c r="A387" s="1" t="n">
        <v>401</v>
      </c>
      <c r="B387" s="2" t="inlineStr">
        <is>
          <t>Colombia</t>
        </is>
      </c>
      <c r="C387" s="2" t="inlineStr">
        <is>
          <t>David Ospina</t>
        </is>
      </c>
      <c r="D387" s="2" t="inlineStr">
        <is>
          <t>Guarda Redes</t>
        </is>
      </c>
      <c r="E387" s="12" t="n">
        <v>15</v>
      </c>
      <c r="F387" s="12" t="n">
        <v>1410</v>
      </c>
      <c r="G387" s="12" t="n">
        <v>2</v>
      </c>
      <c r="H387" s="15" t="n">
        <v>106</v>
      </c>
    </row>
    <row r="388">
      <c r="A388" s="1" t="n">
        <v>402</v>
      </c>
      <c r="B388" s="2" t="inlineStr">
        <is>
          <t>Colombia</t>
        </is>
      </c>
      <c r="C388" s="2" t="inlineStr">
        <is>
          <t>Camilo Vargas</t>
        </is>
      </c>
      <c r="D388" s="2" t="inlineStr">
        <is>
          <t>Guarda Redes</t>
        </is>
      </c>
      <c r="E388" s="12" t="n">
        <v>15</v>
      </c>
      <c r="F388" s="12" t="n">
        <v>1410</v>
      </c>
      <c r="G388" s="12" t="n">
        <v>2</v>
      </c>
      <c r="H388" s="15" t="n">
        <v>344</v>
      </c>
    </row>
    <row r="389">
      <c r="A389" s="1" t="n">
        <v>403</v>
      </c>
      <c r="B389" s="2" t="inlineStr">
        <is>
          <t>Colombia</t>
        </is>
      </c>
      <c r="C389" s="2" t="inlineStr">
        <is>
          <t>Alvaro Montero</t>
        </is>
      </c>
      <c r="D389" s="2" t="inlineStr">
        <is>
          <t>Guarda Redes</t>
        </is>
      </c>
      <c r="E389" s="12" t="n">
        <v>15</v>
      </c>
      <c r="F389" s="12" t="n">
        <v>1410</v>
      </c>
      <c r="G389" s="12" t="n">
        <v>1</v>
      </c>
      <c r="H389" s="15" t="n">
        <v>270</v>
      </c>
    </row>
    <row r="390">
      <c r="A390" s="1" t="n">
        <v>404</v>
      </c>
      <c r="B390" s="2" t="inlineStr">
        <is>
          <t>Colombia</t>
        </is>
      </c>
      <c r="C390" s="2" t="inlineStr">
        <is>
          <t>Daniel Muñoz</t>
        </is>
      </c>
      <c r="D390" s="2" t="inlineStr">
        <is>
          <t>Defesa</t>
        </is>
      </c>
      <c r="E390" s="12" t="n">
        <v>15</v>
      </c>
      <c r="F390" s="12" t="n">
        <v>1410</v>
      </c>
      <c r="G390" s="12" t="n">
        <v>1</v>
      </c>
      <c r="H390" s="15" t="n">
        <v>297</v>
      </c>
    </row>
    <row r="391">
      <c r="A391" s="1" t="n">
        <v>405</v>
      </c>
      <c r="B391" s="2" t="inlineStr">
        <is>
          <t>Colombia</t>
        </is>
      </c>
      <c r="C391" s="2" t="inlineStr">
        <is>
          <t>Jhon Lucumí</t>
        </is>
      </c>
      <c r="D391" s="2" t="inlineStr">
        <is>
          <t>Defesa</t>
        </is>
      </c>
      <c r="E391" s="12" t="n">
        <v>15</v>
      </c>
      <c r="F391" s="12" t="n">
        <v>1410</v>
      </c>
      <c r="G391" s="12" t="n">
        <v>1</v>
      </c>
      <c r="H391" s="15" t="n">
        <v>525</v>
      </c>
    </row>
    <row r="392">
      <c r="A392" s="1" t="n">
        <v>406</v>
      </c>
      <c r="B392" s="2" t="inlineStr">
        <is>
          <t>Colombia</t>
        </is>
      </c>
      <c r="C392" s="2" t="inlineStr">
        <is>
          <t>Santiago Arias</t>
        </is>
      </c>
      <c r="D392" s="2" t="inlineStr">
        <is>
          <t>Defesa</t>
        </is>
      </c>
      <c r="E392" s="12" t="n">
        <v>15</v>
      </c>
      <c r="F392" s="12" t="n">
        <v>1410</v>
      </c>
      <c r="G392" s="12" t="n">
        <v>3</v>
      </c>
      <c r="H392" s="15" t="n">
        <v>333</v>
      </c>
    </row>
    <row r="393">
      <c r="A393" s="1" t="n">
        <v>407</v>
      </c>
      <c r="B393" s="2" t="inlineStr">
        <is>
          <t>Colombia</t>
        </is>
      </c>
      <c r="C393" s="2" t="inlineStr">
        <is>
          <t>Yerry Mina</t>
        </is>
      </c>
      <c r="D393" s="2" t="inlineStr">
        <is>
          <t>Defesa</t>
        </is>
      </c>
      <c r="E393" s="12" t="n">
        <v>15</v>
      </c>
      <c r="F393" s="12" t="n">
        <v>1410</v>
      </c>
      <c r="G393" s="12" t="n">
        <v>3</v>
      </c>
      <c r="H393" s="15" t="n">
        <v>121</v>
      </c>
    </row>
    <row r="394">
      <c r="A394" s="1" t="n">
        <v>408</v>
      </c>
      <c r="B394" s="2" t="inlineStr">
        <is>
          <t>Colombia</t>
        </is>
      </c>
      <c r="C394" s="2" t="inlineStr">
        <is>
          <t>Johan Mojica</t>
        </is>
      </c>
      <c r="D394" s="2" t="inlineStr">
        <is>
          <t>Defesa</t>
        </is>
      </c>
      <c r="E394" s="12" t="n">
        <v>15</v>
      </c>
      <c r="F394" s="12" t="n">
        <v>1410</v>
      </c>
      <c r="G394" s="12" t="n">
        <v>1</v>
      </c>
      <c r="H394" s="15" t="n">
        <v>455</v>
      </c>
    </row>
    <row r="395">
      <c r="A395" s="1" t="n">
        <v>409</v>
      </c>
      <c r="B395" s="2" t="inlineStr">
        <is>
          <t>Colombia</t>
        </is>
      </c>
      <c r="C395" s="2" t="inlineStr">
        <is>
          <t>Willer Ditta</t>
        </is>
      </c>
      <c r="D395" s="2" t="inlineStr">
        <is>
          <t>Defesa</t>
        </is>
      </c>
      <c r="E395" s="12" t="n">
        <v>15</v>
      </c>
      <c r="F395" s="12" t="n">
        <v>1410</v>
      </c>
      <c r="G395" s="12" t="n">
        <v>2</v>
      </c>
      <c r="H395" s="15" t="n">
        <v>209</v>
      </c>
    </row>
    <row r="396">
      <c r="A396" s="1" t="n">
        <v>410</v>
      </c>
      <c r="B396" s="2" t="inlineStr">
        <is>
          <t>Colombia</t>
        </is>
      </c>
      <c r="C396" s="2" t="inlineStr">
        <is>
          <t>Deiver Machado</t>
        </is>
      </c>
      <c r="D396" s="2" t="inlineStr">
        <is>
          <t>Defesa</t>
        </is>
      </c>
      <c r="E396" s="12" t="n">
        <v>15</v>
      </c>
      <c r="F396" s="12" t="n">
        <v>1410</v>
      </c>
      <c r="G396" s="12" t="n">
        <v>1</v>
      </c>
      <c r="H396" s="15" t="n">
        <v>70</v>
      </c>
    </row>
    <row r="397">
      <c r="A397" s="1" t="n">
        <v>411</v>
      </c>
      <c r="B397" s="2" t="inlineStr">
        <is>
          <t>Colombia</t>
        </is>
      </c>
      <c r="C397" s="2" t="inlineStr">
        <is>
          <t>Davinson Sánchez</t>
        </is>
      </c>
      <c r="D397" s="2" t="inlineStr">
        <is>
          <t>Defesa</t>
        </is>
      </c>
      <c r="E397" s="12" t="n">
        <v>15</v>
      </c>
      <c r="F397" s="12" t="n">
        <v>1410</v>
      </c>
      <c r="G397" s="12" t="n">
        <v>12</v>
      </c>
      <c r="H397" s="15" t="n">
        <v>450</v>
      </c>
    </row>
    <row r="398">
      <c r="A398" s="1" t="n">
        <v>412</v>
      </c>
      <c r="B398" s="2" t="inlineStr">
        <is>
          <t>Colombia</t>
        </is>
      </c>
      <c r="C398" s="2" t="inlineStr">
        <is>
          <t>Kevin Castaño</t>
        </is>
      </c>
      <c r="D398" s="2" t="inlineStr">
        <is>
          <t>Médio</t>
        </is>
      </c>
      <c r="E398" s="12" t="n">
        <v>15</v>
      </c>
      <c r="F398" s="12" t="n">
        <v>1410</v>
      </c>
      <c r="G398" s="12" t="n">
        <v>8</v>
      </c>
      <c r="H398" s="15" t="n">
        <v>173</v>
      </c>
    </row>
    <row r="399">
      <c r="A399" s="1" t="n">
        <v>413</v>
      </c>
      <c r="B399" s="2" t="inlineStr">
        <is>
          <t>Colombia</t>
        </is>
      </c>
      <c r="C399" s="2" t="inlineStr">
        <is>
          <t>Richard Ríos</t>
        </is>
      </c>
      <c r="D399" s="2" t="inlineStr">
        <is>
          <t>Médio</t>
        </is>
      </c>
      <c r="E399" s="12" t="n">
        <v>15</v>
      </c>
      <c r="F399" s="12" t="n">
        <v>1410</v>
      </c>
      <c r="G399" s="12" t="n">
        <v>12</v>
      </c>
      <c r="H399" s="15" t="n">
        <v>380</v>
      </c>
    </row>
    <row r="400">
      <c r="A400" s="1" t="n">
        <v>414</v>
      </c>
      <c r="B400" s="2" t="inlineStr">
        <is>
          <t>Colombia</t>
        </is>
      </c>
      <c r="C400" s="2" t="inlineStr">
        <is>
          <t>James Rodríguez</t>
        </is>
      </c>
      <c r="D400" s="2" t="inlineStr">
        <is>
          <t>Médio</t>
        </is>
      </c>
      <c r="E400" s="12" t="n">
        <v>15</v>
      </c>
      <c r="F400" s="12" t="n">
        <v>1410</v>
      </c>
      <c r="G400" s="12" t="n">
        <v>5</v>
      </c>
      <c r="H400" s="15" t="n">
        <v>504</v>
      </c>
    </row>
    <row r="401">
      <c r="A401" s="1" t="n">
        <v>415</v>
      </c>
      <c r="B401" s="2" t="inlineStr">
        <is>
          <t>Colombia</t>
        </is>
      </c>
      <c r="C401" s="2" t="inlineStr">
        <is>
          <t>Gustavo Puerta</t>
        </is>
      </c>
      <c r="D401" s="2" t="inlineStr">
        <is>
          <t>Médio</t>
        </is>
      </c>
      <c r="E401" s="12" t="n">
        <v>15</v>
      </c>
      <c r="F401" s="12" t="n">
        <v>1410</v>
      </c>
      <c r="G401" s="12" t="n">
        <v>2</v>
      </c>
      <c r="H401" s="15" t="n">
        <v>288</v>
      </c>
    </row>
    <row r="402">
      <c r="A402" s="1" t="n">
        <v>416</v>
      </c>
      <c r="B402" s="2" t="inlineStr">
        <is>
          <t>Colombia</t>
        </is>
      </c>
      <c r="C402" s="2" t="inlineStr">
        <is>
          <t>Juan Portilla</t>
        </is>
      </c>
      <c r="D402" s="2" t="inlineStr">
        <is>
          <t>Médio</t>
        </is>
      </c>
      <c r="E402" s="12" t="n">
        <v>15</v>
      </c>
      <c r="F402" s="12" t="n">
        <v>1410</v>
      </c>
      <c r="G402" s="12" t="n">
        <v>4</v>
      </c>
      <c r="H402" s="15" t="n">
        <v>212</v>
      </c>
    </row>
    <row r="403">
      <c r="A403" s="1" t="n">
        <v>417</v>
      </c>
      <c r="B403" s="2" t="inlineStr">
        <is>
          <t>Colombia</t>
        </is>
      </c>
      <c r="C403" s="2" t="inlineStr">
        <is>
          <t>Jefferson Lerma</t>
        </is>
      </c>
      <c r="D403" s="2" t="inlineStr">
        <is>
          <t>Médio</t>
        </is>
      </c>
      <c r="E403" s="12" t="n">
        <v>15</v>
      </c>
      <c r="F403" s="12" t="n">
        <v>1410</v>
      </c>
      <c r="G403" s="12" t="n">
        <v>1</v>
      </c>
      <c r="H403" s="15" t="n">
        <v>413</v>
      </c>
    </row>
    <row r="404">
      <c r="A404" s="1" t="n">
        <v>418</v>
      </c>
      <c r="B404" s="2" t="inlineStr">
        <is>
          <t>Colombia</t>
        </is>
      </c>
      <c r="C404" s="2" t="inlineStr">
        <is>
          <t>Luis Díaz</t>
        </is>
      </c>
      <c r="D404" s="2" t="inlineStr">
        <is>
          <t>Avançado</t>
        </is>
      </c>
      <c r="E404" s="12" t="n">
        <v>15</v>
      </c>
      <c r="F404" s="12" t="n">
        <v>1410</v>
      </c>
      <c r="G404" s="12" t="n">
        <v>4</v>
      </c>
      <c r="H404" s="15" t="n">
        <v>533</v>
      </c>
    </row>
    <row r="405">
      <c r="A405" s="1" t="n">
        <v>419</v>
      </c>
      <c r="B405" s="2" t="inlineStr">
        <is>
          <t>Colombia</t>
        </is>
      </c>
      <c r="C405" s="2" t="inlineStr">
        <is>
          <t>Jorge Carrascal</t>
        </is>
      </c>
      <c r="D405" s="2" t="inlineStr">
        <is>
          <t>Avançado</t>
        </is>
      </c>
      <c r="E405" s="12" t="n">
        <v>15</v>
      </c>
      <c r="F405" s="12" t="n">
        <v>1410</v>
      </c>
      <c r="G405" s="12" t="n">
        <v>2</v>
      </c>
      <c r="H405" s="15" t="n">
        <v>132</v>
      </c>
    </row>
    <row r="406">
      <c r="A406" s="1" t="n">
        <v>420</v>
      </c>
      <c r="B406" s="2" t="inlineStr">
        <is>
          <t>Colombia</t>
        </is>
      </c>
      <c r="C406" s="2" t="inlineStr">
        <is>
          <t>Jhon Córdoba</t>
        </is>
      </c>
      <c r="D406" s="2" t="inlineStr">
        <is>
          <t>Avançado</t>
        </is>
      </c>
      <c r="E406" s="12" t="n">
        <v>15</v>
      </c>
      <c r="F406" s="12" t="n">
        <v>1410</v>
      </c>
      <c r="G406" s="12" t="n">
        <v>1</v>
      </c>
      <c r="H406" s="15" t="n">
        <v>123</v>
      </c>
    </row>
    <row r="407">
      <c r="A407" s="1" t="n">
        <v>421</v>
      </c>
      <c r="B407" s="2" t="inlineStr">
        <is>
          <t>Colombia</t>
        </is>
      </c>
      <c r="C407" s="2" t="inlineStr">
        <is>
          <t>Jhon Arias</t>
        </is>
      </c>
      <c r="D407" s="2" t="inlineStr">
        <is>
          <t>Avançado</t>
        </is>
      </c>
      <c r="E407" s="12" t="n">
        <v>15</v>
      </c>
      <c r="F407" s="12" t="n">
        <v>1410</v>
      </c>
      <c r="G407" s="12" t="n">
        <v>5</v>
      </c>
      <c r="H407" s="15" t="n">
        <v>302</v>
      </c>
    </row>
    <row r="408">
      <c r="A408" s="1" t="n">
        <v>422</v>
      </c>
      <c r="B408" s="2" t="inlineStr">
        <is>
          <t>Colombia</t>
        </is>
      </c>
      <c r="C408" s="2" t="inlineStr">
        <is>
          <t>Cucho Hernández</t>
        </is>
      </c>
      <c r="D408" s="2" t="inlineStr">
        <is>
          <t>Avançado</t>
        </is>
      </c>
      <c r="E408" s="12" t="n">
        <v>15</v>
      </c>
      <c r="F408" s="12" t="n">
        <v>1410</v>
      </c>
      <c r="G408" s="12" t="n">
        <v>1</v>
      </c>
      <c r="H408" s="15" t="n">
        <v>150</v>
      </c>
    </row>
    <row r="409">
      <c r="A409" s="1" t="n">
        <v>423</v>
      </c>
      <c r="B409" s="2" t="inlineStr">
        <is>
          <t>Colombia</t>
        </is>
      </c>
      <c r="C409" s="2" t="inlineStr">
        <is>
          <t>Juanfer Quintero</t>
        </is>
      </c>
      <c r="D409" s="2" t="inlineStr">
        <is>
          <t>Avançado</t>
        </is>
      </c>
      <c r="E409" s="12" t="n">
        <v>15</v>
      </c>
      <c r="F409" s="12" t="n">
        <v>1410</v>
      </c>
      <c r="G409" s="14" t="n">
        <v>7</v>
      </c>
      <c r="H409" s="15" t="n">
        <v>169</v>
      </c>
    </row>
    <row r="410">
      <c r="A410" s="1" t="n">
        <v>424</v>
      </c>
      <c r="B410" s="2" t="inlineStr">
        <is>
          <t>Colombia</t>
        </is>
      </c>
      <c r="C410" s="2" t="inlineStr">
        <is>
          <t>Jaminton Campaz</t>
        </is>
      </c>
      <c r="D410" s="2" t="inlineStr">
        <is>
          <t>Avançado</t>
        </is>
      </c>
      <c r="E410" s="12" t="n">
        <v>15</v>
      </c>
      <c r="F410" s="12" t="n">
        <v>1410</v>
      </c>
      <c r="G410" s="14" t="n">
        <v>7</v>
      </c>
      <c r="H410" s="15" t="n">
        <v>142</v>
      </c>
    </row>
    <row r="411">
      <c r="A411" s="1" t="n">
        <v>425</v>
      </c>
      <c r="B411" s="2" t="inlineStr">
        <is>
          <t>Colombia</t>
        </is>
      </c>
      <c r="C411" s="2" t="inlineStr">
        <is>
          <t>Luis Suárez</t>
        </is>
      </c>
      <c r="D411" s="2" t="inlineStr">
        <is>
          <t>Avançado</t>
        </is>
      </c>
      <c r="E411" s="12" t="n">
        <v>15</v>
      </c>
      <c r="F411" s="12" t="n">
        <v>1410</v>
      </c>
      <c r="G411" s="14" t="n">
        <v>7</v>
      </c>
      <c r="H411" s="15" t="n">
        <v>363</v>
      </c>
    </row>
    <row r="412">
      <c r="A412" s="1" t="n">
        <v>426</v>
      </c>
      <c r="B412" s="2" t="inlineStr">
        <is>
          <t>Colombia</t>
        </is>
      </c>
      <c r="C412" s="2" t="inlineStr">
        <is>
          <t>Andrés Gómez</t>
        </is>
      </c>
      <c r="D412" s="2" t="inlineStr">
        <is>
          <t>Avançado</t>
        </is>
      </c>
      <c r="E412" s="12" t="n">
        <v>15</v>
      </c>
      <c r="F412" s="12" t="n">
        <v>1410</v>
      </c>
      <c r="G412" s="14" t="n">
        <v>3</v>
      </c>
      <c r="H412" s="15" t="n">
        <v>124</v>
      </c>
    </row>
    <row r="413">
      <c r="A413" s="1" t="n">
        <v>427</v>
      </c>
      <c r="B413" s="2" t="inlineStr">
        <is>
          <t>Korea Republic</t>
        </is>
      </c>
      <c r="C413" s="2" t="inlineStr">
        <is>
          <t>Kim Seung-gyu</t>
        </is>
      </c>
      <c r="D413" s="2" t="inlineStr">
        <is>
          <t>Guarda Redes</t>
        </is>
      </c>
      <c r="E413" s="11" t="n">
        <v>18</v>
      </c>
      <c r="F413" s="11" t="n">
        <v>1620</v>
      </c>
      <c r="G413" s="11" t="n">
        <v>7</v>
      </c>
      <c r="H413" s="15" t="n">
        <v>495</v>
      </c>
    </row>
    <row r="414">
      <c r="A414" s="1" t="n">
        <v>428</v>
      </c>
      <c r="B414" s="2" t="inlineStr">
        <is>
          <t>Korea Republic</t>
        </is>
      </c>
      <c r="C414" s="2" t="inlineStr">
        <is>
          <t>Song Bum-keun</t>
        </is>
      </c>
      <c r="D414" s="2" t="inlineStr">
        <is>
          <t>Guarda Redes</t>
        </is>
      </c>
      <c r="E414" s="11" t="n">
        <v>18</v>
      </c>
      <c r="F414" s="11" t="n">
        <v>1620</v>
      </c>
      <c r="G414" s="11" t="n">
        <v>2</v>
      </c>
      <c r="H414" s="15" t="n">
        <v>135</v>
      </c>
    </row>
    <row r="415">
      <c r="A415" s="1" t="n">
        <v>429</v>
      </c>
      <c r="B415" s="2" t="inlineStr">
        <is>
          <t>Korea Republic</t>
        </is>
      </c>
      <c r="C415" s="2" t="inlineStr">
        <is>
          <t>Jo Hyeon-woo</t>
        </is>
      </c>
      <c r="D415" s="2" t="inlineStr">
        <is>
          <t>Guarda Redes</t>
        </is>
      </c>
      <c r="E415" s="11" t="n">
        <v>18</v>
      </c>
      <c r="F415" s="11" t="n">
        <v>1620</v>
      </c>
      <c r="G415" s="11" t="n">
        <v>9</v>
      </c>
      <c r="H415" s="15" t="n">
        <v>360</v>
      </c>
    </row>
    <row r="416">
      <c r="A416" s="1" t="n">
        <v>430</v>
      </c>
      <c r="B416" s="2" t="inlineStr">
        <is>
          <t>Korea Republic</t>
        </is>
      </c>
      <c r="C416" s="2" t="inlineStr">
        <is>
          <t>Kim Moon-hwan</t>
        </is>
      </c>
      <c r="D416" s="2" t="inlineStr">
        <is>
          <t>Defesa</t>
        </is>
      </c>
      <c r="E416" s="11" t="n">
        <v>18</v>
      </c>
      <c r="F416" s="11" t="n">
        <v>1620</v>
      </c>
      <c r="G416" s="11" t="n">
        <v>7</v>
      </c>
      <c r="H416" s="15" t="n">
        <v>359</v>
      </c>
    </row>
    <row r="417">
      <c r="A417" s="1" t="n">
        <v>431</v>
      </c>
      <c r="B417" s="2" t="inlineStr">
        <is>
          <t>Korea Republic</t>
        </is>
      </c>
      <c r="C417" s="2" t="inlineStr">
        <is>
          <t>Seol Young-woo</t>
        </is>
      </c>
      <c r="D417" s="2" t="inlineStr">
        <is>
          <t>Defesa</t>
        </is>
      </c>
      <c r="E417" s="11" t="n">
        <v>18</v>
      </c>
      <c r="F417" s="11" t="n">
        <v>1620</v>
      </c>
      <c r="G417" s="11" t="n">
        <v>14</v>
      </c>
      <c r="H417" s="15" t="n">
        <v>616</v>
      </c>
    </row>
    <row r="418">
      <c r="A418" s="1" t="n">
        <v>432</v>
      </c>
      <c r="B418" s="2" t="inlineStr">
        <is>
          <t>Korea Republic</t>
        </is>
      </c>
      <c r="C418" s="2" t="inlineStr">
        <is>
          <t>Lee Han-beom</t>
        </is>
      </c>
      <c r="D418" s="2" t="inlineStr">
        <is>
          <t>Defesa</t>
        </is>
      </c>
      <c r="E418" s="11" t="n">
        <v>18</v>
      </c>
      <c r="F418" s="11" t="n">
        <v>1620</v>
      </c>
      <c r="G418" s="11" t="n">
        <v>9</v>
      </c>
      <c r="H418" s="15" t="n">
        <v>557</v>
      </c>
    </row>
    <row r="419">
      <c r="A419" s="1" t="n">
        <v>433</v>
      </c>
      <c r="B419" s="2" t="inlineStr">
        <is>
          <t>Korea Republic</t>
        </is>
      </c>
      <c r="C419" s="2" t="inlineStr">
        <is>
          <t>Lee Gi-Hyuk</t>
        </is>
      </c>
      <c r="D419" s="2" t="inlineStr">
        <is>
          <t>Defesa</t>
        </is>
      </c>
      <c r="E419" s="11" t="n">
        <v>18</v>
      </c>
      <c r="F419" s="11" t="n">
        <v>1620</v>
      </c>
      <c r="G419" s="11" t="n">
        <v>3</v>
      </c>
      <c r="H419" s="15" t="n">
        <v>242</v>
      </c>
    </row>
    <row r="420">
      <c r="A420" s="1" t="n">
        <v>434</v>
      </c>
      <c r="B420" s="2" t="inlineStr">
        <is>
          <t>Korea Republic</t>
        </is>
      </c>
      <c r="C420" s="2" t="inlineStr">
        <is>
          <t>Kim Min-jae</t>
        </is>
      </c>
      <c r="D420" s="2" t="inlineStr">
        <is>
          <t>Defesa</t>
        </is>
      </c>
      <c r="E420" s="11" t="n">
        <v>18</v>
      </c>
      <c r="F420" s="11" t="n">
        <v>1620</v>
      </c>
      <c r="G420" s="11" t="n">
        <v>11</v>
      </c>
      <c r="H420" s="15" t="n">
        <v>873</v>
      </c>
    </row>
    <row r="421">
      <c r="A421" s="1" t="n">
        <v>435</v>
      </c>
      <c r="B421" s="2" t="inlineStr">
        <is>
          <t>Korea Republic</t>
        </is>
      </c>
      <c r="C421" s="2" t="inlineStr">
        <is>
          <t>Kim Tae-hyeon</t>
        </is>
      </c>
      <c r="D421" s="2" t="inlineStr">
        <is>
          <t>Defesa</t>
        </is>
      </c>
      <c r="E421" s="11" t="n">
        <v>18</v>
      </c>
      <c r="F421" s="11" t="n">
        <v>1620</v>
      </c>
      <c r="G421" s="11" t="n">
        <v>5</v>
      </c>
      <c r="H421" s="15" t="n">
        <v>355</v>
      </c>
    </row>
    <row r="422">
      <c r="A422" s="1" t="n">
        <v>436</v>
      </c>
      <c r="B422" s="2" t="inlineStr">
        <is>
          <t>Korea Republic</t>
        </is>
      </c>
      <c r="C422" s="2" t="inlineStr">
        <is>
          <t>Cho Wije</t>
        </is>
      </c>
      <c r="D422" s="2" t="inlineStr">
        <is>
          <t>Defesa</t>
        </is>
      </c>
      <c r="E422" s="11" t="n">
        <v>18</v>
      </c>
      <c r="F422" s="11" t="n">
        <v>1620</v>
      </c>
      <c r="G422" s="11" t="n">
        <v>1</v>
      </c>
      <c r="H422" s="15" t="n">
        <v>45</v>
      </c>
    </row>
    <row r="423">
      <c r="A423" s="1" t="n">
        <v>437</v>
      </c>
      <c r="B423" s="2" t="inlineStr">
        <is>
          <t>Korea Republic</t>
        </is>
      </c>
      <c r="C423" s="2" t="inlineStr">
        <is>
          <t>Lee Tae-seok</t>
        </is>
      </c>
      <c r="D423" s="2" t="inlineStr">
        <is>
          <t>Defesa</t>
        </is>
      </c>
      <c r="E423" s="11" t="n">
        <v>18</v>
      </c>
      <c r="F423" s="11" t="n">
        <v>1620</v>
      </c>
      <c r="G423" s="11" t="n">
        <v>15</v>
      </c>
      <c r="H423" s="15" t="n">
        <v>526</v>
      </c>
    </row>
    <row r="424">
      <c r="A424" s="1" t="n">
        <v>438</v>
      </c>
      <c r="B424" s="2" t="inlineStr">
        <is>
          <t>Korea Republic</t>
        </is>
      </c>
      <c r="C424" s="2" t="inlineStr">
        <is>
          <t>Park Jin-seob</t>
        </is>
      </c>
      <c r="D424" s="2" t="inlineStr">
        <is>
          <t>Médio</t>
        </is>
      </c>
      <c r="E424" s="11" t="n">
        <v>18</v>
      </c>
      <c r="F424" s="11" t="n">
        <v>1620</v>
      </c>
      <c r="G424" s="11" t="n">
        <v>9</v>
      </c>
      <c r="H424" s="15" t="n">
        <v>308</v>
      </c>
    </row>
    <row r="425">
      <c r="A425" s="1" t="n">
        <v>439</v>
      </c>
      <c r="B425" s="2" t="inlineStr">
        <is>
          <t>Korea Republic</t>
        </is>
      </c>
      <c r="C425" s="2" t="inlineStr">
        <is>
          <t>Hwang In-beom</t>
        </is>
      </c>
      <c r="D425" s="2" t="inlineStr">
        <is>
          <t>Médio</t>
        </is>
      </c>
      <c r="E425" s="11" t="n">
        <v>18</v>
      </c>
      <c r="F425" s="11" t="n">
        <v>1620</v>
      </c>
      <c r="G425" s="11" t="n">
        <v>8</v>
      </c>
      <c r="H425" s="15" t="n">
        <v>285</v>
      </c>
    </row>
    <row r="426">
      <c r="A426" s="1" t="n">
        <v>440</v>
      </c>
      <c r="B426" s="2" t="inlineStr">
        <is>
          <t>Korea Republic</t>
        </is>
      </c>
      <c r="C426" s="2" t="inlineStr">
        <is>
          <t>Paik Seung-ho</t>
        </is>
      </c>
      <c r="D426" s="2" t="inlineStr">
        <is>
          <t>Médio</t>
        </is>
      </c>
      <c r="E426" s="11" t="n">
        <v>18</v>
      </c>
      <c r="F426" s="11" t="n">
        <v>1620</v>
      </c>
      <c r="G426" s="11" t="n">
        <v>8</v>
      </c>
      <c r="H426" s="15" t="n">
        <v>466</v>
      </c>
    </row>
    <row r="427">
      <c r="A427" s="1" t="n">
        <v>441</v>
      </c>
      <c r="B427" s="2" t="inlineStr">
        <is>
          <t>Korea Republic</t>
        </is>
      </c>
      <c r="C427" s="2" t="inlineStr">
        <is>
          <t>Kim Jin-gyu</t>
        </is>
      </c>
      <c r="D427" s="2" t="inlineStr">
        <is>
          <t>Médio</t>
        </is>
      </c>
      <c r="E427" s="11" t="n">
        <v>18</v>
      </c>
      <c r="F427" s="11" t="n">
        <v>1620</v>
      </c>
      <c r="G427" s="11" t="n">
        <v>15</v>
      </c>
      <c r="H427" s="15" t="n">
        <v>568</v>
      </c>
    </row>
    <row r="428">
      <c r="A428" s="1" t="n">
        <v>442</v>
      </c>
      <c r="B428" s="2" t="inlineStr">
        <is>
          <t>Korea Republic</t>
        </is>
      </c>
      <c r="C428" s="2" t="inlineStr">
        <is>
          <t>Lee Jae-sung</t>
        </is>
      </c>
      <c r="D428" s="2" t="inlineStr">
        <is>
          <t>Médio</t>
        </is>
      </c>
      <c r="E428" s="11" t="n">
        <v>18</v>
      </c>
      <c r="F428" s="11" t="n">
        <v>1620</v>
      </c>
      <c r="G428" s="11" t="n">
        <v>12</v>
      </c>
      <c r="H428" s="15" t="n">
        <v>430</v>
      </c>
    </row>
    <row r="429">
      <c r="A429" s="1" t="n">
        <v>443</v>
      </c>
      <c r="B429" s="2" t="inlineStr">
        <is>
          <t>Korea Republic</t>
        </is>
      </c>
      <c r="C429" s="2" t="inlineStr">
        <is>
          <t>Bae Jun-ho</t>
        </is>
      </c>
      <c r="D429" s="2" t="inlineStr">
        <is>
          <t>Médio</t>
        </is>
      </c>
      <c r="E429" s="11" t="n">
        <v>18</v>
      </c>
      <c r="F429" s="11" t="n">
        <v>1620</v>
      </c>
      <c r="G429" s="11" t="n">
        <v>7</v>
      </c>
      <c r="H429" s="15" t="n">
        <v>235</v>
      </c>
    </row>
    <row r="430">
      <c r="A430" s="1" t="n">
        <v>444</v>
      </c>
      <c r="B430" s="2" t="inlineStr">
        <is>
          <t>Korea Republic</t>
        </is>
      </c>
      <c r="C430" s="2" t="inlineStr">
        <is>
          <t>Jens Castrop</t>
        </is>
      </c>
      <c r="D430" s="2" t="inlineStr">
        <is>
          <t>Médio</t>
        </is>
      </c>
      <c r="E430" s="11" t="n">
        <v>18</v>
      </c>
      <c r="F430" s="11" t="n">
        <v>1620</v>
      </c>
      <c r="G430" s="11" t="n">
        <v>6</v>
      </c>
      <c r="H430" s="15" t="n">
        <v>256</v>
      </c>
    </row>
    <row r="431">
      <c r="A431" s="1" t="n">
        <v>445</v>
      </c>
      <c r="B431" s="2" t="inlineStr">
        <is>
          <t>Korea Republic</t>
        </is>
      </c>
      <c r="C431" s="2" t="inlineStr">
        <is>
          <t>Lee Dong-gyeong</t>
        </is>
      </c>
      <c r="D431" s="2" t="inlineStr">
        <is>
          <t>Médio</t>
        </is>
      </c>
      <c r="E431" s="11" t="n">
        <v>18</v>
      </c>
      <c r="F431" s="11" t="n">
        <v>1620</v>
      </c>
      <c r="G431" s="11" t="n">
        <v>9</v>
      </c>
      <c r="H431" s="15" t="n">
        <v>274</v>
      </c>
    </row>
    <row r="432">
      <c r="A432" s="1" t="n">
        <v>446</v>
      </c>
      <c r="B432" s="2" t="inlineStr">
        <is>
          <t>Korea Republic</t>
        </is>
      </c>
      <c r="C432" s="2" t="inlineStr">
        <is>
          <t>Lee Kang-in</t>
        </is>
      </c>
      <c r="D432" s="2" t="inlineStr">
        <is>
          <t>Avançado</t>
        </is>
      </c>
      <c r="E432" s="11" t="n">
        <v>18</v>
      </c>
      <c r="F432" s="11" t="n">
        <v>1620</v>
      </c>
      <c r="G432" s="11" t="n">
        <v>13</v>
      </c>
      <c r="H432" s="15" t="n">
        <v>643</v>
      </c>
    </row>
    <row r="433">
      <c r="A433" s="1" t="n">
        <v>447</v>
      </c>
      <c r="B433" s="2" t="inlineStr">
        <is>
          <t>Korea Republic</t>
        </is>
      </c>
      <c r="C433" s="2" t="inlineStr">
        <is>
          <t>Yang Hyun-jun</t>
        </is>
      </c>
      <c r="D433" s="2" t="inlineStr">
        <is>
          <t>Avançado</t>
        </is>
      </c>
      <c r="E433" s="11" t="n">
        <v>18</v>
      </c>
      <c r="F433" s="11" t="n">
        <v>1620</v>
      </c>
      <c r="G433" s="11" t="n">
        <v>5</v>
      </c>
      <c r="H433" s="15" t="n">
        <v>99</v>
      </c>
    </row>
    <row r="434">
      <c r="A434" s="1" t="n">
        <v>448</v>
      </c>
      <c r="B434" s="2" t="inlineStr">
        <is>
          <t>Korea Republic</t>
        </is>
      </c>
      <c r="C434" s="2" t="inlineStr">
        <is>
          <t>Cho Gue-sung</t>
        </is>
      </c>
      <c r="D434" s="2" t="inlineStr">
        <is>
          <t>Avançado</t>
        </is>
      </c>
      <c r="E434" s="11" t="n">
        <v>18</v>
      </c>
      <c r="F434" s="11" t="n">
        <v>1620</v>
      </c>
      <c r="G434" s="11" t="n">
        <v>5</v>
      </c>
      <c r="H434" s="15" t="n">
        <v>166</v>
      </c>
    </row>
    <row r="435">
      <c r="A435" s="1" t="n">
        <v>449</v>
      </c>
      <c r="B435" s="2" t="inlineStr">
        <is>
          <t>Korea Republic</t>
        </is>
      </c>
      <c r="C435" s="2" t="inlineStr">
        <is>
          <t>Hwang Hee-chan</t>
        </is>
      </c>
      <c r="D435" s="2" t="inlineStr">
        <is>
          <t>Avançado</t>
        </is>
      </c>
      <c r="E435" s="11" t="n">
        <v>18</v>
      </c>
      <c r="F435" s="11" t="n">
        <v>1620</v>
      </c>
      <c r="G435" s="11" t="n">
        <v>11</v>
      </c>
      <c r="H435" s="15" t="n">
        <v>309</v>
      </c>
    </row>
    <row r="436">
      <c r="A436" s="1" t="n">
        <v>450</v>
      </c>
      <c r="B436" s="2" t="inlineStr">
        <is>
          <t>Korea Republic</t>
        </is>
      </c>
      <c r="C436" s="2" t="inlineStr">
        <is>
          <t>Oh Hyun-gyu</t>
        </is>
      </c>
      <c r="D436" s="2" t="inlineStr">
        <is>
          <t>Avançado</t>
        </is>
      </c>
      <c r="E436" s="11" t="n">
        <v>18</v>
      </c>
      <c r="F436" s="11" t="n">
        <v>1620</v>
      </c>
      <c r="G436" s="11" t="n">
        <v>13</v>
      </c>
      <c r="H436" s="15" t="n">
        <v>362</v>
      </c>
    </row>
    <row r="437">
      <c r="A437" s="1" t="n">
        <v>451</v>
      </c>
      <c r="B437" s="2" t="inlineStr">
        <is>
          <t>Korea Republic</t>
        </is>
      </c>
      <c r="C437" s="2" t="inlineStr">
        <is>
          <t>Son Heung-min</t>
        </is>
      </c>
      <c r="D437" s="2" t="inlineStr">
        <is>
          <t>Avançado</t>
        </is>
      </c>
      <c r="E437" s="11" t="n">
        <v>18</v>
      </c>
      <c r="F437" s="11" t="n">
        <v>1620</v>
      </c>
      <c r="G437" s="11" t="n">
        <v>14</v>
      </c>
      <c r="H437" s="15" t="n">
        <v>626</v>
      </c>
    </row>
    <row r="438">
      <c r="A438" s="1" t="n">
        <v>452</v>
      </c>
      <c r="B438" s="2" t="inlineStr">
        <is>
          <t>Korea Republic</t>
        </is>
      </c>
      <c r="C438" s="2" t="inlineStr">
        <is>
          <t>Eom Ji-sung</t>
        </is>
      </c>
      <c r="D438" s="2" t="inlineStr">
        <is>
          <t>Avançado</t>
        </is>
      </c>
      <c r="E438" s="11" t="n">
        <v>18</v>
      </c>
      <c r="F438" s="11" t="n">
        <v>1620</v>
      </c>
      <c r="G438" s="11" t="n">
        <v>7</v>
      </c>
      <c r="H438" s="15" t="n">
        <v>151</v>
      </c>
    </row>
    <row r="439">
      <c r="A439" s="1" t="n">
        <v>453</v>
      </c>
      <c r="B439" s="2" t="inlineStr">
        <is>
          <t>Côte d'Ivoire</t>
        </is>
      </c>
      <c r="C439" s="2" t="inlineStr">
        <is>
          <t>Yahia Fofana</t>
        </is>
      </c>
      <c r="D439" s="2" t="inlineStr">
        <is>
          <t>Guarda Redes</t>
        </is>
      </c>
      <c r="E439" s="6" t="n">
        <v>18</v>
      </c>
      <c r="F439" s="6" t="n">
        <v>1620</v>
      </c>
      <c r="G439" s="14" t="n">
        <v>12</v>
      </c>
      <c r="H439" s="15" t="n">
        <v>270</v>
      </c>
    </row>
    <row r="440">
      <c r="A440" s="1" t="n">
        <v>454</v>
      </c>
      <c r="B440" s="2" t="inlineStr">
        <is>
          <t>Côte d'Ivoire</t>
        </is>
      </c>
      <c r="C440" s="2" t="inlineStr">
        <is>
          <t>Mohamed Koné</t>
        </is>
      </c>
      <c r="D440" s="2" t="inlineStr">
        <is>
          <t>Guarda Redes</t>
        </is>
      </c>
      <c r="E440" s="8" t="n">
        <v>18</v>
      </c>
      <c r="F440" s="8" t="n">
        <v>1620</v>
      </c>
      <c r="G440" s="14" t="n">
        <v>0</v>
      </c>
      <c r="H440" s="15" t="n">
        <v>0</v>
      </c>
    </row>
    <row r="441">
      <c r="A441" s="1" t="n">
        <v>455</v>
      </c>
      <c r="B441" s="2" t="inlineStr">
        <is>
          <t>Côte d'Ivoire</t>
        </is>
      </c>
      <c r="C441" s="2" t="inlineStr">
        <is>
          <t>Alban Lafont</t>
        </is>
      </c>
      <c r="D441" s="2" t="inlineStr">
        <is>
          <t>Guarda Redes</t>
        </is>
      </c>
      <c r="E441" s="6" t="n">
        <v>18</v>
      </c>
      <c r="F441" s="6" t="n">
        <v>1620</v>
      </c>
      <c r="G441" s="14" t="n">
        <v>4</v>
      </c>
      <c r="H441" s="15" t="n">
        <v>180</v>
      </c>
    </row>
    <row r="442">
      <c r="A442" s="1" t="n">
        <v>456</v>
      </c>
      <c r="B442" s="2" t="inlineStr">
        <is>
          <t>Côte d'Ivoire</t>
        </is>
      </c>
      <c r="C442" s="2" t="inlineStr">
        <is>
          <t>Guéla Doué</t>
        </is>
      </c>
      <c r="D442" s="2" t="inlineStr">
        <is>
          <t>Defesa</t>
        </is>
      </c>
      <c r="E442" s="8" t="n">
        <v>18</v>
      </c>
      <c r="F442" s="8" t="n">
        <v>1620</v>
      </c>
      <c r="G442" s="14" t="n">
        <v>13</v>
      </c>
      <c r="H442" s="15" t="n">
        <v>249</v>
      </c>
    </row>
    <row r="443">
      <c r="A443" s="1" t="n">
        <v>457</v>
      </c>
      <c r="B443" s="2" t="inlineStr">
        <is>
          <t>Côte d'Ivoire</t>
        </is>
      </c>
      <c r="C443" s="2" t="inlineStr">
        <is>
          <t>Ousmane Diomande</t>
        </is>
      </c>
      <c r="D443" s="2" t="inlineStr">
        <is>
          <t>Defesa</t>
        </is>
      </c>
      <c r="E443" s="6" t="n">
        <v>18</v>
      </c>
      <c r="F443" s="6" t="n">
        <v>1620</v>
      </c>
      <c r="G443" s="14" t="n">
        <v>7</v>
      </c>
      <c r="H443" s="15" t="n">
        <v>177</v>
      </c>
    </row>
    <row r="444">
      <c r="A444" s="1" t="n">
        <v>458</v>
      </c>
      <c r="B444" s="2" t="inlineStr">
        <is>
          <t>Côte d'Ivoire</t>
        </is>
      </c>
      <c r="C444" s="2" t="inlineStr">
        <is>
          <t>Wilfried Singo</t>
        </is>
      </c>
      <c r="D444" s="2" t="inlineStr">
        <is>
          <t>Defesa</t>
        </is>
      </c>
      <c r="E444" s="8" t="n">
        <v>18</v>
      </c>
      <c r="F444" s="8" t="n">
        <v>1620</v>
      </c>
      <c r="G444" s="14" t="n">
        <v>7</v>
      </c>
      <c r="H444" s="15" t="n">
        <v>176</v>
      </c>
    </row>
    <row r="445">
      <c r="A445" s="1" t="n">
        <v>459</v>
      </c>
      <c r="B445" s="2" t="inlineStr">
        <is>
          <t>Côte d'Ivoire</t>
        </is>
      </c>
      <c r="C445" s="2" t="inlineStr">
        <is>
          <t>Odilon Kossounou</t>
        </is>
      </c>
      <c r="D445" s="2" t="inlineStr">
        <is>
          <t>Defesa</t>
        </is>
      </c>
      <c r="E445" s="6" t="n">
        <v>18</v>
      </c>
      <c r="F445" s="6" t="n">
        <v>1620</v>
      </c>
      <c r="G445" s="14" t="n">
        <v>11</v>
      </c>
      <c r="H445" s="15" t="n">
        <v>180</v>
      </c>
    </row>
    <row r="446">
      <c r="A446" s="1" t="n">
        <v>460</v>
      </c>
      <c r="B446" s="2" t="inlineStr">
        <is>
          <t>Côte d'Ivoire</t>
        </is>
      </c>
      <c r="C446" s="2" t="inlineStr">
        <is>
          <t>Emmanuel Agbadou</t>
        </is>
      </c>
      <c r="D446" s="2" t="inlineStr">
        <is>
          <t>Defesa</t>
        </is>
      </c>
      <c r="E446" s="8" t="n">
        <v>18</v>
      </c>
      <c r="F446" s="8" t="n">
        <v>1620</v>
      </c>
      <c r="G446" s="14" t="n">
        <v>9</v>
      </c>
      <c r="H446" s="15" t="n">
        <v>299</v>
      </c>
    </row>
    <row r="447">
      <c r="A447" s="1" t="n">
        <v>461</v>
      </c>
      <c r="B447" s="2" t="inlineStr">
        <is>
          <t>Côte d'Ivoire</t>
        </is>
      </c>
      <c r="C447" s="2" t="inlineStr">
        <is>
          <t>Evan Ndicka</t>
        </is>
      </c>
      <c r="D447" s="2" t="inlineStr">
        <is>
          <t>Defesa</t>
        </is>
      </c>
      <c r="E447" s="6" t="n">
        <v>18</v>
      </c>
      <c r="F447" s="6" t="n">
        <v>1620</v>
      </c>
      <c r="G447" s="14" t="n">
        <v>8</v>
      </c>
      <c r="H447" s="15" t="n">
        <v>79</v>
      </c>
    </row>
    <row r="448">
      <c r="A448" s="1" t="n">
        <v>462</v>
      </c>
      <c r="B448" s="2" t="inlineStr">
        <is>
          <t>Côte d'Ivoire</t>
        </is>
      </c>
      <c r="C448" s="2" t="inlineStr">
        <is>
          <t>Ghislain Konan</t>
        </is>
      </c>
      <c r="D448" s="2" t="inlineStr">
        <is>
          <t>Defesa</t>
        </is>
      </c>
      <c r="E448" s="8" t="n">
        <v>18</v>
      </c>
      <c r="F448" s="8" t="n">
        <v>1620</v>
      </c>
      <c r="G448" s="14" t="n">
        <v>13</v>
      </c>
      <c r="H448" s="15" t="n">
        <v>276</v>
      </c>
    </row>
    <row r="449">
      <c r="A449" s="1" t="n">
        <v>463</v>
      </c>
      <c r="B449" s="2" t="inlineStr">
        <is>
          <t>Côte d'Ivoire</t>
        </is>
      </c>
      <c r="C449" s="2" t="inlineStr">
        <is>
          <t>Christopher Operi</t>
        </is>
      </c>
      <c r="D449" s="2" t="inlineStr">
        <is>
          <t>Defesa</t>
        </is>
      </c>
      <c r="E449" s="6" t="n">
        <v>18</v>
      </c>
      <c r="F449" s="6" t="n">
        <v>1620</v>
      </c>
      <c r="G449" s="14" t="n"/>
      <c r="H449" s="15" t="n">
        <v>22</v>
      </c>
    </row>
    <row r="450">
      <c r="A450" s="1" t="n">
        <v>464</v>
      </c>
      <c r="B450" s="2" t="inlineStr">
        <is>
          <t>Côte d'Ivoire</t>
        </is>
      </c>
      <c r="C450" s="2" t="inlineStr">
        <is>
          <t>Ibrahim Sangaré</t>
        </is>
      </c>
      <c r="D450" s="2" t="inlineStr">
        <is>
          <t>Médio</t>
        </is>
      </c>
      <c r="E450" s="8" t="n">
        <v>18</v>
      </c>
      <c r="F450" s="8" t="n">
        <v>1620</v>
      </c>
      <c r="G450" s="14" t="n">
        <v>15</v>
      </c>
      <c r="H450" s="15" t="n">
        <v>139</v>
      </c>
    </row>
    <row r="451">
      <c r="A451" s="1" t="n">
        <v>465</v>
      </c>
      <c r="B451" s="2" t="inlineStr">
        <is>
          <t>Côte d'Ivoire</t>
        </is>
      </c>
      <c r="C451" s="2" t="inlineStr">
        <is>
          <t>Christ Oulaï</t>
        </is>
      </c>
      <c r="D451" s="2" t="inlineStr">
        <is>
          <t>Médio</t>
        </is>
      </c>
      <c r="E451" s="6" t="n">
        <v>18</v>
      </c>
      <c r="F451" s="6" t="n">
        <v>1620</v>
      </c>
      <c r="G451" s="14" t="n"/>
      <c r="H451" s="15" t="n">
        <v>256</v>
      </c>
    </row>
    <row r="452">
      <c r="A452" s="1" t="n">
        <v>466</v>
      </c>
      <c r="B452" s="2" t="inlineStr">
        <is>
          <t>Côte d'Ivoire</t>
        </is>
      </c>
      <c r="C452" s="2" t="inlineStr">
        <is>
          <t>Jean-Michaël Seri</t>
        </is>
      </c>
      <c r="D452" s="2" t="inlineStr">
        <is>
          <t>Médio</t>
        </is>
      </c>
      <c r="E452" s="8" t="n">
        <v>18</v>
      </c>
      <c r="F452" s="8" t="n">
        <v>1620</v>
      </c>
      <c r="G452" s="14" t="n">
        <v>3</v>
      </c>
      <c r="H452" s="15" t="n">
        <v>64</v>
      </c>
    </row>
    <row r="453">
      <c r="A453" s="1" t="n">
        <v>467</v>
      </c>
      <c r="B453" s="2" t="inlineStr">
        <is>
          <t>Côte d'Ivoire</t>
        </is>
      </c>
      <c r="C453" s="2" t="inlineStr">
        <is>
          <t>Seko Fofana</t>
        </is>
      </c>
      <c r="D453" s="2" t="inlineStr">
        <is>
          <t>Médio</t>
        </is>
      </c>
      <c r="E453" s="6" t="n">
        <v>18</v>
      </c>
      <c r="F453" s="6" t="n">
        <v>1620</v>
      </c>
      <c r="G453" s="14" t="n">
        <v>8</v>
      </c>
      <c r="H453" s="15" t="n">
        <v>147</v>
      </c>
    </row>
    <row r="454">
      <c r="A454" s="1" t="n">
        <v>468</v>
      </c>
      <c r="B454" s="2" t="inlineStr">
        <is>
          <t>Côte d'Ivoire</t>
        </is>
      </c>
      <c r="C454" s="2" t="inlineStr">
        <is>
          <t>Franck Kessié</t>
        </is>
      </c>
      <c r="D454" s="2" t="inlineStr">
        <is>
          <t>Médio</t>
        </is>
      </c>
      <c r="E454" s="8" t="n">
        <v>18</v>
      </c>
      <c r="F454" s="8" t="n">
        <v>1620</v>
      </c>
      <c r="G454" s="14" t="n">
        <v>16</v>
      </c>
      <c r="H454" s="15" t="n">
        <v>248</v>
      </c>
    </row>
    <row r="455">
      <c r="A455" s="1" t="n">
        <v>469</v>
      </c>
      <c r="B455" s="2" t="inlineStr">
        <is>
          <t>Côte d'Ivoire</t>
        </is>
      </c>
      <c r="C455" s="2" t="inlineStr">
        <is>
          <t>Simon Adingra</t>
        </is>
      </c>
      <c r="D455" s="2" t="inlineStr">
        <is>
          <t>Avançado</t>
        </is>
      </c>
      <c r="E455" s="6" t="n">
        <v>18</v>
      </c>
      <c r="F455" s="6" t="n">
        <v>1620</v>
      </c>
      <c r="G455" s="14" t="n">
        <v>11</v>
      </c>
      <c r="H455" s="15" t="n">
        <v>145</v>
      </c>
    </row>
    <row r="456">
      <c r="A456" s="1" t="n">
        <v>470</v>
      </c>
      <c r="B456" s="2" t="inlineStr">
        <is>
          <t>Côte d'Ivoire</t>
        </is>
      </c>
      <c r="C456" s="2" t="inlineStr">
        <is>
          <t>Amad Diallo</t>
        </is>
      </c>
      <c r="D456" s="2" t="inlineStr">
        <is>
          <t>Avançado</t>
        </is>
      </c>
      <c r="E456" s="8" t="n">
        <v>18</v>
      </c>
      <c r="F456" s="8" t="n">
        <v>1620</v>
      </c>
      <c r="G456" s="14" t="n">
        <v>13</v>
      </c>
      <c r="H456" s="15" t="n">
        <v>173</v>
      </c>
    </row>
    <row r="457">
      <c r="A457" s="1" t="n">
        <v>471</v>
      </c>
      <c r="B457" s="2" t="inlineStr">
        <is>
          <t>Côte d'Ivoire</t>
        </is>
      </c>
      <c r="C457" s="2" t="inlineStr">
        <is>
          <t>Nicolas Pépé</t>
        </is>
      </c>
      <c r="D457" s="2" t="inlineStr">
        <is>
          <t>Avançado</t>
        </is>
      </c>
      <c r="E457" s="6" t="n">
        <v>18</v>
      </c>
      <c r="F457" s="6" t="n">
        <v>1620</v>
      </c>
      <c r="G457" s="14" t="n">
        <v>9</v>
      </c>
      <c r="H457" s="15" t="n">
        <v>125</v>
      </c>
    </row>
    <row r="458">
      <c r="A458" s="1" t="n">
        <v>472</v>
      </c>
      <c r="B458" s="2" t="inlineStr">
        <is>
          <t>Côte d'Ivoire</t>
        </is>
      </c>
      <c r="C458" s="2" t="inlineStr">
        <is>
          <t>Ange-Yoan Bonny</t>
        </is>
      </c>
      <c r="D458" s="2" t="inlineStr">
        <is>
          <t>Avançado</t>
        </is>
      </c>
      <c r="E458" s="8" t="n">
        <v>18</v>
      </c>
      <c r="F458" s="8" t="n">
        <v>1620</v>
      </c>
      <c r="G458" s="14" t="n">
        <v>1</v>
      </c>
      <c r="H458" s="15" t="n">
        <v>22</v>
      </c>
    </row>
    <row r="459">
      <c r="A459" s="1" t="n">
        <v>473</v>
      </c>
      <c r="B459" s="2" t="inlineStr">
        <is>
          <t>Côte d'Ivoire</t>
        </is>
      </c>
      <c r="C459" s="2" t="inlineStr">
        <is>
          <t>Elye Wahi</t>
        </is>
      </c>
      <c r="D459" s="2" t="inlineStr">
        <is>
          <t>Avançado</t>
        </is>
      </c>
      <c r="E459" s="6" t="n">
        <v>18</v>
      </c>
      <c r="F459" s="6" t="n">
        <v>1620</v>
      </c>
      <c r="G459" s="14" t="n">
        <v>2</v>
      </c>
      <c r="H459" s="15" t="n">
        <v>144</v>
      </c>
    </row>
    <row r="460">
      <c r="A460" s="1" t="n">
        <v>474</v>
      </c>
      <c r="B460" s="2" t="inlineStr">
        <is>
          <t>Côte d'Ivoire</t>
        </is>
      </c>
      <c r="C460" s="2" t="inlineStr">
        <is>
          <t>Oumar Diakité</t>
        </is>
      </c>
      <c r="D460" s="2" t="inlineStr">
        <is>
          <t>Avançado</t>
        </is>
      </c>
      <c r="E460" s="8" t="n">
        <v>18</v>
      </c>
      <c r="F460" s="8" t="n">
        <v>1620</v>
      </c>
      <c r="G460" s="14" t="n">
        <v>9</v>
      </c>
      <c r="H460" s="15" t="n">
        <v>144</v>
      </c>
    </row>
    <row r="461">
      <c r="A461" s="1" t="n">
        <v>475</v>
      </c>
      <c r="B461" s="2" t="inlineStr">
        <is>
          <t>Côte d'Ivoire</t>
        </is>
      </c>
      <c r="C461" s="2" t="inlineStr">
        <is>
          <t>Evann Guessand</t>
        </is>
      </c>
      <c r="D461" s="2" t="inlineStr">
        <is>
          <t>Avançado</t>
        </is>
      </c>
      <c r="E461" s="6" t="n">
        <v>18</v>
      </c>
      <c r="F461" s="6" t="n">
        <v>1620</v>
      </c>
      <c r="G461" s="14" t="n">
        <v>16</v>
      </c>
      <c r="H461" s="15" t="n">
        <v>196</v>
      </c>
    </row>
    <row r="462">
      <c r="A462" s="1" t="n">
        <v>476</v>
      </c>
      <c r="B462" s="2" t="inlineStr">
        <is>
          <t>Côte d'Ivoire</t>
        </is>
      </c>
      <c r="C462" s="2" t="inlineStr">
        <is>
          <t>Yan Diomande</t>
        </is>
      </c>
      <c r="D462" s="2" t="inlineStr">
        <is>
          <t>Avançado</t>
        </is>
      </c>
      <c r="E462" s="8" t="n">
        <v>18</v>
      </c>
      <c r="F462" s="8" t="n">
        <v>1620</v>
      </c>
      <c r="G462" s="14" t="n">
        <v>10</v>
      </c>
      <c r="H462" s="15" t="n">
        <v>154</v>
      </c>
    </row>
    <row r="463">
      <c r="A463" s="1" t="n">
        <v>477</v>
      </c>
      <c r="B463" s="2" t="inlineStr">
        <is>
          <t>Côte d'Ivoire</t>
        </is>
      </c>
      <c r="C463" s="2" t="inlineStr">
        <is>
          <t>Bazoumana Touré</t>
        </is>
      </c>
      <c r="D463" s="2" t="inlineStr">
        <is>
          <t>Avançado</t>
        </is>
      </c>
      <c r="E463" s="6" t="n">
        <v>18</v>
      </c>
      <c r="F463" s="6" t="n">
        <v>1620</v>
      </c>
      <c r="G463" s="14" t="n">
        <v>5</v>
      </c>
      <c r="H463" s="15" t="n">
        <v>113</v>
      </c>
    </row>
    <row r="464">
      <c r="A464" s="1" t="n">
        <v>478</v>
      </c>
      <c r="B464" s="2" t="inlineStr">
        <is>
          <t>Côte d'Ivoire</t>
        </is>
      </c>
      <c r="C464" s="2" t="inlineStr">
        <is>
          <t>Parfait Guiagon</t>
        </is>
      </c>
      <c r="D464" s="2" t="inlineStr">
        <is>
          <t>Avançado</t>
        </is>
      </c>
      <c r="E464" s="8" t="n">
        <v>18</v>
      </c>
      <c r="F464" s="8" t="n">
        <v>1620</v>
      </c>
      <c r="G464" s="14" t="n">
        <v>5</v>
      </c>
      <c r="H464" s="15" t="n">
        <v>139</v>
      </c>
    </row>
    <row r="465">
      <c r="A465" s="1" t="n">
        <v>479</v>
      </c>
      <c r="B465" s="2" t="inlineStr">
        <is>
          <t>Croatia</t>
        </is>
      </c>
      <c r="C465" s="2" t="inlineStr">
        <is>
          <t>Dominik Livakovic</t>
        </is>
      </c>
      <c r="D465" s="2" t="inlineStr">
        <is>
          <t>Guarda Redes</t>
        </is>
      </c>
      <c r="E465" s="11" t="n">
        <v>14</v>
      </c>
      <c r="F465" s="11" t="n">
        <v>1290</v>
      </c>
      <c r="G465" s="11" t="n">
        <v>12</v>
      </c>
      <c r="H465" s="12" t="n">
        <v>1080</v>
      </c>
    </row>
    <row r="466">
      <c r="A466" s="1" t="n">
        <v>480</v>
      </c>
      <c r="B466" s="2" t="inlineStr">
        <is>
          <t>Croatia</t>
        </is>
      </c>
      <c r="C466" s="2" t="inlineStr">
        <is>
          <t>Ivor Pandur</t>
        </is>
      </c>
      <c r="D466" s="2" t="inlineStr">
        <is>
          <t>Guarda Redes</t>
        </is>
      </c>
      <c r="E466" s="11" t="n">
        <v>14</v>
      </c>
      <c r="F466" s="11" t="n">
        <v>1290</v>
      </c>
      <c r="G466" s="11" t="n">
        <v>1</v>
      </c>
      <c r="H466" s="12" t="n">
        <v>0</v>
      </c>
    </row>
    <row r="467">
      <c r="A467" s="1" t="n">
        <v>481</v>
      </c>
      <c r="B467" s="2" t="inlineStr">
        <is>
          <t>Croatia</t>
        </is>
      </c>
      <c r="C467" s="2" t="inlineStr">
        <is>
          <t>Dominik Kotarski</t>
        </is>
      </c>
      <c r="D467" s="2" t="inlineStr">
        <is>
          <t>Guarda Redes</t>
        </is>
      </c>
      <c r="E467" s="11" t="n">
        <v>14</v>
      </c>
      <c r="F467" s="11" t="n">
        <v>1290</v>
      </c>
      <c r="G467" s="11" t="n">
        <v>0</v>
      </c>
      <c r="H467" s="12" t="n">
        <v>90</v>
      </c>
    </row>
    <row r="468">
      <c r="A468" s="1" t="n">
        <v>482</v>
      </c>
      <c r="B468" s="2" t="inlineStr">
        <is>
          <t>Croatia</t>
        </is>
      </c>
      <c r="C468" s="2" t="inlineStr">
        <is>
          <t>Josip Stanisic</t>
        </is>
      </c>
      <c r="D468" s="2" t="inlineStr">
        <is>
          <t>Defesa</t>
        </is>
      </c>
      <c r="E468" s="11" t="n">
        <v>14</v>
      </c>
      <c r="F468" s="11" t="n">
        <v>1290</v>
      </c>
      <c r="G468" s="11" t="n">
        <v>8</v>
      </c>
      <c r="H468" s="12" t="n">
        <v>672</v>
      </c>
    </row>
    <row r="469">
      <c r="A469" s="1" t="n">
        <v>483</v>
      </c>
      <c r="B469" s="2" t="inlineStr">
        <is>
          <t>Croatia</t>
        </is>
      </c>
      <c r="C469" s="2" t="inlineStr">
        <is>
          <t>Marin Pongracic</t>
        </is>
      </c>
      <c r="D469" s="2" t="inlineStr">
        <is>
          <t>Defesa</t>
        </is>
      </c>
      <c r="E469" s="11" t="n">
        <v>14</v>
      </c>
      <c r="F469" s="11" t="n">
        <v>1290</v>
      </c>
      <c r="G469" s="11" t="n">
        <v>9</v>
      </c>
      <c r="H469" s="12" t="n">
        <v>344</v>
      </c>
    </row>
    <row r="470">
      <c r="A470" s="1" t="n">
        <v>484</v>
      </c>
      <c r="B470" s="2" t="inlineStr">
        <is>
          <t>Croatia</t>
        </is>
      </c>
      <c r="C470" s="2" t="inlineStr">
        <is>
          <t>Josko Gvardiol</t>
        </is>
      </c>
      <c r="D470" s="2" t="inlineStr">
        <is>
          <t>Defesa</t>
        </is>
      </c>
      <c r="E470" s="11" t="n">
        <v>14</v>
      </c>
      <c r="F470" s="11" t="n">
        <v>1290</v>
      </c>
      <c r="G470" s="11" t="n">
        <v>9</v>
      </c>
      <c r="H470" s="12" t="n">
        <v>602</v>
      </c>
    </row>
    <row r="471">
      <c r="A471" s="1" t="n">
        <v>485</v>
      </c>
      <c r="B471" s="2" t="inlineStr">
        <is>
          <t>Croatia</t>
        </is>
      </c>
      <c r="C471" s="2" t="inlineStr">
        <is>
          <t>Duje Caleta-Car</t>
        </is>
      </c>
      <c r="D471" s="2" t="inlineStr">
        <is>
          <t>Defesa</t>
        </is>
      </c>
      <c r="E471" s="11" t="n">
        <v>14</v>
      </c>
      <c r="F471" s="11" t="n">
        <v>1290</v>
      </c>
      <c r="G471" s="11" t="n">
        <v>10</v>
      </c>
      <c r="H471" s="12" t="n">
        <v>782</v>
      </c>
    </row>
    <row r="472">
      <c r="A472" s="1" t="n">
        <v>486</v>
      </c>
      <c r="B472" s="2" t="inlineStr">
        <is>
          <t>Croatia</t>
        </is>
      </c>
      <c r="C472" s="2" t="inlineStr">
        <is>
          <t>Josip Sutalo</t>
        </is>
      </c>
      <c r="D472" s="2" t="inlineStr">
        <is>
          <t>Defesa</t>
        </is>
      </c>
      <c r="E472" s="11" t="n">
        <v>14</v>
      </c>
      <c r="F472" s="11" t="n">
        <v>1290</v>
      </c>
      <c r="G472" s="11" t="n">
        <v>8</v>
      </c>
      <c r="H472" s="12" t="n">
        <v>726</v>
      </c>
    </row>
    <row r="473">
      <c r="A473" s="1" t="n">
        <v>487</v>
      </c>
      <c r="B473" s="2" t="inlineStr">
        <is>
          <t>Croatia</t>
        </is>
      </c>
      <c r="C473" s="2" t="inlineStr">
        <is>
          <t>Luka Vuskovic</t>
        </is>
      </c>
      <c r="D473" s="2" t="inlineStr">
        <is>
          <t>Defesa</t>
        </is>
      </c>
      <c r="E473" s="11" t="n">
        <v>14</v>
      </c>
      <c r="F473" s="11" t="n">
        <v>1290</v>
      </c>
      <c r="G473" s="11" t="n">
        <v>2</v>
      </c>
      <c r="H473" s="12" t="n">
        <v>336</v>
      </c>
    </row>
    <row r="474">
      <c r="A474" s="1" t="n">
        <v>488</v>
      </c>
      <c r="B474" s="2" t="inlineStr">
        <is>
          <t>Croatia</t>
        </is>
      </c>
      <c r="C474" s="2" t="inlineStr">
        <is>
          <t>Martin Erlic</t>
        </is>
      </c>
      <c r="D474" s="2" t="inlineStr">
        <is>
          <t>Defesa</t>
        </is>
      </c>
      <c r="E474" s="11" t="n">
        <v>14</v>
      </c>
      <c r="F474" s="11" t="n">
        <v>1290</v>
      </c>
      <c r="G474" s="11" t="n">
        <v>5</v>
      </c>
      <c r="H474" s="12" t="n">
        <v>162</v>
      </c>
    </row>
    <row r="475">
      <c r="A475" s="1" t="n">
        <v>489</v>
      </c>
      <c r="B475" s="2" t="inlineStr">
        <is>
          <t>Croatia</t>
        </is>
      </c>
      <c r="C475" s="2" t="inlineStr">
        <is>
          <t>Nikola Moro</t>
        </is>
      </c>
      <c r="D475" s="2" t="inlineStr">
        <is>
          <t>Médio</t>
        </is>
      </c>
      <c r="E475" s="11" t="n">
        <v>14</v>
      </c>
      <c r="F475" s="11" t="n">
        <v>1290</v>
      </c>
      <c r="G475" s="11" t="n">
        <v>13</v>
      </c>
      <c r="H475" s="12" t="n">
        <v>390</v>
      </c>
    </row>
    <row r="476">
      <c r="A476" s="1" t="n">
        <v>490</v>
      </c>
      <c r="B476" s="2" t="inlineStr">
        <is>
          <t>Croatia</t>
        </is>
      </c>
      <c r="C476" s="2" t="inlineStr">
        <is>
          <t>Mateo Kovacic</t>
        </is>
      </c>
      <c r="D476" s="2" t="inlineStr">
        <is>
          <t>Médio</t>
        </is>
      </c>
      <c r="E476" s="11" t="n">
        <v>14</v>
      </c>
      <c r="F476" s="11" t="n">
        <v>1290</v>
      </c>
      <c r="G476" s="11" t="n">
        <v>4</v>
      </c>
      <c r="H476" s="12" t="n">
        <v>318</v>
      </c>
    </row>
    <row r="477">
      <c r="A477" s="1" t="n">
        <v>491</v>
      </c>
      <c r="B477" s="2" t="inlineStr">
        <is>
          <t>Croatia</t>
        </is>
      </c>
      <c r="C477" s="2" t="inlineStr">
        <is>
          <t>Luka Modrić</t>
        </is>
      </c>
      <c r="D477" s="2" t="inlineStr">
        <is>
          <t>Médio</t>
        </is>
      </c>
      <c r="E477" s="11" t="n">
        <v>14</v>
      </c>
      <c r="F477" s="11" t="n">
        <v>1290</v>
      </c>
      <c r="G477" s="11" t="n">
        <v>12</v>
      </c>
      <c r="H477" s="12" t="n">
        <v>808</v>
      </c>
    </row>
    <row r="478">
      <c r="A478" s="1" t="n">
        <v>492</v>
      </c>
      <c r="B478" s="2" t="inlineStr">
        <is>
          <t>Croatia</t>
        </is>
      </c>
      <c r="C478" s="2" t="inlineStr">
        <is>
          <t>Nikola Vlasic</t>
        </is>
      </c>
      <c r="D478" s="2" t="inlineStr">
        <is>
          <t>Médio</t>
        </is>
      </c>
      <c r="E478" s="11" t="n">
        <v>14</v>
      </c>
      <c r="F478" s="11" t="n">
        <v>1290</v>
      </c>
      <c r="G478" s="11" t="n">
        <v>5</v>
      </c>
      <c r="H478" s="12" t="n">
        <v>184</v>
      </c>
    </row>
    <row r="479">
      <c r="A479" s="1" t="n">
        <v>493</v>
      </c>
      <c r="B479" s="2" t="inlineStr">
        <is>
          <t>Croatia</t>
        </is>
      </c>
      <c r="C479" s="2" t="inlineStr">
        <is>
          <t>Mario Pasalic</t>
        </is>
      </c>
      <c r="D479" s="2" t="inlineStr">
        <is>
          <t>Médio</t>
        </is>
      </c>
      <c r="E479" s="11" t="n">
        <v>14</v>
      </c>
      <c r="F479" s="11" t="n">
        <v>1290</v>
      </c>
      <c r="G479" s="11" t="n">
        <v>4</v>
      </c>
      <c r="H479" s="12" t="n">
        <v>724</v>
      </c>
    </row>
    <row r="480">
      <c r="A480" s="1" t="n">
        <v>494</v>
      </c>
      <c r="B480" s="2" t="inlineStr">
        <is>
          <t>Croatia</t>
        </is>
      </c>
      <c r="C480" s="2" t="inlineStr">
        <is>
          <t>Martin Baturina</t>
        </is>
      </c>
      <c r="D480" s="2" t="inlineStr">
        <is>
          <t>Médio</t>
        </is>
      </c>
      <c r="E480" s="11" t="n">
        <v>14</v>
      </c>
      <c r="F480" s="11" t="n">
        <v>1290</v>
      </c>
      <c r="G480" s="11" t="n">
        <v>9</v>
      </c>
      <c r="H480" s="12" t="n">
        <v>446</v>
      </c>
    </row>
    <row r="481">
      <c r="A481" s="1" t="n">
        <v>495</v>
      </c>
      <c r="B481" s="2" t="inlineStr">
        <is>
          <t>Croatia</t>
        </is>
      </c>
      <c r="C481" s="2" t="inlineStr">
        <is>
          <t>Petar Sucic</t>
        </is>
      </c>
      <c r="D481" s="2" t="inlineStr">
        <is>
          <t>Médio</t>
        </is>
      </c>
      <c r="E481" s="11" t="n">
        <v>14</v>
      </c>
      <c r="F481" s="11" t="n">
        <v>1290</v>
      </c>
      <c r="G481" s="11" t="n">
        <v>8</v>
      </c>
      <c r="H481" s="12" t="n">
        <v>990</v>
      </c>
    </row>
    <row r="482">
      <c r="A482" s="1" t="n">
        <v>496</v>
      </c>
      <c r="B482" s="2" t="inlineStr">
        <is>
          <t>Croatia</t>
        </is>
      </c>
      <c r="C482" s="2" t="inlineStr">
        <is>
          <t>Kristijan Jakic</t>
        </is>
      </c>
      <c r="D482" s="2" t="inlineStr">
        <is>
          <t>Médio</t>
        </is>
      </c>
      <c r="E482" s="11" t="n">
        <v>14</v>
      </c>
      <c r="F482" s="11" t="n">
        <v>1290</v>
      </c>
      <c r="G482" s="11" t="n">
        <v>11</v>
      </c>
      <c r="H482" s="12" t="n">
        <v>396</v>
      </c>
    </row>
    <row r="483">
      <c r="A483" s="1" t="n">
        <v>497</v>
      </c>
      <c r="B483" s="2" t="inlineStr">
        <is>
          <t>Croatia</t>
        </is>
      </c>
      <c r="C483" s="2" t="inlineStr">
        <is>
          <t>Luka Sucic</t>
        </is>
      </c>
      <c r="D483" s="2" t="inlineStr">
        <is>
          <t>Médio</t>
        </is>
      </c>
      <c r="E483" s="11" t="n">
        <v>14</v>
      </c>
      <c r="F483" s="11" t="n">
        <v>1290</v>
      </c>
      <c r="G483" s="11" t="n">
        <v>8</v>
      </c>
      <c r="H483" s="12" t="n">
        <v>206</v>
      </c>
    </row>
    <row r="484">
      <c r="A484" s="1" t="n">
        <v>498</v>
      </c>
      <c r="B484" s="2" t="inlineStr">
        <is>
          <t>Croatia</t>
        </is>
      </c>
      <c r="C484" s="2" t="inlineStr">
        <is>
          <t>Andrej Kramaric</t>
        </is>
      </c>
      <c r="D484" s="2" t="inlineStr">
        <is>
          <t>Avançado</t>
        </is>
      </c>
      <c r="E484" s="11" t="n">
        <v>14</v>
      </c>
      <c r="F484" s="11" t="n">
        <v>1290</v>
      </c>
      <c r="G484" s="11" t="n">
        <v>7</v>
      </c>
      <c r="H484" s="12" t="n">
        <v>740</v>
      </c>
    </row>
    <row r="485">
      <c r="A485" s="1" t="n">
        <v>499</v>
      </c>
      <c r="B485" s="2" t="inlineStr">
        <is>
          <t>Croatia</t>
        </is>
      </c>
      <c r="C485" s="2" t="inlineStr">
        <is>
          <t>Ante Budimir</t>
        </is>
      </c>
      <c r="D485" s="2" t="inlineStr">
        <is>
          <t>Avançado</t>
        </is>
      </c>
      <c r="E485" s="11" t="n">
        <v>14</v>
      </c>
      <c r="F485" s="11" t="n">
        <v>1290</v>
      </c>
      <c r="G485" s="11" t="n">
        <v>13</v>
      </c>
      <c r="H485" s="12" t="n">
        <v>710</v>
      </c>
    </row>
    <row r="486">
      <c r="A486" s="1" t="n">
        <v>500</v>
      </c>
      <c r="B486" s="2" t="inlineStr">
        <is>
          <t>Croatia</t>
        </is>
      </c>
      <c r="C486" s="2" t="inlineStr">
        <is>
          <t>Ivan Perisic</t>
        </is>
      </c>
      <c r="D486" s="2" t="inlineStr">
        <is>
          <t>Avançado</t>
        </is>
      </c>
      <c r="E486" s="11" t="n">
        <v>14</v>
      </c>
      <c r="F486" s="11" t="n">
        <v>1290</v>
      </c>
      <c r="G486" s="11" t="n">
        <v>13</v>
      </c>
      <c r="H486" s="12" t="n">
        <v>1098</v>
      </c>
    </row>
    <row r="487">
      <c r="A487" s="1" t="n">
        <v>501</v>
      </c>
      <c r="B487" s="2" t="inlineStr">
        <is>
          <t>Croatia</t>
        </is>
      </c>
      <c r="C487" s="2" t="inlineStr">
        <is>
          <t>Toni Fruk</t>
        </is>
      </c>
      <c r="D487" s="2" t="inlineStr">
        <is>
          <t>Avançado</t>
        </is>
      </c>
      <c r="E487" s="11" t="n">
        <v>14</v>
      </c>
      <c r="F487" s="11" t="n">
        <v>1290</v>
      </c>
      <c r="G487" s="11" t="n">
        <v>9</v>
      </c>
      <c r="H487" s="12" t="n">
        <v>246</v>
      </c>
    </row>
    <row r="488">
      <c r="A488" s="1" t="n">
        <v>502</v>
      </c>
      <c r="B488" s="2" t="inlineStr">
        <is>
          <t>Croatia</t>
        </is>
      </c>
      <c r="C488" s="2" t="inlineStr">
        <is>
          <t>Igor Matanovic</t>
        </is>
      </c>
      <c r="D488" s="2" t="inlineStr">
        <is>
          <t>Avançado</t>
        </is>
      </c>
      <c r="E488" s="11" t="n">
        <v>14</v>
      </c>
      <c r="F488" s="11" t="n">
        <v>1290</v>
      </c>
      <c r="G488" s="11" t="n">
        <v>9</v>
      </c>
      <c r="H488" s="12" t="n">
        <v>168</v>
      </c>
    </row>
    <row r="489">
      <c r="A489" s="1" t="n">
        <v>503</v>
      </c>
      <c r="B489" s="2" t="inlineStr">
        <is>
          <t>Croatia</t>
        </is>
      </c>
      <c r="C489" s="2" t="inlineStr">
        <is>
          <t>Marco Pasalic</t>
        </is>
      </c>
      <c r="D489" s="2" t="inlineStr">
        <is>
          <t>Avançado</t>
        </is>
      </c>
      <c r="E489" s="11" t="n">
        <v>14</v>
      </c>
      <c r="F489" s="11" t="n">
        <v>1290</v>
      </c>
      <c r="G489" s="11" t="n">
        <v>5</v>
      </c>
      <c r="H489" s="12" t="n">
        <v>370</v>
      </c>
    </row>
    <row r="490">
      <c r="A490" s="1" t="n">
        <v>504</v>
      </c>
      <c r="B490" s="2" t="inlineStr">
        <is>
          <t>Croatia</t>
        </is>
      </c>
      <c r="C490" s="2" t="inlineStr">
        <is>
          <t>Petar Musa</t>
        </is>
      </c>
      <c r="D490" s="2" t="inlineStr">
        <is>
          <t>Avançado</t>
        </is>
      </c>
      <c r="E490" s="11" t="n">
        <v>14</v>
      </c>
      <c r="F490" s="11" t="n">
        <v>1290</v>
      </c>
      <c r="G490" s="11" t="n">
        <v>3</v>
      </c>
      <c r="H490" s="12" t="n">
        <v>282</v>
      </c>
    </row>
    <row r="491">
      <c r="A491" s="1" t="n">
        <v>505</v>
      </c>
      <c r="B491" s="2" t="inlineStr">
        <is>
          <t>Curaçao</t>
        </is>
      </c>
      <c r="C491" s="2" t="inlineStr">
        <is>
          <t>Eloy Room</t>
        </is>
      </c>
      <c r="D491" s="2" t="inlineStr">
        <is>
          <t>Guarda Redes</t>
        </is>
      </c>
      <c r="E491" s="11" t="n">
        <v>15</v>
      </c>
      <c r="F491" s="11" t="n">
        <v>1350</v>
      </c>
      <c r="G491" s="11" t="n">
        <v>15</v>
      </c>
      <c r="H491" s="12" t="n">
        <v>1264</v>
      </c>
    </row>
    <row r="492">
      <c r="A492" s="1" t="n">
        <v>506</v>
      </c>
      <c r="B492" s="2" t="inlineStr">
        <is>
          <t>Curaçao</t>
        </is>
      </c>
      <c r="C492" s="2" t="inlineStr">
        <is>
          <t>Tyrick Bodak</t>
        </is>
      </c>
      <c r="D492" s="2" t="inlineStr">
        <is>
          <t>Guarda Redes</t>
        </is>
      </c>
      <c r="E492" s="11" t="n">
        <v>15</v>
      </c>
      <c r="F492" s="11" t="n">
        <v>1350</v>
      </c>
      <c r="G492" s="11" t="n">
        <v>0</v>
      </c>
      <c r="H492" s="12" t="n">
        <v>0</v>
      </c>
    </row>
    <row r="493">
      <c r="A493" s="1" t="n">
        <v>507</v>
      </c>
      <c r="B493" s="2" t="inlineStr">
        <is>
          <t>Curaçao</t>
        </is>
      </c>
      <c r="C493" s="2" t="inlineStr">
        <is>
          <t>Trevor Doornbusch</t>
        </is>
      </c>
      <c r="D493" s="2" t="inlineStr">
        <is>
          <t>Guarda Redes</t>
        </is>
      </c>
      <c r="E493" s="11" t="n">
        <v>15</v>
      </c>
      <c r="F493" s="11" t="n">
        <v>1350</v>
      </c>
      <c r="G493" s="11" t="n">
        <v>1</v>
      </c>
      <c r="H493" s="12" t="n">
        <v>17</v>
      </c>
    </row>
    <row r="494">
      <c r="A494" s="1" t="n">
        <v>508</v>
      </c>
      <c r="B494" s="2" t="inlineStr">
        <is>
          <t>Curaçao</t>
        </is>
      </c>
      <c r="C494" s="2" t="inlineStr">
        <is>
          <t>Shurandy Sambo</t>
        </is>
      </c>
      <c r="D494" s="2" t="inlineStr">
        <is>
          <t>Defesa</t>
        </is>
      </c>
      <c r="E494" s="11" t="n">
        <v>15</v>
      </c>
      <c r="F494" s="11" t="n">
        <v>1350</v>
      </c>
      <c r="G494" s="11" t="n">
        <v>7</v>
      </c>
      <c r="H494" s="12" t="n">
        <v>590</v>
      </c>
    </row>
    <row r="495">
      <c r="A495" s="1" t="n">
        <v>509</v>
      </c>
      <c r="B495" s="2" t="inlineStr">
        <is>
          <t>Curaçao</t>
        </is>
      </c>
      <c r="C495" s="2" t="inlineStr">
        <is>
          <t>Jurien Gaari</t>
        </is>
      </c>
      <c r="D495" s="2" t="inlineStr">
        <is>
          <t>Defesa</t>
        </is>
      </c>
      <c r="E495" s="11" t="n">
        <v>15</v>
      </c>
      <c r="F495" s="11" t="n">
        <v>1350</v>
      </c>
      <c r="G495" s="11" t="n">
        <v>14</v>
      </c>
      <c r="H495" s="12" t="n">
        <v>1045</v>
      </c>
    </row>
    <row r="496">
      <c r="A496" s="1" t="n">
        <v>510</v>
      </c>
      <c r="B496" s="2" t="inlineStr">
        <is>
          <t>Curaçao</t>
        </is>
      </c>
      <c r="C496" s="2" t="inlineStr">
        <is>
          <t>Roshon van Eijma</t>
        </is>
      </c>
      <c r="D496" s="2" t="inlineStr">
        <is>
          <t>Defesa</t>
        </is>
      </c>
      <c r="E496" s="11" t="n">
        <v>15</v>
      </c>
      <c r="F496" s="11" t="n">
        <v>1350</v>
      </c>
      <c r="G496" s="11" t="n">
        <v>13</v>
      </c>
      <c r="H496" s="12" t="n">
        <v>961</v>
      </c>
    </row>
    <row r="497">
      <c r="A497" s="1" t="n">
        <v>511</v>
      </c>
      <c r="B497" s="2" t="inlineStr">
        <is>
          <t>Curaçao</t>
        </is>
      </c>
      <c r="C497" s="2" t="inlineStr">
        <is>
          <t>Sherell Floranus</t>
        </is>
      </c>
      <c r="D497" s="2" t="inlineStr">
        <is>
          <t>Defesa</t>
        </is>
      </c>
      <c r="E497" s="11" t="n">
        <v>15</v>
      </c>
      <c r="F497" s="11" t="n">
        <v>1350</v>
      </c>
      <c r="G497" s="11" t="n">
        <v>14</v>
      </c>
      <c r="H497" s="12" t="n">
        <v>1180</v>
      </c>
    </row>
    <row r="498">
      <c r="A498" s="1" t="n">
        <v>512</v>
      </c>
      <c r="B498" s="2" t="inlineStr">
        <is>
          <t>Curaçao</t>
        </is>
      </c>
      <c r="C498" s="2" t="inlineStr">
        <is>
          <t>Ar’jany Martha</t>
        </is>
      </c>
      <c r="D498" s="2" t="inlineStr">
        <is>
          <t>Defesa</t>
        </is>
      </c>
      <c r="E498" s="11" t="n">
        <v>15</v>
      </c>
      <c r="F498" s="11" t="n">
        <v>1350</v>
      </c>
      <c r="G498" s="11" t="n">
        <v>4</v>
      </c>
      <c r="H498" s="12" t="n">
        <v>135</v>
      </c>
    </row>
    <row r="499">
      <c r="A499" s="1" t="n">
        <v>513</v>
      </c>
      <c r="B499" s="2" t="inlineStr">
        <is>
          <t>Curaçao</t>
        </is>
      </c>
      <c r="C499" s="2" t="inlineStr">
        <is>
          <t>Armando Obispo</t>
        </is>
      </c>
      <c r="D499" s="2" t="inlineStr">
        <is>
          <t>Defesa</t>
        </is>
      </c>
      <c r="E499" s="11" t="n">
        <v>15</v>
      </c>
      <c r="F499" s="11" t="n">
        <v>1350</v>
      </c>
      <c r="G499" s="11" t="n">
        <v>5</v>
      </c>
      <c r="H499" s="12" t="n">
        <v>421</v>
      </c>
    </row>
    <row r="500">
      <c r="A500" s="1" t="n">
        <v>514</v>
      </c>
      <c r="B500" s="2" t="inlineStr">
        <is>
          <t>Curaçao</t>
        </is>
      </c>
      <c r="C500" s="2" t="inlineStr">
        <is>
          <t>Joshua Brenet</t>
        </is>
      </c>
      <c r="D500" s="2" t="inlineStr">
        <is>
          <t>Defesa</t>
        </is>
      </c>
      <c r="E500" s="11" t="n">
        <v>15</v>
      </c>
      <c r="F500" s="11" t="n">
        <v>1350</v>
      </c>
      <c r="G500" s="11" t="n">
        <v>9</v>
      </c>
      <c r="H500" s="12" t="n">
        <v>624</v>
      </c>
    </row>
    <row r="501">
      <c r="A501" s="1" t="n">
        <v>515</v>
      </c>
      <c r="B501" s="2" t="inlineStr">
        <is>
          <t>Curaçao</t>
        </is>
      </c>
      <c r="C501" s="2" t="inlineStr">
        <is>
          <t>Riechedly Bazoer</t>
        </is>
      </c>
      <c r="D501" s="2" t="inlineStr">
        <is>
          <t>Defesa</t>
        </is>
      </c>
      <c r="E501" s="11" t="n">
        <v>15</v>
      </c>
      <c r="F501" s="11" t="n">
        <v>1350</v>
      </c>
      <c r="G501" s="11" t="n">
        <v>4</v>
      </c>
      <c r="H501" s="12" t="n">
        <v>337</v>
      </c>
    </row>
    <row r="502">
      <c r="A502" s="1" t="n">
        <v>516</v>
      </c>
      <c r="B502" s="2" t="inlineStr">
        <is>
          <t>Curaçao</t>
        </is>
      </c>
      <c r="C502" s="2" t="inlineStr">
        <is>
          <t>Deveron Fonville</t>
        </is>
      </c>
      <c r="D502" s="2" t="inlineStr">
        <is>
          <t>Defesa</t>
        </is>
      </c>
      <c r="E502" s="11" t="n">
        <v>15</v>
      </c>
      <c r="F502" s="11" t="n">
        <v>1350</v>
      </c>
      <c r="G502" s="11" t="n">
        <v>1</v>
      </c>
      <c r="H502" s="12" t="n">
        <v>84</v>
      </c>
    </row>
    <row r="503">
      <c r="A503" s="1" t="n">
        <v>517</v>
      </c>
      <c r="B503" s="2" t="inlineStr">
        <is>
          <t>Curaçao</t>
        </is>
      </c>
      <c r="C503" s="2" t="inlineStr">
        <is>
          <t>Godfried Roemeratoe</t>
        </is>
      </c>
      <c r="D503" s="2" t="inlineStr">
        <is>
          <t>Médio</t>
        </is>
      </c>
      <c r="E503" s="11" t="n">
        <v>15</v>
      </c>
      <c r="F503" s="11" t="n">
        <v>1350</v>
      </c>
      <c r="G503" s="11" t="n">
        <v>12</v>
      </c>
      <c r="H503" s="12" t="n">
        <v>270</v>
      </c>
    </row>
    <row r="504">
      <c r="A504" s="1" t="n">
        <v>518</v>
      </c>
      <c r="B504" s="2" t="inlineStr">
        <is>
          <t>Curaçao</t>
        </is>
      </c>
      <c r="C504" s="2" t="inlineStr">
        <is>
          <t>Juninho Bacuna</t>
        </is>
      </c>
      <c r="D504" s="2" t="inlineStr">
        <is>
          <t>Médio</t>
        </is>
      </c>
      <c r="E504" s="11" t="n">
        <v>15</v>
      </c>
      <c r="F504" s="11" t="n">
        <v>1350</v>
      </c>
      <c r="G504" s="11" t="n">
        <v>14</v>
      </c>
      <c r="H504" s="12" t="n">
        <v>1180</v>
      </c>
    </row>
    <row r="505">
      <c r="A505" s="1" t="n">
        <v>519</v>
      </c>
      <c r="B505" s="2" t="inlineStr">
        <is>
          <t>Curaçao</t>
        </is>
      </c>
      <c r="C505" s="2" t="inlineStr">
        <is>
          <t>Livano Comenencia</t>
        </is>
      </c>
      <c r="D505" s="2" t="inlineStr">
        <is>
          <t>Médio</t>
        </is>
      </c>
      <c r="E505" s="11" t="n">
        <v>15</v>
      </c>
      <c r="F505" s="11" t="n">
        <v>1350</v>
      </c>
      <c r="G505" s="11" t="n">
        <v>15</v>
      </c>
      <c r="H505" s="12" t="n">
        <v>1197</v>
      </c>
    </row>
    <row r="506">
      <c r="A506" s="1" t="n">
        <v>520</v>
      </c>
      <c r="B506" s="2" t="inlineStr">
        <is>
          <t>Curaçao</t>
        </is>
      </c>
      <c r="C506" s="2" t="inlineStr">
        <is>
          <t>Leandro Bacuna</t>
        </is>
      </c>
      <c r="D506" s="2" t="inlineStr">
        <is>
          <t>Médio</t>
        </is>
      </c>
      <c r="E506" s="11" t="n">
        <v>15</v>
      </c>
      <c r="F506" s="11" t="n">
        <v>1350</v>
      </c>
      <c r="G506" s="11" t="n">
        <v>14</v>
      </c>
      <c r="H506" s="12" t="n">
        <v>1180</v>
      </c>
    </row>
    <row r="507">
      <c r="A507" s="1" t="n">
        <v>521</v>
      </c>
      <c r="B507" s="2" t="inlineStr">
        <is>
          <t>Curaçao</t>
        </is>
      </c>
      <c r="C507" s="2" t="inlineStr">
        <is>
          <t>Tyrese Noslin</t>
        </is>
      </c>
      <c r="D507" s="2" t="inlineStr">
        <is>
          <t>Médio</t>
        </is>
      </c>
      <c r="E507" s="11" t="n">
        <v>15</v>
      </c>
      <c r="F507" s="11" t="n">
        <v>1350</v>
      </c>
      <c r="G507" s="11" t="n">
        <v>6</v>
      </c>
      <c r="H507" s="12" t="n">
        <v>101</v>
      </c>
    </row>
    <row r="508">
      <c r="A508" s="1" t="n">
        <v>522</v>
      </c>
      <c r="B508" s="2" t="inlineStr">
        <is>
          <t>Curaçao</t>
        </is>
      </c>
      <c r="C508" s="2" t="inlineStr">
        <is>
          <t>Kevin Felida</t>
        </is>
      </c>
      <c r="D508" s="2" t="inlineStr">
        <is>
          <t>Médio</t>
        </is>
      </c>
      <c r="E508" s="11" t="n">
        <v>15</v>
      </c>
      <c r="F508" s="11" t="n">
        <v>1350</v>
      </c>
      <c r="G508" s="11" t="n">
        <v>3</v>
      </c>
      <c r="H508" s="12" t="n">
        <v>51</v>
      </c>
    </row>
    <row r="509">
      <c r="A509" s="1" t="n">
        <v>523</v>
      </c>
      <c r="B509" s="2" t="inlineStr">
        <is>
          <t>Curaçao</t>
        </is>
      </c>
      <c r="C509" s="2" t="inlineStr">
        <is>
          <t>Jurgen Locadia</t>
        </is>
      </c>
      <c r="D509" s="2" t="inlineStr">
        <is>
          <t>Avançado</t>
        </is>
      </c>
      <c r="E509" s="11" t="n">
        <v>15</v>
      </c>
      <c r="F509" s="11" t="n">
        <v>1350</v>
      </c>
      <c r="G509" s="11" t="n">
        <v>10</v>
      </c>
      <c r="H509" s="12" t="n">
        <v>573</v>
      </c>
    </row>
    <row r="510">
      <c r="A510" s="1" t="n">
        <v>524</v>
      </c>
      <c r="B510" s="2" t="inlineStr">
        <is>
          <t>Curaçao</t>
        </is>
      </c>
      <c r="C510" s="2" t="inlineStr">
        <is>
          <t>Jeremy Antonisse</t>
        </is>
      </c>
      <c r="D510" s="2" t="inlineStr">
        <is>
          <t>Avançado</t>
        </is>
      </c>
      <c r="E510" s="11" t="n">
        <v>15</v>
      </c>
      <c r="F510" s="11" t="n">
        <v>1350</v>
      </c>
      <c r="G510" s="11" t="n">
        <v>14</v>
      </c>
      <c r="H510" s="12" t="n">
        <v>641</v>
      </c>
    </row>
    <row r="511">
      <c r="A511" s="1" t="n">
        <v>525</v>
      </c>
      <c r="B511" s="2" t="inlineStr">
        <is>
          <t>Curaçao</t>
        </is>
      </c>
      <c r="C511" s="2" t="inlineStr">
        <is>
          <t>Sontje Hansen</t>
        </is>
      </c>
      <c r="D511" s="2" t="inlineStr">
        <is>
          <t>Avançado</t>
        </is>
      </c>
      <c r="E511" s="11" t="n">
        <v>15</v>
      </c>
      <c r="F511" s="11" t="n">
        <v>1350</v>
      </c>
      <c r="G511" s="11" t="n">
        <v>5</v>
      </c>
      <c r="H511" s="12" t="n">
        <v>354</v>
      </c>
    </row>
    <row r="512">
      <c r="A512" s="1" t="n">
        <v>526</v>
      </c>
      <c r="B512" s="2" t="inlineStr">
        <is>
          <t>Curaçao</t>
        </is>
      </c>
      <c r="C512" s="2" t="inlineStr">
        <is>
          <t>Kenji Gorré</t>
        </is>
      </c>
      <c r="D512" s="2" t="inlineStr">
        <is>
          <t>Avançado</t>
        </is>
      </c>
      <c r="E512" s="11" t="n">
        <v>15</v>
      </c>
      <c r="F512" s="11" t="n">
        <v>1350</v>
      </c>
      <c r="G512" s="11" t="n">
        <v>11</v>
      </c>
      <c r="H512" s="12" t="n">
        <v>860</v>
      </c>
    </row>
    <row r="513">
      <c r="A513" s="1" t="n">
        <v>527</v>
      </c>
      <c r="B513" s="2" t="inlineStr">
        <is>
          <t>Curaçao</t>
        </is>
      </c>
      <c r="C513" s="2" t="inlineStr">
        <is>
          <t>Jearl Margaritha</t>
        </is>
      </c>
      <c r="D513" s="2" t="inlineStr">
        <is>
          <t>Avançado</t>
        </is>
      </c>
      <c r="E513" s="11" t="n">
        <v>15</v>
      </c>
      <c r="F513" s="11" t="n">
        <v>1350</v>
      </c>
      <c r="G513" s="11" t="n">
        <v>11</v>
      </c>
      <c r="H513" s="12" t="n">
        <v>725</v>
      </c>
    </row>
    <row r="514">
      <c r="A514" s="1" t="n">
        <v>528</v>
      </c>
      <c r="B514" s="2" t="inlineStr">
        <is>
          <t>Curaçao</t>
        </is>
      </c>
      <c r="C514" s="2" t="inlineStr">
        <is>
          <t>Brandley Kuwas</t>
        </is>
      </c>
      <c r="D514" s="2" t="inlineStr">
        <is>
          <t>Avançado</t>
        </is>
      </c>
      <c r="E514" s="11" t="n">
        <v>15</v>
      </c>
      <c r="F514" s="11" t="n">
        <v>1350</v>
      </c>
      <c r="G514" s="11" t="n">
        <v>7</v>
      </c>
      <c r="H514" s="12" t="n">
        <v>253</v>
      </c>
    </row>
    <row r="515">
      <c r="A515" s="1" t="n">
        <v>529</v>
      </c>
      <c r="B515" s="2" t="inlineStr">
        <is>
          <t>Curaçao</t>
        </is>
      </c>
      <c r="C515" s="2" t="inlineStr">
        <is>
          <t>Gervane Kastaneer</t>
        </is>
      </c>
      <c r="D515" s="2" t="inlineStr">
        <is>
          <t>Avançado</t>
        </is>
      </c>
      <c r="E515" s="11" t="n">
        <v>15</v>
      </c>
      <c r="F515" s="11" t="n">
        <v>1350</v>
      </c>
      <c r="G515" s="11" t="n">
        <v>11</v>
      </c>
      <c r="H515" s="12" t="n">
        <v>523</v>
      </c>
    </row>
    <row r="516">
      <c r="A516" s="1" t="n">
        <v>530</v>
      </c>
      <c r="B516" s="2" t="inlineStr">
        <is>
          <t>Curaçao</t>
        </is>
      </c>
      <c r="C516" s="2" t="inlineStr">
        <is>
          <t>Tahith Chong</t>
        </is>
      </c>
      <c r="D516" s="2" t="inlineStr">
        <is>
          <t>Avançado</t>
        </is>
      </c>
      <c r="E516" s="11" t="n">
        <v>15</v>
      </c>
      <c r="F516" s="11" t="n">
        <v>1350</v>
      </c>
      <c r="G516" s="11" t="n">
        <v>5</v>
      </c>
      <c r="H516" s="12" t="n">
        <v>287</v>
      </c>
    </row>
    <row r="517">
      <c r="A517" s="1" t="n">
        <v>531</v>
      </c>
      <c r="B517" s="2" t="inlineStr">
        <is>
          <t>Egypt</t>
        </is>
      </c>
      <c r="C517" s="2" t="inlineStr">
        <is>
          <t>Mohamed El-Shenawy</t>
        </is>
      </c>
      <c r="D517" s="2" t="inlineStr">
        <is>
          <t>Guarda Redes</t>
        </is>
      </c>
      <c r="E517" s="6" t="n">
        <v>24</v>
      </c>
      <c r="F517" s="6" t="n">
        <v>2190</v>
      </c>
      <c r="G517" s="7" t="n">
        <v>14</v>
      </c>
      <c r="H517" s="12" t="n">
        <v>223</v>
      </c>
    </row>
    <row r="518">
      <c r="A518" s="1" t="n">
        <v>532</v>
      </c>
      <c r="B518" s="2" t="inlineStr">
        <is>
          <t>Egypt</t>
        </is>
      </c>
      <c r="C518" s="2" t="inlineStr">
        <is>
          <t>Al Mahdy Soliman</t>
        </is>
      </c>
      <c r="D518" s="2" t="inlineStr">
        <is>
          <t>Guarda Redes</t>
        </is>
      </c>
      <c r="E518" s="8" t="n">
        <v>24</v>
      </c>
      <c r="F518" s="8" t="n">
        <v>2190</v>
      </c>
      <c r="G518" s="9" t="n">
        <v>0</v>
      </c>
      <c r="H518" s="12" t="n">
        <v>0</v>
      </c>
    </row>
    <row r="519">
      <c r="A519" s="1" t="n">
        <v>533</v>
      </c>
      <c r="B519" s="2" t="inlineStr">
        <is>
          <t>Egypt</t>
        </is>
      </c>
      <c r="C519" s="2" t="inlineStr">
        <is>
          <t>Mostafa Ahmed</t>
        </is>
      </c>
      <c r="D519" s="2" t="inlineStr">
        <is>
          <t>Guarda Redes</t>
        </is>
      </c>
      <c r="E519" s="6" t="n">
        <v>24</v>
      </c>
      <c r="F519" s="6" t="n">
        <v>2190</v>
      </c>
      <c r="G519" s="7" t="n">
        <v>8</v>
      </c>
      <c r="H519" s="12" t="n">
        <v>318</v>
      </c>
    </row>
    <row r="520">
      <c r="A520" s="1" t="n">
        <v>534</v>
      </c>
      <c r="B520" s="2" t="inlineStr">
        <is>
          <t>Egypt</t>
        </is>
      </c>
      <c r="C520" s="2" t="inlineStr">
        <is>
          <t>Mohamed Alaa</t>
        </is>
      </c>
      <c r="D520" s="2" t="inlineStr">
        <is>
          <t>Guarda Redes</t>
        </is>
      </c>
      <c r="E520" s="8" t="n">
        <v>24</v>
      </c>
      <c r="F520" s="8" t="n">
        <v>2190</v>
      </c>
      <c r="G520" s="9" t="n">
        <v>0</v>
      </c>
      <c r="H520" s="12" t="n">
        <v>0</v>
      </c>
    </row>
    <row r="521">
      <c r="A521" s="1" t="n">
        <v>535</v>
      </c>
      <c r="B521" s="2" t="inlineStr">
        <is>
          <t>Egypt</t>
        </is>
      </c>
      <c r="C521" s="2" t="inlineStr">
        <is>
          <t>Mohamed Hany</t>
        </is>
      </c>
      <c r="D521" s="2" t="inlineStr">
        <is>
          <t>Defesa</t>
        </is>
      </c>
      <c r="E521" s="6" t="n">
        <v>24</v>
      </c>
      <c r="F521" s="6" t="n">
        <v>2190</v>
      </c>
      <c r="G521" s="7" t="n">
        <v>17</v>
      </c>
      <c r="H521" s="12" t="n">
        <v>597</v>
      </c>
    </row>
    <row r="522">
      <c r="A522" s="1" t="n">
        <v>536</v>
      </c>
      <c r="B522" s="2" t="inlineStr">
        <is>
          <t>Egypt</t>
        </is>
      </c>
      <c r="C522" s="2" t="inlineStr">
        <is>
          <t>Yasser Ibrahim</t>
        </is>
      </c>
      <c r="D522" s="2" t="inlineStr">
        <is>
          <t>Defesa</t>
        </is>
      </c>
      <c r="E522" s="8" t="n">
        <v>24</v>
      </c>
      <c r="F522" s="8" t="n">
        <v>2190</v>
      </c>
      <c r="G522" s="9" t="n">
        <v>11</v>
      </c>
      <c r="H522" s="12" t="n">
        <v>413</v>
      </c>
    </row>
    <row r="523">
      <c r="A523" s="1" t="n">
        <v>537</v>
      </c>
      <c r="B523" s="2" t="inlineStr">
        <is>
          <t>Egypt</t>
        </is>
      </c>
      <c r="C523" s="2" t="inlineStr">
        <is>
          <t>Hossam Abdelmaguid</t>
        </is>
      </c>
      <c r="D523" s="2" t="inlineStr">
        <is>
          <t>Defesa</t>
        </is>
      </c>
      <c r="E523" s="6" t="n">
        <v>24</v>
      </c>
      <c r="F523" s="6" t="n">
        <v>2190</v>
      </c>
      <c r="G523" s="7" t="n">
        <v>11</v>
      </c>
      <c r="H523" s="12" t="n">
        <v>115</v>
      </c>
    </row>
    <row r="524">
      <c r="A524" s="1" t="n">
        <v>538</v>
      </c>
      <c r="B524" s="2" t="inlineStr">
        <is>
          <t>Egypt</t>
        </is>
      </c>
      <c r="C524" s="2" t="inlineStr">
        <is>
          <t>Rami Rabia</t>
        </is>
      </c>
      <c r="D524" s="2" t="inlineStr">
        <is>
          <t>Defesa</t>
        </is>
      </c>
      <c r="E524" s="8" t="n">
        <v>24</v>
      </c>
      <c r="F524" s="8" t="n">
        <v>2190</v>
      </c>
      <c r="G524" s="9" t="n">
        <v>15</v>
      </c>
      <c r="H524" s="12" t="n">
        <v>257</v>
      </c>
    </row>
    <row r="525">
      <c r="A525" s="1" t="n">
        <v>539</v>
      </c>
      <c r="B525" s="2" t="inlineStr">
        <is>
          <t>Egypt</t>
        </is>
      </c>
      <c r="C525" s="2" t="inlineStr">
        <is>
          <t>Mohamed Abdelmonem</t>
        </is>
      </c>
      <c r="D525" s="2" t="inlineStr">
        <is>
          <t>Defesa</t>
        </is>
      </c>
      <c r="E525" s="6" t="n">
        <v>24</v>
      </c>
      <c r="F525" s="6" t="n">
        <v>2190</v>
      </c>
      <c r="G525" s="7" t="n">
        <v>4</v>
      </c>
      <c r="H525" s="12" t="n">
        <v>93</v>
      </c>
    </row>
    <row r="526">
      <c r="A526" s="1" t="n">
        <v>540</v>
      </c>
      <c r="B526" s="2" t="inlineStr">
        <is>
          <t>Egypt</t>
        </is>
      </c>
      <c r="C526" s="2" t="inlineStr">
        <is>
          <t>Ahmed Fatouh</t>
        </is>
      </c>
      <c r="D526" s="2" t="inlineStr">
        <is>
          <t>Defesa</t>
        </is>
      </c>
      <c r="E526" s="8" t="n">
        <v>24</v>
      </c>
      <c r="F526" s="8" t="n">
        <v>2190</v>
      </c>
      <c r="G526" s="9" t="n">
        <v>10</v>
      </c>
      <c r="H526" s="12" t="n">
        <v>431</v>
      </c>
    </row>
    <row r="527">
      <c r="A527" s="1" t="n">
        <v>541</v>
      </c>
      <c r="B527" s="2" t="inlineStr">
        <is>
          <t>Egypt</t>
        </is>
      </c>
      <c r="C527" s="2" t="inlineStr">
        <is>
          <t>Karim Hafez</t>
        </is>
      </c>
      <c r="D527" s="2" t="inlineStr">
        <is>
          <t>Defesa</t>
        </is>
      </c>
      <c r="E527" s="6" t="n">
        <v>24</v>
      </c>
      <c r="F527" s="6" t="n">
        <v>2190</v>
      </c>
      <c r="G527" s="7" t="n">
        <v>1</v>
      </c>
      <c r="H527" s="12" t="n">
        <v>105</v>
      </c>
    </row>
    <row r="528">
      <c r="A528" s="1" t="n">
        <v>542</v>
      </c>
      <c r="B528" s="2" t="inlineStr">
        <is>
          <t>Egypt</t>
        </is>
      </c>
      <c r="C528" s="2" t="inlineStr">
        <is>
          <t>Mohanad Lasheen</t>
        </is>
      </c>
      <c r="D528" s="2" t="inlineStr">
        <is>
          <t>Médio</t>
        </is>
      </c>
      <c r="E528" s="8" t="n">
        <v>24</v>
      </c>
      <c r="F528" s="8" t="n">
        <v>2190</v>
      </c>
      <c r="G528" s="9" t="n">
        <v>11</v>
      </c>
      <c r="H528" s="12" t="n">
        <v>303</v>
      </c>
    </row>
    <row r="529">
      <c r="A529" s="1" t="n">
        <v>543</v>
      </c>
      <c r="B529" s="2" t="inlineStr">
        <is>
          <t>Egypt</t>
        </is>
      </c>
      <c r="C529" s="2" t="inlineStr">
        <is>
          <t>Nabil Emad</t>
        </is>
      </c>
      <c r="D529" s="2" t="inlineStr">
        <is>
          <t>Médio</t>
        </is>
      </c>
      <c r="E529" s="6" t="n">
        <v>24</v>
      </c>
      <c r="F529" s="6" t="n">
        <v>2190</v>
      </c>
      <c r="G529" s="7" t="n">
        <v>3</v>
      </c>
      <c r="H529" s="12" t="n">
        <v>63</v>
      </c>
    </row>
    <row r="530">
      <c r="A530" s="1" t="n">
        <v>544</v>
      </c>
      <c r="B530" s="2" t="inlineStr">
        <is>
          <t>Egypt</t>
        </is>
      </c>
      <c r="C530" s="2" t="inlineStr">
        <is>
          <t>Marwan Attia</t>
        </is>
      </c>
      <c r="D530" s="2" t="inlineStr">
        <is>
          <t>Médio</t>
        </is>
      </c>
      <c r="E530" s="8" t="n">
        <v>24</v>
      </c>
      <c r="F530" s="8" t="n">
        <v>2190</v>
      </c>
      <c r="G530" s="9" t="n">
        <v>15</v>
      </c>
      <c r="H530" s="12" t="n">
        <v>604</v>
      </c>
    </row>
    <row r="531">
      <c r="A531" s="1" t="n">
        <v>545</v>
      </c>
      <c r="B531" s="2" t="inlineStr">
        <is>
          <t>Egypt</t>
        </is>
      </c>
      <c r="C531" s="2" t="inlineStr">
        <is>
          <t>Tarek Alaa</t>
        </is>
      </c>
      <c r="D531" s="2" t="inlineStr">
        <is>
          <t>Médio</t>
        </is>
      </c>
      <c r="E531" s="6" t="n">
        <v>24</v>
      </c>
      <c r="F531" s="6" t="n">
        <v>2190</v>
      </c>
      <c r="G531" s="7" t="n">
        <v>2</v>
      </c>
      <c r="H531" s="12" t="n">
        <v>33</v>
      </c>
    </row>
    <row r="532">
      <c r="A532" s="1" t="n">
        <v>546</v>
      </c>
      <c r="B532" s="2" t="inlineStr">
        <is>
          <t>Egypt</t>
        </is>
      </c>
      <c r="C532" s="2" t="inlineStr">
        <is>
          <t>Emam Ashour</t>
        </is>
      </c>
      <c r="D532" s="2" t="inlineStr">
        <is>
          <t>Médio</t>
        </is>
      </c>
      <c r="E532" s="8" t="n">
        <v>24</v>
      </c>
      <c r="F532" s="8" t="n">
        <v>2190</v>
      </c>
      <c r="G532" s="9" t="n">
        <v>10</v>
      </c>
      <c r="H532" s="12" t="n">
        <v>194</v>
      </c>
    </row>
    <row r="533">
      <c r="A533" s="1" t="n">
        <v>547</v>
      </c>
      <c r="B533" s="2" t="inlineStr">
        <is>
          <t>Egypt</t>
        </is>
      </c>
      <c r="C533" s="2" t="inlineStr">
        <is>
          <t>Hamdi Fathi</t>
        </is>
      </c>
      <c r="D533" s="2" t="inlineStr">
        <is>
          <t>Médio</t>
        </is>
      </c>
      <c r="E533" s="6" t="n">
        <v>24</v>
      </c>
      <c r="F533" s="6" t="n">
        <v>2190</v>
      </c>
      <c r="G533" s="7" t="n">
        <v>14</v>
      </c>
      <c r="H533" s="12" t="n">
        <v>351</v>
      </c>
    </row>
    <row r="534">
      <c r="A534" s="1" t="n">
        <v>548</v>
      </c>
      <c r="B534" s="2" t="inlineStr">
        <is>
          <t>Egypt</t>
        </is>
      </c>
      <c r="C534" s="2" t="inlineStr">
        <is>
          <t>Mohamed Salah</t>
        </is>
      </c>
      <c r="D534" s="2" t="inlineStr">
        <is>
          <t>Avançado</t>
        </is>
      </c>
      <c r="E534" s="8" t="n">
        <v>24</v>
      </c>
      <c r="F534" s="8" t="n">
        <v>2190</v>
      </c>
      <c r="G534" s="9" t="n">
        <v>12</v>
      </c>
      <c r="H534" s="12" t="n">
        <v>135</v>
      </c>
    </row>
    <row r="535">
      <c r="A535" s="1" t="n">
        <v>549</v>
      </c>
      <c r="B535" s="2" t="inlineStr">
        <is>
          <t>Egypt</t>
        </is>
      </c>
      <c r="C535" s="2" t="inlineStr">
        <is>
          <t>Haissem Hassan</t>
        </is>
      </c>
      <c r="D535" s="2" t="inlineStr">
        <is>
          <t>Avançado</t>
        </is>
      </c>
      <c r="E535" s="6" t="n">
        <v>24</v>
      </c>
      <c r="F535" s="6" t="n">
        <v>2190</v>
      </c>
      <c r="G535" s="7" t="n">
        <v>3</v>
      </c>
      <c r="H535" s="12" t="n">
        <v>164</v>
      </c>
    </row>
    <row r="536">
      <c r="A536" s="1" t="n">
        <v>550</v>
      </c>
      <c r="B536" s="2" t="inlineStr">
        <is>
          <t>Egypt</t>
        </is>
      </c>
      <c r="C536" s="2" t="inlineStr">
        <is>
          <t>Hamza Abdelkarim</t>
        </is>
      </c>
      <c r="D536" s="2" t="inlineStr">
        <is>
          <t>Avançado</t>
        </is>
      </c>
      <c r="E536" s="8" t="n">
        <v>24</v>
      </c>
      <c r="F536" s="8" t="n">
        <v>2190</v>
      </c>
      <c r="G536" s="9" t="n">
        <v>1</v>
      </c>
      <c r="H536" s="12" t="n">
        <v>9</v>
      </c>
    </row>
    <row r="537">
      <c r="A537" s="1" t="n">
        <v>551</v>
      </c>
      <c r="B537" s="2" t="inlineStr">
        <is>
          <t>Egypt</t>
        </is>
      </c>
      <c r="C537" s="2" t="inlineStr">
        <is>
          <t>Omar Marmoush</t>
        </is>
      </c>
      <c r="D537" s="2" t="inlineStr">
        <is>
          <t>Avançado</t>
        </is>
      </c>
      <c r="E537" s="6" t="n">
        <v>24</v>
      </c>
      <c r="F537" s="6" t="n">
        <v>2190</v>
      </c>
      <c r="G537" s="7" t="n">
        <v>14</v>
      </c>
      <c r="H537" s="12" t="n">
        <v>390</v>
      </c>
    </row>
    <row r="538">
      <c r="A538" s="1" t="n">
        <v>552</v>
      </c>
      <c r="B538" s="2" t="inlineStr">
        <is>
          <t>Egypt</t>
        </is>
      </c>
      <c r="C538" s="2" t="inlineStr">
        <is>
          <t>Trezeguet</t>
        </is>
      </c>
      <c r="D538" s="2" t="inlineStr">
        <is>
          <t>Avançado</t>
        </is>
      </c>
      <c r="E538" s="8" t="n">
        <v>24</v>
      </c>
      <c r="F538" s="8" t="n">
        <v>2190</v>
      </c>
      <c r="G538" s="9" t="n">
        <v>15</v>
      </c>
      <c r="H538" s="12" t="n">
        <v>169</v>
      </c>
    </row>
    <row r="539">
      <c r="A539" s="1" t="n">
        <v>553</v>
      </c>
      <c r="B539" s="2" t="inlineStr">
        <is>
          <t>Egypt</t>
        </is>
      </c>
      <c r="C539" s="2" t="inlineStr">
        <is>
          <t>Mostafa Zaki</t>
        </is>
      </c>
      <c r="D539" s="2" t="inlineStr">
        <is>
          <t>Avançado</t>
        </is>
      </c>
      <c r="E539" s="6" t="n">
        <v>24</v>
      </c>
      <c r="F539" s="6" t="n">
        <v>2190</v>
      </c>
      <c r="G539" s="7" t="n">
        <v>1</v>
      </c>
      <c r="H539" s="12" t="n">
        <v>132</v>
      </c>
    </row>
    <row r="540">
      <c r="A540" s="1" t="n">
        <v>554</v>
      </c>
      <c r="B540" s="2" t="inlineStr">
        <is>
          <t>Egypt</t>
        </is>
      </c>
      <c r="C540" s="2" t="inlineStr">
        <is>
          <t>Ibrahim Adel</t>
        </is>
      </c>
      <c r="D540" s="2" t="inlineStr">
        <is>
          <t>Avançado</t>
        </is>
      </c>
      <c r="E540" s="8" t="n">
        <v>24</v>
      </c>
      <c r="F540" s="8" t="n">
        <v>2190</v>
      </c>
      <c r="G540" s="9" t="n">
        <v>9</v>
      </c>
      <c r="H540" s="12" t="n">
        <v>102</v>
      </c>
    </row>
    <row r="541">
      <c r="A541" s="1" t="n">
        <v>555</v>
      </c>
      <c r="B541" s="2" t="inlineStr">
        <is>
          <t>Egypt</t>
        </is>
      </c>
      <c r="C541" s="2" t="inlineStr">
        <is>
          <t>Mahmoud Saber</t>
        </is>
      </c>
      <c r="D541" s="2" t="inlineStr">
        <is>
          <t>Avançado</t>
        </is>
      </c>
      <c r="E541" s="6" t="n">
        <v>24</v>
      </c>
      <c r="F541" s="6" t="n">
        <v>2190</v>
      </c>
      <c r="G541" s="7" t="n">
        <v>12</v>
      </c>
      <c r="H541" s="12" t="n">
        <v>221</v>
      </c>
    </row>
    <row r="542">
      <c r="A542" s="1" t="n">
        <v>556</v>
      </c>
      <c r="B542" s="2" t="inlineStr">
        <is>
          <t>Egypt</t>
        </is>
      </c>
      <c r="C542" s="2" t="inlineStr">
        <is>
          <t>Zizo</t>
        </is>
      </c>
      <c r="D542" s="2" t="inlineStr">
        <is>
          <t>Avançado</t>
        </is>
      </c>
      <c r="E542" s="8" t="n">
        <v>24</v>
      </c>
      <c r="F542" s="8" t="n">
        <v>2190</v>
      </c>
      <c r="G542" s="9" t="n">
        <v>17</v>
      </c>
      <c r="H542" s="12" t="n">
        <v>307</v>
      </c>
    </row>
    <row r="543">
      <c r="A543" s="1" t="n">
        <v>557</v>
      </c>
      <c r="B543" s="2" t="inlineStr">
        <is>
          <t>Ecuador</t>
        </is>
      </c>
      <c r="C543" s="2" t="inlineStr">
        <is>
          <t>Hernán Galíndez</t>
        </is>
      </c>
      <c r="D543" s="2" t="inlineStr">
        <is>
          <t>Guarda Redes</t>
        </is>
      </c>
      <c r="E543" s="6" t="n">
        <v>24</v>
      </c>
      <c r="F543" s="6" t="n">
        <v>2160</v>
      </c>
      <c r="G543" s="7" t="n"/>
      <c r="H543" s="12" t="n">
        <v>0</v>
      </c>
    </row>
    <row r="544">
      <c r="A544" s="1" t="n">
        <v>558</v>
      </c>
      <c r="B544" s="2" t="inlineStr">
        <is>
          <t>Ecuador</t>
        </is>
      </c>
      <c r="C544" s="2" t="inlineStr">
        <is>
          <t>Moisés Ramirez</t>
        </is>
      </c>
      <c r="D544" s="2" t="inlineStr">
        <is>
          <t>Guarda Redes</t>
        </is>
      </c>
      <c r="E544" s="8" t="n">
        <v>13</v>
      </c>
      <c r="F544" s="8" t="n">
        <v>1170</v>
      </c>
      <c r="G544" s="9" t="n">
        <v>9</v>
      </c>
      <c r="H544" s="12" t="n">
        <v>0</v>
      </c>
    </row>
    <row r="545">
      <c r="A545" s="1" t="n">
        <v>559</v>
      </c>
      <c r="B545" s="2" t="inlineStr">
        <is>
          <t>Ecuador</t>
        </is>
      </c>
      <c r="C545" s="2" t="inlineStr">
        <is>
          <t>Gonzalo Valle</t>
        </is>
      </c>
      <c r="D545" s="2" t="inlineStr">
        <is>
          <t>Guarda Redes</t>
        </is>
      </c>
      <c r="E545" s="6" t="n">
        <v>13</v>
      </c>
      <c r="F545" s="6" t="n">
        <v>1170</v>
      </c>
      <c r="G545" s="7" t="n">
        <v>1</v>
      </c>
      <c r="H545" s="12" t="n">
        <v>360</v>
      </c>
    </row>
    <row r="546">
      <c r="A546" s="1" t="n">
        <v>560</v>
      </c>
      <c r="B546" s="2" t="inlineStr">
        <is>
          <t>Ecuador</t>
        </is>
      </c>
      <c r="C546" s="2" t="inlineStr">
        <is>
          <t>Angelo Preciado</t>
        </is>
      </c>
      <c r="D546" s="2" t="inlineStr">
        <is>
          <t>Defesa</t>
        </is>
      </c>
      <c r="E546" s="8" t="n">
        <v>13</v>
      </c>
      <c r="F546" s="8" t="n">
        <v>1170</v>
      </c>
      <c r="G546" s="9" t="n">
        <v>3</v>
      </c>
      <c r="H546" s="12" t="n">
        <v>360</v>
      </c>
    </row>
    <row r="547">
      <c r="A547" s="1" t="n">
        <v>561</v>
      </c>
      <c r="B547" s="2" t="inlineStr">
        <is>
          <t>Ecuador</t>
        </is>
      </c>
      <c r="C547" s="2" t="inlineStr">
        <is>
          <t>Félix Torres</t>
        </is>
      </c>
      <c r="D547" s="2" t="inlineStr">
        <is>
          <t>Defesa</t>
        </is>
      </c>
      <c r="E547" s="6" t="n">
        <v>13</v>
      </c>
      <c r="F547" s="6" t="n">
        <v>1170</v>
      </c>
      <c r="G547" s="7" t="n">
        <v>9</v>
      </c>
      <c r="H547" s="12" t="n">
        <v>180</v>
      </c>
    </row>
    <row r="548">
      <c r="A548" s="1" t="n">
        <v>562</v>
      </c>
      <c r="B548" s="2" t="inlineStr">
        <is>
          <t>Ecuador</t>
        </is>
      </c>
      <c r="C548" s="2" t="inlineStr">
        <is>
          <t>Piero Hincapié</t>
        </is>
      </c>
      <c r="D548" s="2" t="inlineStr">
        <is>
          <t>Defesa</t>
        </is>
      </c>
      <c r="E548" s="8" t="n">
        <v>13</v>
      </c>
      <c r="F548" s="8" t="n">
        <v>1170</v>
      </c>
      <c r="G548" s="9" t="n">
        <v>6</v>
      </c>
      <c r="H548" s="12" t="n">
        <v>360</v>
      </c>
    </row>
    <row r="549">
      <c r="A549" s="1" t="n">
        <v>563</v>
      </c>
      <c r="B549" s="2" t="inlineStr">
        <is>
          <t>Ecuador</t>
        </is>
      </c>
      <c r="C549" s="2" t="inlineStr">
        <is>
          <t>Joel Ordóñez</t>
        </is>
      </c>
      <c r="D549" s="2" t="inlineStr">
        <is>
          <t>Defesa</t>
        </is>
      </c>
      <c r="E549" s="6" t="n">
        <v>13</v>
      </c>
      <c r="F549" s="6" t="n">
        <v>1170</v>
      </c>
      <c r="G549" s="7" t="n">
        <v>8</v>
      </c>
      <c r="H549" s="12" t="n">
        <v>44</v>
      </c>
    </row>
    <row r="550">
      <c r="A550" s="1" t="n">
        <v>564</v>
      </c>
      <c r="B550" s="2" t="inlineStr">
        <is>
          <t>Ecuador</t>
        </is>
      </c>
      <c r="C550" s="2" t="inlineStr">
        <is>
          <t>Willian Pacho</t>
        </is>
      </c>
      <c r="D550" s="2" t="inlineStr">
        <is>
          <t>Defesa</t>
        </is>
      </c>
      <c r="E550" s="8" t="n">
        <v>13</v>
      </c>
      <c r="F550" s="8" t="n">
        <v>1170</v>
      </c>
      <c r="G550" s="9" t="n">
        <v>12</v>
      </c>
      <c r="H550" s="12" t="n">
        <v>128</v>
      </c>
    </row>
    <row r="551">
      <c r="A551" s="1" t="n">
        <v>565</v>
      </c>
      <c r="B551" s="2" t="inlineStr">
        <is>
          <t>Ecuador</t>
        </is>
      </c>
      <c r="C551" s="2" t="inlineStr">
        <is>
          <t>Jackson Porozo</t>
        </is>
      </c>
      <c r="D551" s="2" t="inlineStr">
        <is>
          <t>Defesa</t>
        </is>
      </c>
      <c r="E551" s="6" t="n">
        <v>13</v>
      </c>
      <c r="F551" s="6" t="n">
        <v>1170</v>
      </c>
      <c r="G551" s="7" t="n">
        <v>12</v>
      </c>
      <c r="H551" s="12" t="n">
        <v>118</v>
      </c>
    </row>
    <row r="552">
      <c r="A552" s="1" t="n">
        <v>566</v>
      </c>
      <c r="B552" s="2" t="inlineStr">
        <is>
          <t>Ecuador</t>
        </is>
      </c>
      <c r="C552" s="2" t="inlineStr">
        <is>
          <t>Pervis Estupiñán</t>
        </is>
      </c>
      <c r="D552" s="2" t="inlineStr">
        <is>
          <t>Defesa</t>
        </is>
      </c>
      <c r="E552" s="8" t="n">
        <v>13</v>
      </c>
      <c r="F552" s="8" t="n">
        <v>1170</v>
      </c>
      <c r="G552" s="9" t="n">
        <v>1</v>
      </c>
      <c r="H552" s="12" t="n">
        <v>0</v>
      </c>
    </row>
    <row r="553">
      <c r="A553" s="1" t="n">
        <v>567</v>
      </c>
      <c r="B553" s="2" t="inlineStr">
        <is>
          <t>Ecuador</t>
        </is>
      </c>
      <c r="C553" s="2" t="inlineStr">
        <is>
          <t>Yaimar Medina</t>
        </is>
      </c>
      <c r="D553" s="2" t="inlineStr">
        <is>
          <t>Defesa</t>
        </is>
      </c>
      <c r="E553" s="6" t="n">
        <v>13</v>
      </c>
      <c r="F553" s="6" t="n">
        <v>1170</v>
      </c>
      <c r="G553" s="7" t="n">
        <v>9</v>
      </c>
      <c r="H553" s="12" t="n">
        <v>180</v>
      </c>
    </row>
    <row r="554">
      <c r="A554" s="1" t="n">
        <v>568</v>
      </c>
      <c r="B554" s="2" t="inlineStr">
        <is>
          <t>Ecuador</t>
        </is>
      </c>
      <c r="C554" s="2" t="inlineStr">
        <is>
          <t>Jordy Alcívar</t>
        </is>
      </c>
      <c r="D554" s="2" t="inlineStr">
        <is>
          <t>Médio</t>
        </is>
      </c>
      <c r="E554" s="8" t="n">
        <v>13</v>
      </c>
      <c r="F554" s="8" t="n">
        <v>1170</v>
      </c>
      <c r="G554" s="9" t="n">
        <v>4</v>
      </c>
      <c r="H554" s="12" t="n">
        <v>120</v>
      </c>
    </row>
    <row r="555">
      <c r="A555" s="1" t="n">
        <v>569</v>
      </c>
      <c r="B555" s="2" t="inlineStr">
        <is>
          <t>Ecuador</t>
        </is>
      </c>
      <c r="C555" s="2" t="inlineStr">
        <is>
          <t>Alan Franco</t>
        </is>
      </c>
      <c r="D555" s="2" t="inlineStr">
        <is>
          <t>Médio</t>
        </is>
      </c>
      <c r="E555" s="6" t="n">
        <v>13</v>
      </c>
      <c r="F555" s="6" t="n">
        <v>1170</v>
      </c>
      <c r="G555" s="7" t="n">
        <v>8</v>
      </c>
      <c r="H555" s="12" t="n">
        <v>59</v>
      </c>
    </row>
    <row r="556">
      <c r="A556" s="1" t="n">
        <v>570</v>
      </c>
      <c r="B556" s="2" t="inlineStr">
        <is>
          <t>Ecuador</t>
        </is>
      </c>
      <c r="C556" s="2" t="inlineStr">
        <is>
          <t>Pedro Vite</t>
        </is>
      </c>
      <c r="D556" s="2" t="inlineStr">
        <is>
          <t>Médio</t>
        </is>
      </c>
      <c r="E556" s="8" t="n">
        <v>13</v>
      </c>
      <c r="F556" s="8" t="n">
        <v>1170</v>
      </c>
      <c r="G556" s="9" t="n">
        <v>11</v>
      </c>
      <c r="H556" s="12" t="n">
        <v>318</v>
      </c>
    </row>
    <row r="557">
      <c r="A557" s="1" t="n">
        <v>571</v>
      </c>
      <c r="B557" s="2" t="inlineStr">
        <is>
          <t>Ecuador</t>
        </is>
      </c>
      <c r="C557" s="2" t="inlineStr">
        <is>
          <t>Denil Castillo</t>
        </is>
      </c>
      <c r="D557" s="2" t="inlineStr">
        <is>
          <t>Médio</t>
        </is>
      </c>
      <c r="E557" s="6" t="n">
        <v>13</v>
      </c>
      <c r="F557" s="6" t="n">
        <v>1170</v>
      </c>
      <c r="G557" s="7" t="n">
        <v>12</v>
      </c>
      <c r="H557" s="12" t="n">
        <v>302</v>
      </c>
    </row>
    <row r="558">
      <c r="A558" s="1" t="n">
        <v>572</v>
      </c>
      <c r="B558" s="2" t="inlineStr">
        <is>
          <t>Ecuador</t>
        </is>
      </c>
      <c r="C558" s="2" t="inlineStr">
        <is>
          <t>Moisés Caicedo</t>
        </is>
      </c>
      <c r="D558" s="2" t="inlineStr">
        <is>
          <t>Médio</t>
        </is>
      </c>
      <c r="E558" s="8" t="n">
        <v>13</v>
      </c>
      <c r="F558" s="8" t="n">
        <v>1170</v>
      </c>
      <c r="G558" s="9" t="n">
        <v>5</v>
      </c>
      <c r="H558" s="12" t="n">
        <v>278</v>
      </c>
    </row>
    <row r="559">
      <c r="A559" s="1" t="n">
        <v>573</v>
      </c>
      <c r="B559" s="2" t="inlineStr">
        <is>
          <t>Ecuador</t>
        </is>
      </c>
      <c r="C559" s="2" t="inlineStr">
        <is>
          <t>John Yeboah</t>
        </is>
      </c>
      <c r="D559" s="2" t="inlineStr">
        <is>
          <t>Médio</t>
        </is>
      </c>
      <c r="E559" s="6" t="n">
        <v>13</v>
      </c>
      <c r="F559" s="6" t="n">
        <v>1170</v>
      </c>
      <c r="G559" s="7" t="n">
        <v>9</v>
      </c>
      <c r="H559" s="12" t="n">
        <v>195</v>
      </c>
    </row>
    <row r="560">
      <c r="A560" s="1" t="n">
        <v>574</v>
      </c>
      <c r="B560" s="2" t="inlineStr">
        <is>
          <t>Ecuador</t>
        </is>
      </c>
      <c r="C560" s="2" t="inlineStr">
        <is>
          <t>Kendry Páez</t>
        </is>
      </c>
      <c r="D560" s="2" t="inlineStr">
        <is>
          <t>Médio</t>
        </is>
      </c>
      <c r="E560" s="8" t="n">
        <v>13</v>
      </c>
      <c r="F560" s="8" t="n">
        <v>1170</v>
      </c>
      <c r="G560" s="9" t="n">
        <v>11</v>
      </c>
      <c r="H560" s="12" t="n">
        <v>135</v>
      </c>
    </row>
    <row r="561">
      <c r="A561" s="1" t="n">
        <v>575</v>
      </c>
      <c r="B561" s="2" t="inlineStr">
        <is>
          <t>Ecuador</t>
        </is>
      </c>
      <c r="C561" s="2" t="inlineStr">
        <is>
          <t>Anthony Valencia</t>
        </is>
      </c>
      <c r="D561" s="2" t="inlineStr">
        <is>
          <t>Avançado</t>
        </is>
      </c>
      <c r="E561" s="6" t="n">
        <v>13</v>
      </c>
      <c r="F561" s="6" t="n">
        <v>1170</v>
      </c>
      <c r="G561" s="7" t="n">
        <v>8</v>
      </c>
      <c r="H561" s="12" t="n">
        <v>5</v>
      </c>
    </row>
    <row r="562">
      <c r="A562" s="1" t="n">
        <v>576</v>
      </c>
      <c r="B562" s="2" t="inlineStr">
        <is>
          <t>Ecuador</t>
        </is>
      </c>
      <c r="C562" s="2" t="inlineStr">
        <is>
          <t>Kevin Rodríguez</t>
        </is>
      </c>
      <c r="D562" s="2" t="inlineStr">
        <is>
          <t>Avançado</t>
        </is>
      </c>
      <c r="E562" s="8" t="n">
        <v>13</v>
      </c>
      <c r="F562" s="8" t="n">
        <v>1170</v>
      </c>
      <c r="G562" s="9" t="n">
        <v>2</v>
      </c>
      <c r="H562" s="12" t="n">
        <v>217</v>
      </c>
    </row>
    <row r="563">
      <c r="A563" s="1" t="n">
        <v>577</v>
      </c>
      <c r="B563" s="2" t="inlineStr">
        <is>
          <t>Ecuador</t>
        </is>
      </c>
      <c r="C563" s="2" t="inlineStr">
        <is>
          <t>Alan Minda</t>
        </is>
      </c>
      <c r="D563" s="2" t="inlineStr">
        <is>
          <t>Avançado</t>
        </is>
      </c>
      <c r="E563" s="6" t="n">
        <v>13</v>
      </c>
      <c r="F563" s="6" t="n">
        <v>1170</v>
      </c>
      <c r="G563" s="7" t="n">
        <v>9</v>
      </c>
      <c r="H563" s="12" t="n">
        <v>122</v>
      </c>
    </row>
    <row r="564">
      <c r="A564" s="1" t="n">
        <v>578</v>
      </c>
      <c r="B564" s="2" t="inlineStr">
        <is>
          <t>Ecuador</t>
        </is>
      </c>
      <c r="C564" s="2" t="inlineStr">
        <is>
          <t>Gonzalo Plata</t>
        </is>
      </c>
      <c r="D564" s="2" t="inlineStr">
        <is>
          <t>Avançado</t>
        </is>
      </c>
      <c r="E564" s="8" t="n">
        <v>13</v>
      </c>
      <c r="F564" s="8" t="n">
        <v>1170</v>
      </c>
      <c r="G564" s="9" t="n">
        <v>7</v>
      </c>
      <c r="H564" s="12" t="n">
        <v>53</v>
      </c>
    </row>
    <row r="565">
      <c r="A565" s="1" t="n">
        <v>579</v>
      </c>
      <c r="B565" s="2" t="inlineStr">
        <is>
          <t>Ecuador</t>
        </is>
      </c>
      <c r="C565" s="2" t="inlineStr">
        <is>
          <t>Enner Valencia</t>
        </is>
      </c>
      <c r="D565" s="2" t="inlineStr">
        <is>
          <t>Avançado</t>
        </is>
      </c>
      <c r="E565" s="6" t="n">
        <v>13</v>
      </c>
      <c r="F565" s="6" t="n">
        <v>1170</v>
      </c>
      <c r="G565" s="7" t="n">
        <v>8</v>
      </c>
      <c r="H565" s="12" t="n">
        <v>232</v>
      </c>
    </row>
    <row r="566">
      <c r="A566" s="1" t="n">
        <v>580</v>
      </c>
      <c r="B566" s="2" t="inlineStr">
        <is>
          <t>Ecuador</t>
        </is>
      </c>
      <c r="C566" s="2" t="inlineStr">
        <is>
          <t>Jordy Caicedo</t>
        </is>
      </c>
      <c r="D566" s="2" t="inlineStr">
        <is>
          <t>Avançado</t>
        </is>
      </c>
      <c r="E566" s="8" t="n">
        <v>13</v>
      </c>
      <c r="F566" s="8" t="n">
        <v>1170</v>
      </c>
      <c r="G566" s="9" t="n">
        <v>10</v>
      </c>
      <c r="H566" s="12" t="n">
        <v>0</v>
      </c>
    </row>
    <row r="567">
      <c r="A567" s="1" t="n">
        <v>581</v>
      </c>
      <c r="B567" s="2" t="inlineStr">
        <is>
          <t>Ecuador</t>
        </is>
      </c>
      <c r="C567" s="2" t="inlineStr">
        <is>
          <t>Jeremy Arevalo</t>
        </is>
      </c>
      <c r="D567" s="2" t="inlineStr">
        <is>
          <t>Avançado</t>
        </is>
      </c>
      <c r="E567" s="6" t="n">
        <v>13</v>
      </c>
      <c r="F567" s="6" t="n">
        <v>1170</v>
      </c>
      <c r="G567" s="7" t="n">
        <v>2</v>
      </c>
      <c r="H567" s="12" t="n">
        <v>0</v>
      </c>
    </row>
    <row r="568">
      <c r="A568" s="1" t="n">
        <v>582</v>
      </c>
      <c r="B568" s="2" t="inlineStr">
        <is>
          <t>Ecuador</t>
        </is>
      </c>
      <c r="C568" s="2" t="inlineStr">
        <is>
          <t>Nilson Angulo</t>
        </is>
      </c>
      <c r="D568" s="2" t="inlineStr">
        <is>
          <t>Avançado</t>
        </is>
      </c>
      <c r="E568" s="8" t="n">
        <v>13</v>
      </c>
      <c r="F568" s="8" t="n">
        <v>1170</v>
      </c>
      <c r="G568" s="9" t="n">
        <v>3</v>
      </c>
      <c r="H568" s="12" t="n">
        <v>0</v>
      </c>
    </row>
    <row r="569">
      <c r="A569" s="1" t="n">
        <v>583</v>
      </c>
      <c r="B569" s="2" t="inlineStr">
        <is>
          <t>Scotland</t>
        </is>
      </c>
      <c r="C569" s="2" t="inlineStr">
        <is>
          <t>Angus Gunn</t>
        </is>
      </c>
      <c r="D569" s="2" t="inlineStr">
        <is>
          <t>Guarda Redes</t>
        </is>
      </c>
      <c r="E569" s="11" t="n">
        <v>13</v>
      </c>
      <c r="F569" s="11" t="n">
        <v>1170</v>
      </c>
      <c r="G569" s="11" t="n">
        <v>2</v>
      </c>
      <c r="H569" s="11" t="n">
        <v>180</v>
      </c>
    </row>
    <row r="570">
      <c r="A570" s="1" t="n">
        <v>584</v>
      </c>
      <c r="B570" s="2" t="inlineStr">
        <is>
          <t>Scotland</t>
        </is>
      </c>
      <c r="C570" s="2" t="inlineStr">
        <is>
          <t>Liam Kelly</t>
        </is>
      </c>
      <c r="D570" s="2" t="inlineStr">
        <is>
          <t>Guarda Redes</t>
        </is>
      </c>
      <c r="E570" s="11" t="n">
        <v>13</v>
      </c>
      <c r="F570" s="11" t="n">
        <v>1170</v>
      </c>
      <c r="G570" s="11" t="n">
        <v>2</v>
      </c>
      <c r="H570" s="11" t="n">
        <v>58</v>
      </c>
    </row>
    <row r="571">
      <c r="A571" s="1" t="n">
        <v>585</v>
      </c>
      <c r="B571" s="2" t="inlineStr">
        <is>
          <t>Scotland</t>
        </is>
      </c>
      <c r="C571" s="2" t="inlineStr">
        <is>
          <t>Craig Gordon</t>
        </is>
      </c>
      <c r="D571" s="2" t="inlineStr">
        <is>
          <t>Guarda Redes</t>
        </is>
      </c>
      <c r="E571" s="11" t="n">
        <v>13</v>
      </c>
      <c r="F571" s="11" t="n">
        <v>1170</v>
      </c>
      <c r="G571" s="11" t="n">
        <v>1</v>
      </c>
      <c r="H571" s="11" t="n">
        <v>77</v>
      </c>
    </row>
    <row r="572">
      <c r="A572" s="1" t="n">
        <v>586</v>
      </c>
      <c r="B572" s="2" t="inlineStr">
        <is>
          <t>Scotland</t>
        </is>
      </c>
      <c r="C572" s="2" t="inlineStr">
        <is>
          <t>Nathan Patterson</t>
        </is>
      </c>
      <c r="D572" s="2" t="inlineStr">
        <is>
          <t>Defesa</t>
        </is>
      </c>
      <c r="E572" s="11" t="n">
        <v>13</v>
      </c>
      <c r="F572" s="11" t="n">
        <v>1170</v>
      </c>
      <c r="G572" s="11" t="n">
        <v>3</v>
      </c>
      <c r="H572" s="11" t="n">
        <v>154</v>
      </c>
    </row>
    <row r="573">
      <c r="A573" s="1" t="n">
        <v>587</v>
      </c>
      <c r="B573" s="2" t="inlineStr">
        <is>
          <t>Scotland</t>
        </is>
      </c>
      <c r="C573" s="2" t="inlineStr">
        <is>
          <t>Anthony Ralston</t>
        </is>
      </c>
      <c r="D573" s="2" t="inlineStr">
        <is>
          <t>Defesa</t>
        </is>
      </c>
      <c r="E573" s="11" t="n">
        <v>13</v>
      </c>
      <c r="F573" s="11" t="n">
        <v>1170</v>
      </c>
      <c r="G573" s="11" t="n">
        <v>3</v>
      </c>
      <c r="H573" s="11" t="n">
        <v>50</v>
      </c>
    </row>
    <row r="574">
      <c r="A574" s="1" t="n">
        <v>588</v>
      </c>
      <c r="B574" s="2" t="inlineStr">
        <is>
          <t>Scotland</t>
        </is>
      </c>
      <c r="C574" s="2" t="inlineStr">
        <is>
          <t>Grant Hanley</t>
        </is>
      </c>
      <c r="D574" s="2" t="inlineStr">
        <is>
          <t>Defesa</t>
        </is>
      </c>
      <c r="E574" s="11" t="n">
        <v>13</v>
      </c>
      <c r="F574" s="11" t="n">
        <v>1170</v>
      </c>
      <c r="G574" s="11" t="n">
        <v>2</v>
      </c>
      <c r="H574" s="11" t="n">
        <v>125</v>
      </c>
    </row>
    <row r="575">
      <c r="A575" s="1" t="n">
        <v>589</v>
      </c>
      <c r="B575" s="2" t="inlineStr">
        <is>
          <t>Scotland</t>
        </is>
      </c>
      <c r="C575" s="2" t="inlineStr">
        <is>
          <t>Jack Hendry</t>
        </is>
      </c>
      <c r="D575" s="2" t="inlineStr">
        <is>
          <t>Defesa</t>
        </is>
      </c>
      <c r="E575" s="11" t="n">
        <v>13</v>
      </c>
      <c r="F575" s="11" t="n">
        <v>1170</v>
      </c>
      <c r="G575" s="11" t="n">
        <v>2</v>
      </c>
      <c r="H575" s="11" t="n">
        <v>170</v>
      </c>
    </row>
    <row r="576">
      <c r="A576" s="1" t="n">
        <v>590</v>
      </c>
      <c r="B576" s="2" t="inlineStr">
        <is>
          <t>Scotland</t>
        </is>
      </c>
      <c r="C576" s="2" t="inlineStr">
        <is>
          <t>John Souttar</t>
        </is>
      </c>
      <c r="D576" s="2" t="inlineStr">
        <is>
          <t>Defesa</t>
        </is>
      </c>
      <c r="E576" s="11" t="n">
        <v>13</v>
      </c>
      <c r="F576" s="11" t="n">
        <v>1170</v>
      </c>
      <c r="G576" s="11" t="n">
        <v>3</v>
      </c>
      <c r="H576" s="11" t="n">
        <v>145</v>
      </c>
    </row>
    <row r="577">
      <c r="A577" s="1" t="n">
        <v>591</v>
      </c>
      <c r="B577" s="2" t="inlineStr">
        <is>
          <t>Scotland</t>
        </is>
      </c>
      <c r="C577" s="2" t="inlineStr">
        <is>
          <t>Dominic Hyam</t>
        </is>
      </c>
      <c r="D577" s="2" t="inlineStr">
        <is>
          <t>Defesa</t>
        </is>
      </c>
      <c r="E577" s="11" t="n">
        <v>13</v>
      </c>
      <c r="F577" s="11" t="n">
        <v>1170</v>
      </c>
      <c r="G577" s="11" t="n">
        <v>3</v>
      </c>
      <c r="H577" s="11" t="n">
        <v>145</v>
      </c>
    </row>
    <row r="578">
      <c r="A578" s="1" t="n">
        <v>592</v>
      </c>
      <c r="B578" s="2" t="inlineStr">
        <is>
          <t>Scotland</t>
        </is>
      </c>
      <c r="C578" s="2" t="inlineStr">
        <is>
          <t>Scott McKenna</t>
        </is>
      </c>
      <c r="D578" s="2" t="inlineStr">
        <is>
          <t>Defesa</t>
        </is>
      </c>
      <c r="E578" s="11" t="n">
        <v>13</v>
      </c>
      <c r="F578" s="11" t="n">
        <v>1170</v>
      </c>
      <c r="G578" s="11" t="n">
        <v>2</v>
      </c>
      <c r="H578" s="11" t="n">
        <v>135</v>
      </c>
    </row>
    <row r="579">
      <c r="A579" s="1" t="n">
        <v>593</v>
      </c>
      <c r="B579" s="2" t="inlineStr">
        <is>
          <t>Scotland</t>
        </is>
      </c>
      <c r="C579" s="2" t="inlineStr">
        <is>
          <t>Aaron Hickey</t>
        </is>
      </c>
      <c r="D579" s="2" t="inlineStr">
        <is>
          <t>Defesa</t>
        </is>
      </c>
      <c r="E579" s="11" t="n">
        <v>13</v>
      </c>
      <c r="F579" s="11" t="n">
        <v>1170</v>
      </c>
      <c r="G579" s="11" t="n">
        <v>2</v>
      </c>
      <c r="H579" s="11" t="n">
        <v>107</v>
      </c>
    </row>
    <row r="580">
      <c r="A580" s="1" t="n">
        <v>594</v>
      </c>
      <c r="B580" s="2" t="inlineStr">
        <is>
          <t>Scotland</t>
        </is>
      </c>
      <c r="C580" s="2" t="inlineStr">
        <is>
          <t>Andy Robertson</t>
        </is>
      </c>
      <c r="D580" s="2" t="inlineStr">
        <is>
          <t>Defesa</t>
        </is>
      </c>
      <c r="E580" s="11" t="n">
        <v>13</v>
      </c>
      <c r="F580" s="11" t="n">
        <v>1170</v>
      </c>
      <c r="G580" s="11" t="n">
        <v>4</v>
      </c>
      <c r="H580" s="11" t="n">
        <v>283</v>
      </c>
    </row>
    <row r="581">
      <c r="A581" s="1" t="n">
        <v>595</v>
      </c>
      <c r="B581" s="2" t="inlineStr">
        <is>
          <t>Scotland</t>
        </is>
      </c>
      <c r="C581" s="2" t="inlineStr">
        <is>
          <t>Kieran Tierney</t>
        </is>
      </c>
      <c r="D581" s="2" t="inlineStr">
        <is>
          <t>Defesa</t>
        </is>
      </c>
      <c r="E581" s="11" t="n">
        <v>13</v>
      </c>
      <c r="F581" s="11" t="n">
        <v>1170</v>
      </c>
      <c r="G581" s="11" t="n">
        <v>3</v>
      </c>
      <c r="H581" s="11" t="n">
        <v>154</v>
      </c>
    </row>
    <row r="582">
      <c r="A582" s="1" t="n">
        <v>596</v>
      </c>
      <c r="B582" s="2" t="inlineStr">
        <is>
          <t>Scotland</t>
        </is>
      </c>
      <c r="C582" s="2" t="inlineStr">
        <is>
          <t>Scott McTominay</t>
        </is>
      </c>
      <c r="D582" s="2" t="inlineStr">
        <is>
          <t>Médio</t>
        </is>
      </c>
      <c r="E582" s="11" t="n">
        <v>13</v>
      </c>
      <c r="F582" s="11" t="n">
        <v>1170</v>
      </c>
      <c r="G582" s="11" t="n">
        <v>3</v>
      </c>
      <c r="H582" s="11" t="n">
        <v>186</v>
      </c>
    </row>
    <row r="583">
      <c r="A583" s="1" t="n">
        <v>597</v>
      </c>
      <c r="B583" s="2" t="inlineStr">
        <is>
          <t>Scotland</t>
        </is>
      </c>
      <c r="C583" s="2" t="inlineStr">
        <is>
          <t>John McGinn</t>
        </is>
      </c>
      <c r="D583" s="2" t="inlineStr">
        <is>
          <t>Médio</t>
        </is>
      </c>
      <c r="E583" s="11" t="n">
        <v>13</v>
      </c>
      <c r="F583" s="11" t="n">
        <v>1170</v>
      </c>
      <c r="G583" s="11" t="n">
        <v>3</v>
      </c>
      <c r="H583" s="11" t="n">
        <v>128</v>
      </c>
    </row>
    <row r="584">
      <c r="A584" s="1" t="n">
        <v>598</v>
      </c>
      <c r="B584" s="2" t="inlineStr">
        <is>
          <t>Scotland</t>
        </is>
      </c>
      <c r="C584" s="2" t="inlineStr">
        <is>
          <t>Tyler Fletcher</t>
        </is>
      </c>
      <c r="D584" s="2" t="inlineStr">
        <is>
          <t>Médio</t>
        </is>
      </c>
      <c r="E584" s="11" t="n">
        <v>13</v>
      </c>
      <c r="F584" s="11" t="n">
        <v>1170</v>
      </c>
      <c r="G584" s="11" t="n">
        <v>2</v>
      </c>
      <c r="H584" s="11" t="n">
        <v>55</v>
      </c>
    </row>
    <row r="585">
      <c r="A585" s="1" t="n">
        <v>599</v>
      </c>
      <c r="B585" s="2" t="inlineStr">
        <is>
          <t>Scotland</t>
        </is>
      </c>
      <c r="C585" s="2" t="inlineStr">
        <is>
          <t>Lewis Ferguson</t>
        </is>
      </c>
      <c r="D585" s="2" t="inlineStr">
        <is>
          <t>Médio</t>
        </is>
      </c>
      <c r="E585" s="11" t="n">
        <v>13</v>
      </c>
      <c r="F585" s="11" t="n">
        <v>1170</v>
      </c>
      <c r="G585" s="11" t="n">
        <v>3</v>
      </c>
      <c r="H585" s="11" t="n">
        <v>215</v>
      </c>
    </row>
    <row r="586">
      <c r="A586" s="1" t="n">
        <v>600</v>
      </c>
      <c r="B586" s="2" t="inlineStr">
        <is>
          <t>Scotland</t>
        </is>
      </c>
      <c r="C586" s="2" t="inlineStr">
        <is>
          <t>Kenny McLean</t>
        </is>
      </c>
      <c r="D586" s="2" t="inlineStr">
        <is>
          <t>Médio</t>
        </is>
      </c>
      <c r="E586" s="11" t="n">
        <v>13</v>
      </c>
      <c r="F586" s="11" t="n">
        <v>1170</v>
      </c>
      <c r="G586" s="11" t="n">
        <v>4</v>
      </c>
      <c r="H586" s="11" t="n">
        <v>220</v>
      </c>
    </row>
    <row r="587">
      <c r="A587" s="1" t="n">
        <v>601</v>
      </c>
      <c r="B587" s="2" t="inlineStr">
        <is>
          <t>Scotland</t>
        </is>
      </c>
      <c r="C587" s="2" t="inlineStr">
        <is>
          <t>Ryan Christie</t>
        </is>
      </c>
      <c r="D587" s="2" t="inlineStr">
        <is>
          <t>Médio</t>
        </is>
      </c>
      <c r="E587" s="11" t="n">
        <v>13</v>
      </c>
      <c r="F587" s="11" t="n">
        <v>1170</v>
      </c>
      <c r="G587" s="11" t="n">
        <v>4</v>
      </c>
      <c r="H587" s="11" t="n">
        <v>232</v>
      </c>
    </row>
    <row r="588">
      <c r="A588" s="1" t="n">
        <v>602</v>
      </c>
      <c r="B588" s="2" t="inlineStr">
        <is>
          <t>Scotland</t>
        </is>
      </c>
      <c r="C588" s="2" t="inlineStr">
        <is>
          <t>Ben Gannon-Doak</t>
        </is>
      </c>
      <c r="D588" s="2" t="inlineStr">
        <is>
          <t>Avançado</t>
        </is>
      </c>
      <c r="E588" s="11" t="n">
        <v>13</v>
      </c>
      <c r="F588" s="11" t="n">
        <v>1170</v>
      </c>
      <c r="G588" s="11" t="n">
        <v>2</v>
      </c>
      <c r="H588" s="11" t="n">
        <v>107</v>
      </c>
    </row>
    <row r="589">
      <c r="A589" s="1" t="n">
        <v>603</v>
      </c>
      <c r="B589" s="2" t="inlineStr">
        <is>
          <t>Scotland</t>
        </is>
      </c>
      <c r="C589" s="2" t="inlineStr">
        <is>
          <t>Lyndon Dykes</t>
        </is>
      </c>
      <c r="D589" s="2" t="inlineStr">
        <is>
          <t>Avançado</t>
        </is>
      </c>
      <c r="E589" s="11" t="n">
        <v>13</v>
      </c>
      <c r="F589" s="11" t="n">
        <v>1170</v>
      </c>
      <c r="G589" s="11" t="n">
        <v>3</v>
      </c>
      <c r="H589" s="11" t="n">
        <v>121</v>
      </c>
    </row>
    <row r="590">
      <c r="A590" s="1" t="n">
        <v>604</v>
      </c>
      <c r="B590" s="2" t="inlineStr">
        <is>
          <t>Scotland</t>
        </is>
      </c>
      <c r="C590" s="2" t="inlineStr">
        <is>
          <t>Che Adams</t>
        </is>
      </c>
      <c r="D590" s="2" t="inlineStr">
        <is>
          <t>Avançado</t>
        </is>
      </c>
      <c r="E590" s="11" t="n">
        <v>13</v>
      </c>
      <c r="F590" s="11" t="n">
        <v>1170</v>
      </c>
      <c r="G590" s="11" t="n">
        <v>2</v>
      </c>
      <c r="H590" s="11" t="n">
        <v>139</v>
      </c>
    </row>
    <row r="591">
      <c r="A591" s="1" t="n">
        <v>605</v>
      </c>
      <c r="B591" s="2" t="inlineStr">
        <is>
          <t>Scotland</t>
        </is>
      </c>
      <c r="C591" s="2" t="inlineStr">
        <is>
          <t>Ross Stewart</t>
        </is>
      </c>
      <c r="D591" s="2" t="inlineStr">
        <is>
          <t>Avançado</t>
        </is>
      </c>
      <c r="E591" s="11" t="n">
        <v>13</v>
      </c>
      <c r="F591" s="11" t="n">
        <v>1170</v>
      </c>
      <c r="G591" s="11" t="n">
        <v>1</v>
      </c>
      <c r="H591" s="11" t="n">
        <v>28</v>
      </c>
    </row>
    <row r="592">
      <c r="A592" s="1" t="n">
        <v>606</v>
      </c>
      <c r="B592" s="2" t="inlineStr">
        <is>
          <t>Scotland</t>
        </is>
      </c>
      <c r="C592" s="2" t="inlineStr">
        <is>
          <t>George Hirst</t>
        </is>
      </c>
      <c r="D592" s="2" t="inlineStr">
        <is>
          <t>Avançado</t>
        </is>
      </c>
      <c r="E592" s="11" t="n">
        <v>13</v>
      </c>
      <c r="F592" s="11" t="n">
        <v>1170</v>
      </c>
      <c r="G592" s="11" t="n">
        <v>4</v>
      </c>
      <c r="H592" s="11" t="n">
        <v>177</v>
      </c>
    </row>
    <row r="593">
      <c r="A593" s="1" t="n">
        <v>607</v>
      </c>
      <c r="B593" s="2" t="inlineStr">
        <is>
          <t>Scotland</t>
        </is>
      </c>
      <c r="C593" s="2" t="inlineStr">
        <is>
          <t>Lawrence Shankland</t>
        </is>
      </c>
      <c r="D593" s="2" t="inlineStr">
        <is>
          <t>Avançado</t>
        </is>
      </c>
      <c r="E593" s="11" t="n">
        <v>13</v>
      </c>
      <c r="F593" s="11" t="n">
        <v>1170</v>
      </c>
      <c r="G593" s="11" t="n">
        <v>2</v>
      </c>
      <c r="H593" s="11" t="n">
        <v>139</v>
      </c>
    </row>
    <row r="594">
      <c r="A594" s="1" t="n">
        <v>608</v>
      </c>
      <c r="B594" s="2" t="inlineStr">
        <is>
          <t>Scotland</t>
        </is>
      </c>
      <c r="C594" s="2" t="inlineStr">
        <is>
          <t>Findlay Curtis</t>
        </is>
      </c>
      <c r="D594" s="2" t="inlineStr">
        <is>
          <t>Avançado</t>
        </is>
      </c>
      <c r="E594" s="11" t="n">
        <v>13</v>
      </c>
      <c r="F594" s="11" t="n">
        <v>1170</v>
      </c>
      <c r="G594" s="11" t="n">
        <v>3</v>
      </c>
      <c r="H594" s="11" t="n">
        <v>85</v>
      </c>
    </row>
    <row r="595">
      <c r="A595" s="1" t="n">
        <v>609</v>
      </c>
      <c r="B595" s="2" t="inlineStr">
        <is>
          <t>Spain</t>
        </is>
      </c>
      <c r="C595" s="2" t="inlineStr">
        <is>
          <t>David Raya</t>
        </is>
      </c>
      <c r="D595" s="2" t="inlineStr">
        <is>
          <t>Guarda Redes</t>
        </is>
      </c>
      <c r="E595" s="12" t="n">
        <v>13</v>
      </c>
      <c r="F595" s="12" t="n">
        <v>1170</v>
      </c>
      <c r="G595" s="12" t="n">
        <v>1</v>
      </c>
      <c r="H595" s="12" t="n">
        <v>62</v>
      </c>
    </row>
    <row r="596">
      <c r="A596" s="1" t="n">
        <v>610</v>
      </c>
      <c r="B596" s="2" t="inlineStr">
        <is>
          <t>Spain</t>
        </is>
      </c>
      <c r="C596" s="2" t="inlineStr">
        <is>
          <t>Joan Garcia</t>
        </is>
      </c>
      <c r="D596" s="2" t="inlineStr">
        <is>
          <t>Guarda Redes</t>
        </is>
      </c>
      <c r="E596" s="12" t="n">
        <v>13</v>
      </c>
      <c r="F596" s="12" t="n">
        <v>1170</v>
      </c>
      <c r="G596" s="12" t="n">
        <v>2</v>
      </c>
      <c r="H596" s="12" t="n">
        <v>101</v>
      </c>
    </row>
    <row r="597">
      <c r="A597" s="1" t="n">
        <v>611</v>
      </c>
      <c r="B597" s="2" t="inlineStr">
        <is>
          <t>Spain</t>
        </is>
      </c>
      <c r="C597" s="2" t="inlineStr">
        <is>
          <t>Unai Simón</t>
        </is>
      </c>
      <c r="D597" s="2" t="inlineStr">
        <is>
          <t>Guarda Redes</t>
        </is>
      </c>
      <c r="E597" s="12" t="n">
        <v>13</v>
      </c>
      <c r="F597" s="12" t="n">
        <v>1170</v>
      </c>
      <c r="G597" s="12" t="n">
        <v>11</v>
      </c>
      <c r="H597" s="12" t="n">
        <v>990</v>
      </c>
    </row>
    <row r="598">
      <c r="A598" s="1" t="n">
        <v>612</v>
      </c>
      <c r="B598" s="2" t="inlineStr">
        <is>
          <t>Spain</t>
        </is>
      </c>
      <c r="C598" s="2" t="inlineStr">
        <is>
          <t>Pedro Porro</t>
        </is>
      </c>
      <c r="D598" s="2" t="inlineStr">
        <is>
          <t>Defesa</t>
        </is>
      </c>
      <c r="E598" s="12" t="n">
        <v>13</v>
      </c>
      <c r="F598" s="12" t="n">
        <v>1170</v>
      </c>
      <c r="G598" s="12" t="n">
        <v>11</v>
      </c>
      <c r="H598" s="12" t="n">
        <v>706</v>
      </c>
    </row>
    <row r="599">
      <c r="A599" s="1" t="n">
        <v>613</v>
      </c>
      <c r="B599" s="2" t="inlineStr">
        <is>
          <t>Spain</t>
        </is>
      </c>
      <c r="C599" s="2" t="inlineStr">
        <is>
          <t>Marc Pubill</t>
        </is>
      </c>
      <c r="D599" s="2" t="inlineStr">
        <is>
          <t>Defesa</t>
        </is>
      </c>
      <c r="E599" s="12" t="n">
        <v>13</v>
      </c>
      <c r="F599" s="12" t="n">
        <v>1170</v>
      </c>
      <c r="G599" s="12" t="n">
        <v>1</v>
      </c>
      <c r="H599" s="12" t="n">
        <v>31</v>
      </c>
    </row>
    <row r="600">
      <c r="A600" s="1" t="n">
        <v>614</v>
      </c>
      <c r="B600" s="2" t="inlineStr">
        <is>
          <t>Spain</t>
        </is>
      </c>
      <c r="C600" s="2" t="inlineStr">
        <is>
          <t>Eric García</t>
        </is>
      </c>
      <c r="D600" s="2" t="inlineStr">
        <is>
          <t>Defesa</t>
        </is>
      </c>
      <c r="E600" s="12" t="n">
        <v>13</v>
      </c>
      <c r="F600" s="12" t="n">
        <v>1170</v>
      </c>
      <c r="G600" s="12" t="n">
        <v>1</v>
      </c>
      <c r="H600" s="12" t="n">
        <v>44</v>
      </c>
    </row>
    <row r="601">
      <c r="A601" s="1" t="n">
        <v>615</v>
      </c>
      <c r="B601" s="2" t="inlineStr">
        <is>
          <t>Spain</t>
        </is>
      </c>
      <c r="C601" s="2" t="inlineStr">
        <is>
          <t>Aymeric Laporte</t>
        </is>
      </c>
      <c r="D601" s="2" t="inlineStr">
        <is>
          <t>Defesa</t>
        </is>
      </c>
      <c r="E601" s="12" t="n">
        <v>13</v>
      </c>
      <c r="F601" s="12" t="n">
        <v>1170</v>
      </c>
      <c r="G601" s="12" t="n">
        <v>5</v>
      </c>
      <c r="H601" s="12" t="n">
        <v>406</v>
      </c>
    </row>
    <row r="602">
      <c r="A602" s="1" t="n">
        <v>616</v>
      </c>
      <c r="B602" s="2" t="inlineStr">
        <is>
          <t>Spain</t>
        </is>
      </c>
      <c r="C602" s="2" t="inlineStr">
        <is>
          <t>Pau Cubarsí</t>
        </is>
      </c>
      <c r="D602" s="2" t="inlineStr">
        <is>
          <t>Defesa</t>
        </is>
      </c>
      <c r="E602" s="12" t="n">
        <v>13</v>
      </c>
      <c r="F602" s="12" t="n">
        <v>1170</v>
      </c>
      <c r="G602" s="12" t="n">
        <v>6</v>
      </c>
      <c r="H602" s="12" t="n">
        <v>438</v>
      </c>
    </row>
    <row r="603">
      <c r="A603" s="1" t="n">
        <v>617</v>
      </c>
      <c r="B603" s="2" t="inlineStr">
        <is>
          <t>Spain</t>
        </is>
      </c>
      <c r="C603" s="2" t="inlineStr">
        <is>
          <t>Álex Grimaldo</t>
        </is>
      </c>
      <c r="D603" s="2" t="inlineStr">
        <is>
          <t>Defesa</t>
        </is>
      </c>
      <c r="E603" s="12" t="n">
        <v>13</v>
      </c>
      <c r="F603" s="12" t="n">
        <v>1170</v>
      </c>
      <c r="G603" s="12" t="n">
        <v>3</v>
      </c>
      <c r="H603" s="12" t="n">
        <v>226</v>
      </c>
    </row>
    <row r="604">
      <c r="A604" s="1" t="n">
        <v>618</v>
      </c>
      <c r="B604" s="2" t="inlineStr">
        <is>
          <t>Spain</t>
        </is>
      </c>
      <c r="C604" s="2" t="inlineStr">
        <is>
          <t>Marc Cucurella</t>
        </is>
      </c>
      <c r="D604" s="2" t="inlineStr">
        <is>
          <t>Defesa</t>
        </is>
      </c>
      <c r="E604" s="12" t="n">
        <v>13</v>
      </c>
      <c r="F604" s="12" t="n">
        <v>1170</v>
      </c>
      <c r="G604" s="12" t="n">
        <v>10</v>
      </c>
      <c r="H604" s="12" t="n">
        <v>900</v>
      </c>
    </row>
    <row r="605">
      <c r="A605" s="1" t="n">
        <v>619</v>
      </c>
      <c r="B605" s="2" t="inlineStr">
        <is>
          <t>Spain</t>
        </is>
      </c>
      <c r="C605" s="2" t="inlineStr">
        <is>
          <t>Rodri</t>
        </is>
      </c>
      <c r="D605" s="2" t="inlineStr">
        <is>
          <t>Médio</t>
        </is>
      </c>
      <c r="E605" s="12" t="n">
        <v>13</v>
      </c>
      <c r="F605" s="12" t="n">
        <v>1170</v>
      </c>
      <c r="G605" s="12" t="n">
        <v>4</v>
      </c>
      <c r="H605" s="12" t="n">
        <v>166</v>
      </c>
    </row>
    <row r="606">
      <c r="A606" s="1" t="n">
        <v>620</v>
      </c>
      <c r="B606" s="2" t="inlineStr">
        <is>
          <t>Spain</t>
        </is>
      </c>
      <c r="C606" s="2" t="inlineStr">
        <is>
          <t>Marcos Llorente</t>
        </is>
      </c>
      <c r="D606" s="2" t="inlineStr">
        <is>
          <t>Médio</t>
        </is>
      </c>
      <c r="E606" s="12" t="n">
        <v>13</v>
      </c>
      <c r="F606" s="12" t="n">
        <v>1170</v>
      </c>
      <c r="G606" s="12" t="n">
        <v>4</v>
      </c>
      <c r="H606" s="12" t="n">
        <v>239</v>
      </c>
    </row>
    <row r="607">
      <c r="A607" s="1" t="n">
        <v>621</v>
      </c>
      <c r="B607" s="2" t="inlineStr">
        <is>
          <t>Spain</t>
        </is>
      </c>
      <c r="C607" s="2" t="inlineStr">
        <is>
          <t>Mikel Merino</t>
        </is>
      </c>
      <c r="D607" s="2" t="inlineStr">
        <is>
          <t>Médio</t>
        </is>
      </c>
      <c r="E607" s="12" t="n">
        <v>13</v>
      </c>
      <c r="F607" s="12" t="n">
        <v>1170</v>
      </c>
      <c r="G607" s="12" t="n">
        <v>11</v>
      </c>
      <c r="H607" s="12" t="n">
        <v>607</v>
      </c>
    </row>
    <row r="608">
      <c r="A608" s="1" t="n">
        <v>622</v>
      </c>
      <c r="B608" s="2" t="inlineStr">
        <is>
          <t>Spain</t>
        </is>
      </c>
      <c r="C608" s="2" t="inlineStr">
        <is>
          <t>Fabián Ruiz</t>
        </is>
      </c>
      <c r="D608" s="2" t="inlineStr">
        <is>
          <t>Médio</t>
        </is>
      </c>
      <c r="E608" s="12" t="n">
        <v>13</v>
      </c>
      <c r="F608" s="12" t="n">
        <v>1170</v>
      </c>
      <c r="G608" s="12" t="n">
        <v>6</v>
      </c>
      <c r="H608" s="12" t="n">
        <v>414</v>
      </c>
    </row>
    <row r="609">
      <c r="A609" s="1" t="n">
        <v>623</v>
      </c>
      <c r="B609" s="2" t="inlineStr">
        <is>
          <t>Spain</t>
        </is>
      </c>
      <c r="C609" s="2" t="inlineStr">
        <is>
          <t>Pablo Gavi</t>
        </is>
      </c>
      <c r="D609" s="2" t="inlineStr">
        <is>
          <t>Médio</t>
        </is>
      </c>
      <c r="E609" s="12" t="n">
        <v>13</v>
      </c>
      <c r="F609" s="12" t="n">
        <v>1170</v>
      </c>
      <c r="G609" s="12" t="n">
        <v>2</v>
      </c>
      <c r="H609" s="12" t="n">
        <v>59</v>
      </c>
    </row>
    <row r="610">
      <c r="A610" s="1" t="n">
        <v>624</v>
      </c>
      <c r="B610" s="2" t="inlineStr">
        <is>
          <t>Spain</t>
        </is>
      </c>
      <c r="C610" s="2" t="inlineStr">
        <is>
          <t>Álex Baena</t>
        </is>
      </c>
      <c r="D610" s="2" t="inlineStr">
        <is>
          <t>Médio</t>
        </is>
      </c>
      <c r="E610" s="12" t="n">
        <v>13</v>
      </c>
      <c r="F610" s="12" t="n">
        <v>1170</v>
      </c>
      <c r="G610" s="12" t="n">
        <v>8</v>
      </c>
      <c r="H610" s="12" t="n">
        <v>352</v>
      </c>
    </row>
    <row r="611">
      <c r="A611" s="1" t="n">
        <v>625</v>
      </c>
      <c r="B611" s="2" t="inlineStr">
        <is>
          <t>Spain</t>
        </is>
      </c>
      <c r="C611" s="2" t="inlineStr">
        <is>
          <t>Martin Zubimendi</t>
        </is>
      </c>
      <c r="D611" s="2" t="inlineStr">
        <is>
          <t>Médio</t>
        </is>
      </c>
      <c r="E611" s="12" t="n">
        <v>13</v>
      </c>
      <c r="F611" s="12" t="n">
        <v>1170</v>
      </c>
      <c r="G611" s="12" t="n">
        <v>10</v>
      </c>
      <c r="H611" s="12" t="n">
        <v>742</v>
      </c>
    </row>
    <row r="612">
      <c r="A612" s="1" t="n">
        <v>626</v>
      </c>
      <c r="B612" s="2" t="inlineStr">
        <is>
          <t>Spain</t>
        </is>
      </c>
      <c r="C612" s="2" t="inlineStr">
        <is>
          <t>Pedri González</t>
        </is>
      </c>
      <c r="D612" s="2" t="inlineStr">
        <is>
          <t>Médio</t>
        </is>
      </c>
      <c r="E612" s="12" t="n">
        <v>13</v>
      </c>
      <c r="F612" s="12" t="n">
        <v>1170</v>
      </c>
      <c r="G612" s="12" t="n">
        <v>10</v>
      </c>
      <c r="H612" s="12" t="n">
        <v>601</v>
      </c>
    </row>
    <row r="613">
      <c r="A613" s="1" t="n">
        <v>627</v>
      </c>
      <c r="B613" s="2" t="inlineStr">
        <is>
          <t>Spain</t>
        </is>
      </c>
      <c r="C613" s="2" t="inlineStr">
        <is>
          <t>Dani Olmo</t>
        </is>
      </c>
      <c r="D613" s="2" t="inlineStr">
        <is>
          <t>Médio</t>
        </is>
      </c>
      <c r="E613" s="12" t="n">
        <v>13</v>
      </c>
      <c r="F613" s="12" t="n">
        <v>1170</v>
      </c>
      <c r="G613" s="12" t="n">
        <v>8</v>
      </c>
      <c r="H613" s="12" t="n">
        <v>363</v>
      </c>
    </row>
    <row r="614">
      <c r="A614" s="1" t="n">
        <v>628</v>
      </c>
      <c r="B614" s="2" t="inlineStr">
        <is>
          <t>Spain</t>
        </is>
      </c>
      <c r="C614" s="2" t="inlineStr">
        <is>
          <t>Mikel Oyarzabal</t>
        </is>
      </c>
      <c r="D614" s="2" t="inlineStr">
        <is>
          <t>Avançado</t>
        </is>
      </c>
      <c r="E614" s="12" t="n">
        <v>13</v>
      </c>
      <c r="F614" s="12" t="n">
        <v>1170</v>
      </c>
      <c r="G614" s="12" t="n">
        <v>11</v>
      </c>
      <c r="H614" s="12" t="n">
        <v>769</v>
      </c>
    </row>
    <row r="615">
      <c r="A615" s="1" t="n">
        <v>629</v>
      </c>
      <c r="B615" s="2" t="inlineStr">
        <is>
          <t>Spain</t>
        </is>
      </c>
      <c r="C615" s="2" t="inlineStr">
        <is>
          <t>Ferran Torres</t>
        </is>
      </c>
      <c r="D615" s="2" t="inlineStr">
        <is>
          <t>Avançado</t>
        </is>
      </c>
      <c r="E615" s="12" t="n">
        <v>13</v>
      </c>
      <c r="F615" s="12" t="n">
        <v>1170</v>
      </c>
      <c r="G615" s="12" t="n">
        <v>8</v>
      </c>
      <c r="H615" s="12" t="n">
        <v>416</v>
      </c>
    </row>
    <row r="616">
      <c r="A616" s="1" t="n">
        <v>630</v>
      </c>
      <c r="B616" s="2" t="inlineStr">
        <is>
          <t>Spain</t>
        </is>
      </c>
      <c r="C616" s="2" t="inlineStr">
        <is>
          <t>Borja Iglesias</t>
        </is>
      </c>
      <c r="D616" s="2" t="inlineStr">
        <is>
          <t>Avançado</t>
        </is>
      </c>
      <c r="E616" s="12" t="n">
        <v>13</v>
      </c>
      <c r="F616" s="12" t="n">
        <v>1170</v>
      </c>
      <c r="G616" s="12" t="n">
        <v>5</v>
      </c>
      <c r="H616" s="12" t="n">
        <v>162</v>
      </c>
    </row>
    <row r="617">
      <c r="A617" s="1" t="n">
        <v>631</v>
      </c>
      <c r="B617" s="2" t="inlineStr">
        <is>
          <t>Spain</t>
        </is>
      </c>
      <c r="C617" s="2" t="inlineStr">
        <is>
          <t>Yéremy Pino</t>
        </is>
      </c>
      <c r="D617" s="2" t="inlineStr">
        <is>
          <t>Avançado</t>
        </is>
      </c>
      <c r="E617" s="12" t="n">
        <v>13</v>
      </c>
      <c r="F617" s="12" t="n">
        <v>1170</v>
      </c>
      <c r="G617" s="12" t="n">
        <v>8</v>
      </c>
      <c r="H617" s="12" t="n">
        <v>237</v>
      </c>
    </row>
    <row r="618">
      <c r="A618" s="1" t="n">
        <v>632</v>
      </c>
      <c r="B618" s="2" t="inlineStr">
        <is>
          <t>Spain</t>
        </is>
      </c>
      <c r="C618" s="2" t="inlineStr">
        <is>
          <t>Nico Williams</t>
        </is>
      </c>
      <c r="D618" s="2" t="inlineStr">
        <is>
          <t>Avançado</t>
        </is>
      </c>
      <c r="E618" s="12" t="n">
        <v>13</v>
      </c>
      <c r="F618" s="12" t="n">
        <v>1170</v>
      </c>
      <c r="G618" s="12" t="n">
        <v>6</v>
      </c>
      <c r="H618" s="12" t="n">
        <v>449</v>
      </c>
    </row>
    <row r="619">
      <c r="A619" s="1" t="n">
        <v>633</v>
      </c>
      <c r="B619" s="2" t="inlineStr">
        <is>
          <t>Spain</t>
        </is>
      </c>
      <c r="C619" s="2" t="inlineStr">
        <is>
          <t>Lamine Yamal</t>
        </is>
      </c>
      <c r="D619" s="2" t="inlineStr">
        <is>
          <t>Avançado</t>
        </is>
      </c>
      <c r="E619" s="12" t="n">
        <v>13</v>
      </c>
      <c r="F619" s="12" t="n">
        <v>1170</v>
      </c>
      <c r="G619" s="12" t="n">
        <v>8</v>
      </c>
      <c r="H619" s="12" t="n">
        <v>597</v>
      </c>
    </row>
    <row r="620">
      <c r="A620" s="1" t="n">
        <v>634</v>
      </c>
      <c r="B620" s="2" t="inlineStr">
        <is>
          <t>Spain</t>
        </is>
      </c>
      <c r="C620" s="2" t="inlineStr">
        <is>
          <t>Víctor Muñoz</t>
        </is>
      </c>
      <c r="D620" s="2" t="inlineStr">
        <is>
          <t>Avançado</t>
        </is>
      </c>
      <c r="E620" s="12" t="n">
        <v>13</v>
      </c>
      <c r="F620" s="12" t="n">
        <v>1170</v>
      </c>
      <c r="G620" s="12" t="n">
        <v>2</v>
      </c>
      <c r="H620" s="12" t="n">
        <v>71</v>
      </c>
    </row>
    <row r="621">
      <c r="A621" s="1" t="n">
        <v>635</v>
      </c>
      <c r="B621" s="2" t="inlineStr">
        <is>
          <t>USA</t>
        </is>
      </c>
      <c r="C621" s="2" t="inlineStr">
        <is>
          <t>Matt Turner</t>
        </is>
      </c>
      <c r="D621" s="2" t="inlineStr">
        <is>
          <t>Guarda Redes</t>
        </is>
      </c>
      <c r="E621" s="14" t="n">
        <v>21</v>
      </c>
      <c r="F621" s="14" t="n">
        <v>1890</v>
      </c>
      <c r="G621" s="14" t="n">
        <v>2</v>
      </c>
      <c r="H621" s="14" t="n">
        <v>135</v>
      </c>
    </row>
    <row r="622">
      <c r="A622" s="1" t="n">
        <v>636</v>
      </c>
      <c r="B622" s="2" t="inlineStr">
        <is>
          <t>USA</t>
        </is>
      </c>
      <c r="C622" s="2" t="inlineStr">
        <is>
          <t>Matt Freese</t>
        </is>
      </c>
      <c r="D622" s="2" t="inlineStr">
        <is>
          <t>Guarda Redes</t>
        </is>
      </c>
      <c r="E622" s="14" t="n">
        <v>21</v>
      </c>
      <c r="F622" s="14" t="n">
        <v>1890</v>
      </c>
      <c r="G622" s="14" t="n">
        <v>8</v>
      </c>
      <c r="H622" s="14" t="n">
        <v>720</v>
      </c>
    </row>
    <row r="623">
      <c r="A623" s="1" t="n">
        <v>637</v>
      </c>
      <c r="B623" s="2" t="inlineStr">
        <is>
          <t>USA</t>
        </is>
      </c>
      <c r="C623" s="2" t="inlineStr">
        <is>
          <t>Chris Brady</t>
        </is>
      </c>
      <c r="D623" s="2" t="inlineStr">
        <is>
          <t>Guarda Redes</t>
        </is>
      </c>
      <c r="E623" s="14" t="n">
        <v>21</v>
      </c>
      <c r="F623" s="14" t="n">
        <v>1890</v>
      </c>
      <c r="G623" s="14" t="n">
        <v>1</v>
      </c>
      <c r="H623" s="14" t="n">
        <v>45</v>
      </c>
    </row>
    <row r="624">
      <c r="A624" s="1" t="n">
        <v>638</v>
      </c>
      <c r="B624" s="2" t="inlineStr">
        <is>
          <t>USA</t>
        </is>
      </c>
      <c r="C624" s="2" t="inlineStr">
        <is>
          <t>Sergiño Dest</t>
        </is>
      </c>
      <c r="D624" s="2" t="inlineStr">
        <is>
          <t>Defesa</t>
        </is>
      </c>
      <c r="E624" s="14" t="n">
        <v>21</v>
      </c>
      <c r="F624" s="14" t="n">
        <v>1890</v>
      </c>
      <c r="G624" s="14" t="n">
        <v>6</v>
      </c>
      <c r="H624" s="14" t="n">
        <v>331</v>
      </c>
    </row>
    <row r="625">
      <c r="A625" s="1" t="n">
        <v>639</v>
      </c>
      <c r="B625" s="2" t="inlineStr">
        <is>
          <t>USA</t>
        </is>
      </c>
      <c r="C625" s="2" t="inlineStr">
        <is>
          <t>Chris Richards</t>
        </is>
      </c>
      <c r="D625" s="2" t="inlineStr">
        <is>
          <t>Defesa</t>
        </is>
      </c>
      <c r="E625" s="14" t="n">
        <v>21</v>
      </c>
      <c r="F625" s="14" t="n">
        <v>1890</v>
      </c>
      <c r="G625" s="14" t="n">
        <v>5</v>
      </c>
      <c r="H625" s="14" t="n">
        <v>388</v>
      </c>
    </row>
    <row r="626">
      <c r="A626" s="1" t="n">
        <v>640</v>
      </c>
      <c r="B626" s="2" t="inlineStr">
        <is>
          <t>USA</t>
        </is>
      </c>
      <c r="C626" s="2" t="inlineStr">
        <is>
          <t>Antonee Robinson</t>
        </is>
      </c>
      <c r="D626" s="2" t="inlineStr">
        <is>
          <t>Defesa</t>
        </is>
      </c>
      <c r="E626" s="14" t="n">
        <v>21</v>
      </c>
      <c r="F626" s="14" t="n">
        <v>1890</v>
      </c>
      <c r="G626" s="14" t="n">
        <v>4</v>
      </c>
      <c r="H626" s="14" t="n">
        <v>217</v>
      </c>
    </row>
    <row r="627">
      <c r="A627" s="1" t="n">
        <v>641</v>
      </c>
      <c r="B627" s="2" t="inlineStr">
        <is>
          <t>USA</t>
        </is>
      </c>
      <c r="C627" s="2" t="inlineStr">
        <is>
          <t>Auston Trusty</t>
        </is>
      </c>
      <c r="D627" s="2" t="inlineStr">
        <is>
          <t>Defesa</t>
        </is>
      </c>
      <c r="E627" s="14" t="n">
        <v>21</v>
      </c>
      <c r="F627" s="14" t="n">
        <v>1890</v>
      </c>
      <c r="G627" s="14" t="n">
        <v>4</v>
      </c>
      <c r="H627" s="14" t="n">
        <v>252</v>
      </c>
    </row>
    <row r="628">
      <c r="A628" s="1" t="n">
        <v>642</v>
      </c>
      <c r="B628" s="2" t="inlineStr">
        <is>
          <t>USA</t>
        </is>
      </c>
      <c r="C628" s="2" t="inlineStr">
        <is>
          <t>Miles Robinson</t>
        </is>
      </c>
      <c r="D628" s="2" t="inlineStr">
        <is>
          <t>Defesa</t>
        </is>
      </c>
      <c r="E628" s="14" t="n">
        <v>21</v>
      </c>
      <c r="F628" s="14" t="n">
        <v>1890</v>
      </c>
      <c r="G628" s="14" t="n">
        <v>5</v>
      </c>
      <c r="H628" s="14" t="n">
        <v>350</v>
      </c>
    </row>
    <row r="629">
      <c r="A629" s="1" t="n">
        <v>643</v>
      </c>
      <c r="B629" s="2" t="inlineStr">
        <is>
          <t>USA</t>
        </is>
      </c>
      <c r="C629" s="2" t="inlineStr">
        <is>
          <t>Tim Ream</t>
        </is>
      </c>
      <c r="D629" s="2" t="inlineStr">
        <is>
          <t>Defesa</t>
        </is>
      </c>
      <c r="E629" s="14" t="n">
        <v>21</v>
      </c>
      <c r="F629" s="14" t="n">
        <v>1890</v>
      </c>
      <c r="G629" s="14" t="n">
        <v>7</v>
      </c>
      <c r="H629" s="14" t="n">
        <v>550</v>
      </c>
    </row>
    <row r="630">
      <c r="A630" s="1" t="n">
        <v>644</v>
      </c>
      <c r="B630" s="2" t="inlineStr">
        <is>
          <t>USA</t>
        </is>
      </c>
      <c r="C630" s="2" t="inlineStr">
        <is>
          <t>Alex Freeman</t>
        </is>
      </c>
      <c r="D630" s="2" t="inlineStr">
        <is>
          <t>Defesa</t>
        </is>
      </c>
      <c r="E630" s="14" t="n">
        <v>21</v>
      </c>
      <c r="F630" s="14" t="n">
        <v>1890</v>
      </c>
      <c r="G630" s="14" t="n">
        <v>10</v>
      </c>
      <c r="H630" s="14" t="n">
        <v>570</v>
      </c>
    </row>
    <row r="631">
      <c r="A631" s="1" t="n">
        <v>645</v>
      </c>
      <c r="B631" s="2" t="inlineStr">
        <is>
          <t>USA</t>
        </is>
      </c>
      <c r="C631" s="2" t="inlineStr">
        <is>
          <t>Mark McKenzie</t>
        </is>
      </c>
      <c r="D631" s="2" t="inlineStr">
        <is>
          <t>Defesa</t>
        </is>
      </c>
      <c r="E631" s="14" t="n">
        <v>21</v>
      </c>
      <c r="F631" s="14" t="n">
        <v>1890</v>
      </c>
      <c r="G631" s="14" t="n">
        <v>7</v>
      </c>
      <c r="H631" s="14" t="n">
        <v>361</v>
      </c>
    </row>
    <row r="632">
      <c r="A632" s="1" t="n">
        <v>646</v>
      </c>
      <c r="B632" s="2" t="inlineStr">
        <is>
          <t>USA</t>
        </is>
      </c>
      <c r="C632" s="2" t="inlineStr">
        <is>
          <t>Joe Scally</t>
        </is>
      </c>
      <c r="D632" s="2" t="inlineStr">
        <is>
          <t>Defesa</t>
        </is>
      </c>
      <c r="E632" s="14" t="n">
        <v>21</v>
      </c>
      <c r="F632" s="14" t="n">
        <v>1890</v>
      </c>
      <c r="G632" s="14" t="n">
        <v>5</v>
      </c>
      <c r="H632" s="14" t="n">
        <v>172</v>
      </c>
    </row>
    <row r="633">
      <c r="A633" s="1" t="n">
        <v>647</v>
      </c>
      <c r="B633" s="2" t="inlineStr">
        <is>
          <t>USA</t>
        </is>
      </c>
      <c r="C633" s="2" t="inlineStr">
        <is>
          <t>Tyler Adams</t>
        </is>
      </c>
      <c r="D633" s="2" t="inlineStr">
        <is>
          <t>Médio</t>
        </is>
      </c>
      <c r="E633" s="14" t="n">
        <v>21</v>
      </c>
      <c r="F633" s="14" t="n">
        <v>1890</v>
      </c>
      <c r="G633" s="14" t="n">
        <v>4</v>
      </c>
      <c r="H633" s="14" t="n">
        <v>245</v>
      </c>
    </row>
    <row r="634">
      <c r="A634" s="1" t="n">
        <v>648</v>
      </c>
      <c r="B634" s="2" t="inlineStr">
        <is>
          <t>USA</t>
        </is>
      </c>
      <c r="C634" s="2" t="inlineStr">
        <is>
          <t>Giovanni Reyna</t>
        </is>
      </c>
      <c r="D634" s="2" t="inlineStr">
        <is>
          <t>Médio</t>
        </is>
      </c>
      <c r="E634" s="14" t="n">
        <v>21</v>
      </c>
      <c r="F634" s="14" t="n">
        <v>1890</v>
      </c>
      <c r="G634" s="14" t="n">
        <v>6</v>
      </c>
      <c r="H634" s="14" t="n">
        <v>208</v>
      </c>
    </row>
    <row r="635">
      <c r="A635" s="1" t="n">
        <v>649</v>
      </c>
      <c r="B635" s="2" t="inlineStr">
        <is>
          <t>USA</t>
        </is>
      </c>
      <c r="C635" s="2" t="inlineStr">
        <is>
          <t>Weston McKennie</t>
        </is>
      </c>
      <c r="D635" s="2" t="inlineStr">
        <is>
          <t>Médio</t>
        </is>
      </c>
      <c r="E635" s="14" t="n">
        <v>21</v>
      </c>
      <c r="F635" s="14" t="n">
        <v>1890</v>
      </c>
      <c r="G635" s="14" t="n">
        <v>6</v>
      </c>
      <c r="H635" s="14" t="n">
        <v>361</v>
      </c>
    </row>
    <row r="636">
      <c r="A636" s="1" t="n">
        <v>650</v>
      </c>
      <c r="B636" s="2" t="inlineStr">
        <is>
          <t>USA</t>
        </is>
      </c>
      <c r="C636" s="2" t="inlineStr">
        <is>
          <t>Brenden Aaronson</t>
        </is>
      </c>
      <c r="D636" s="2" t="inlineStr">
        <is>
          <t>Médio</t>
        </is>
      </c>
      <c r="E636" s="14" t="n">
        <v>21</v>
      </c>
      <c r="F636" s="14" t="n">
        <v>1890</v>
      </c>
      <c r="G636" s="14" t="n">
        <v>5</v>
      </c>
      <c r="H636" s="14" t="n">
        <v>150</v>
      </c>
    </row>
    <row r="637">
      <c r="A637" s="1" t="n">
        <v>651</v>
      </c>
      <c r="B637" s="2" t="inlineStr">
        <is>
          <t>USA</t>
        </is>
      </c>
      <c r="C637" s="2" t="inlineStr">
        <is>
          <t>Sebastian Berhalter</t>
        </is>
      </c>
      <c r="D637" s="2" t="inlineStr">
        <is>
          <t>Médio</t>
        </is>
      </c>
      <c r="E637" s="14" t="n">
        <v>21</v>
      </c>
      <c r="F637" s="14" t="n">
        <v>1890</v>
      </c>
      <c r="G637" s="14" t="n">
        <v>7</v>
      </c>
      <c r="H637" s="14" t="n">
        <v>388</v>
      </c>
    </row>
    <row r="638">
      <c r="A638" s="1" t="n">
        <v>652</v>
      </c>
      <c r="B638" s="2" t="inlineStr">
        <is>
          <t>USA</t>
        </is>
      </c>
      <c r="C638" s="2" t="inlineStr">
        <is>
          <t>Cristian Roldán</t>
        </is>
      </c>
      <c r="D638" s="2" t="inlineStr">
        <is>
          <t>Médio</t>
        </is>
      </c>
      <c r="E638" s="14" t="n">
        <v>21</v>
      </c>
      <c r="F638" s="14" t="n">
        <v>1890</v>
      </c>
      <c r="G638" s="14" t="n">
        <v>10</v>
      </c>
      <c r="H638" s="14" t="n">
        <v>406</v>
      </c>
    </row>
    <row r="639">
      <c r="A639" s="1" t="n">
        <v>653</v>
      </c>
      <c r="B639" s="2" t="inlineStr">
        <is>
          <t>USA</t>
        </is>
      </c>
      <c r="C639" s="2" t="inlineStr">
        <is>
          <t>Malik Tillman</t>
        </is>
      </c>
      <c r="D639" s="2" t="inlineStr">
        <is>
          <t>Médio</t>
        </is>
      </c>
      <c r="E639" s="14" t="n">
        <v>21</v>
      </c>
      <c r="F639" s="14" t="n">
        <v>1890</v>
      </c>
      <c r="G639" s="14" t="n">
        <v>5</v>
      </c>
      <c r="H639" s="14" t="n">
        <v>345</v>
      </c>
    </row>
    <row r="640">
      <c r="A640" s="1" t="n">
        <v>654</v>
      </c>
      <c r="B640" s="2" t="inlineStr">
        <is>
          <t>USA</t>
        </is>
      </c>
      <c r="C640" s="2" t="inlineStr">
        <is>
          <t>Álex Zendejas</t>
        </is>
      </c>
      <c r="D640" s="2" t="inlineStr">
        <is>
          <t>Médio</t>
        </is>
      </c>
      <c r="E640" s="14" t="n">
        <v>21</v>
      </c>
      <c r="F640" s="14" t="n">
        <v>1890</v>
      </c>
      <c r="G640" s="14" t="n">
        <v>3</v>
      </c>
      <c r="H640" s="14" t="n">
        <v>98</v>
      </c>
    </row>
    <row r="641">
      <c r="A641" s="1" t="n">
        <v>655</v>
      </c>
      <c r="B641" s="2" t="inlineStr">
        <is>
          <t>USA</t>
        </is>
      </c>
      <c r="C641" s="2" t="inlineStr">
        <is>
          <t>Ricardo Pepi</t>
        </is>
      </c>
      <c r="D641" s="2" t="inlineStr">
        <is>
          <t>Avançado</t>
        </is>
      </c>
      <c r="E641" s="14" t="n">
        <v>21</v>
      </c>
      <c r="F641" s="14" t="n">
        <v>1890</v>
      </c>
      <c r="G641" s="14" t="n">
        <v>4</v>
      </c>
      <c r="H641" s="14" t="n">
        <v>97</v>
      </c>
    </row>
    <row r="642">
      <c r="A642" s="1" t="n">
        <v>656</v>
      </c>
      <c r="B642" s="2" t="inlineStr">
        <is>
          <t>USA</t>
        </is>
      </c>
      <c r="C642" s="2" t="inlineStr">
        <is>
          <t>Christian Pulisic</t>
        </is>
      </c>
      <c r="D642" s="2" t="inlineStr">
        <is>
          <t>Avançado</t>
        </is>
      </c>
      <c r="E642" s="14" t="n">
        <v>21</v>
      </c>
      <c r="F642" s="14" t="n">
        <v>1890</v>
      </c>
      <c r="G642" s="14" t="n">
        <v>8</v>
      </c>
      <c r="H642" s="14" t="n">
        <v>427</v>
      </c>
    </row>
    <row r="643">
      <c r="A643" s="1" t="n">
        <v>657</v>
      </c>
      <c r="B643" s="2" t="inlineStr">
        <is>
          <t>USA</t>
        </is>
      </c>
      <c r="C643" s="2" t="inlineStr">
        <is>
          <t>Max Arfsten</t>
        </is>
      </c>
      <c r="D643" s="2" t="inlineStr">
        <is>
          <t>Avançado</t>
        </is>
      </c>
      <c r="E643" s="14" t="n">
        <v>21</v>
      </c>
      <c r="F643" s="14" t="n">
        <v>1890</v>
      </c>
      <c r="G643" s="14" t="n">
        <v>10</v>
      </c>
      <c r="H643" s="14" t="n">
        <v>499</v>
      </c>
    </row>
    <row r="644">
      <c r="A644" s="1" t="n">
        <v>658</v>
      </c>
      <c r="B644" s="2" t="inlineStr">
        <is>
          <t>USA</t>
        </is>
      </c>
      <c r="C644" s="2" t="inlineStr">
        <is>
          <t>Haji Wright</t>
        </is>
      </c>
      <c r="D644" s="2" t="inlineStr">
        <is>
          <t>Avançado</t>
        </is>
      </c>
      <c r="E644" s="14" t="n">
        <v>21</v>
      </c>
      <c r="F644" s="14" t="n">
        <v>1890</v>
      </c>
      <c r="G644" s="14" t="n">
        <v>3</v>
      </c>
      <c r="H644" s="14" t="n">
        <v>133</v>
      </c>
    </row>
    <row r="645">
      <c r="A645" s="1" t="n">
        <v>659</v>
      </c>
      <c r="B645" s="2" t="inlineStr">
        <is>
          <t>USA</t>
        </is>
      </c>
      <c r="C645" s="2" t="inlineStr">
        <is>
          <t>Folarin Balogun</t>
        </is>
      </c>
      <c r="D645" s="2" t="inlineStr">
        <is>
          <t>Avançado</t>
        </is>
      </c>
      <c r="E645" s="14" t="n">
        <v>21</v>
      </c>
      <c r="F645" s="14" t="n">
        <v>1890</v>
      </c>
      <c r="G645" s="14" t="n">
        <v>10</v>
      </c>
      <c r="H645" s="14" t="n">
        <v>530</v>
      </c>
    </row>
    <row r="646">
      <c r="A646" s="1" t="n">
        <v>660</v>
      </c>
      <c r="B646" s="2" t="inlineStr">
        <is>
          <t>USA</t>
        </is>
      </c>
      <c r="C646" s="2" t="inlineStr">
        <is>
          <t>Timothy Weah</t>
        </is>
      </c>
      <c r="D646" s="2" t="inlineStr">
        <is>
          <t>Avançado</t>
        </is>
      </c>
      <c r="E646" s="14" t="n">
        <v>21</v>
      </c>
      <c r="F646" s="14" t="n">
        <v>1890</v>
      </c>
      <c r="G646" s="14" t="n">
        <v>7</v>
      </c>
      <c r="H646" s="14" t="n">
        <v>393</v>
      </c>
    </row>
    <row r="647">
      <c r="A647" s="1" t="n">
        <v>661</v>
      </c>
      <c r="B647" s="2" t="inlineStr">
        <is>
          <t>France</t>
        </is>
      </c>
      <c r="C647" s="2" t="inlineStr">
        <is>
          <t>Brice Samba</t>
        </is>
      </c>
      <c r="D647" s="2" t="inlineStr">
        <is>
          <t>Guarda Redes</t>
        </is>
      </c>
      <c r="E647" s="12" t="n">
        <v>13</v>
      </c>
      <c r="F647" s="12" t="n">
        <v>1170</v>
      </c>
      <c r="G647" s="12" t="n">
        <v>1</v>
      </c>
      <c r="H647" s="12" t="n">
        <v>1</v>
      </c>
    </row>
    <row r="648">
      <c r="A648" s="1" t="n">
        <v>662</v>
      </c>
      <c r="B648" s="2" t="inlineStr">
        <is>
          <t>France</t>
        </is>
      </c>
      <c r="C648" s="2" t="inlineStr">
        <is>
          <t>Mike Maignan</t>
        </is>
      </c>
      <c r="D648" s="2" t="inlineStr">
        <is>
          <t>Guarda Redes</t>
        </is>
      </c>
      <c r="E648" s="12" t="n">
        <v>13</v>
      </c>
      <c r="F648" s="12" t="n">
        <v>1170</v>
      </c>
      <c r="G648" s="12" t="n">
        <v>11</v>
      </c>
      <c r="H648" s="12" t="n">
        <v>11</v>
      </c>
    </row>
    <row r="649">
      <c r="A649" s="1" t="n">
        <v>663</v>
      </c>
      <c r="B649" s="2" t="inlineStr">
        <is>
          <t>France</t>
        </is>
      </c>
      <c r="C649" s="2" t="inlineStr">
        <is>
          <t>Robin Risser</t>
        </is>
      </c>
      <c r="D649" s="2" t="inlineStr">
        <is>
          <t>Guarda Redes</t>
        </is>
      </c>
      <c r="E649" s="12" t="n">
        <v>13</v>
      </c>
      <c r="F649" s="12" t="n">
        <v>1170</v>
      </c>
      <c r="G649" s="12" t="n">
        <v>0</v>
      </c>
      <c r="H649" s="12" t="n">
        <v>0</v>
      </c>
    </row>
    <row r="650">
      <c r="A650" s="1" t="n">
        <v>664</v>
      </c>
      <c r="B650" s="2" t="inlineStr">
        <is>
          <t>France</t>
        </is>
      </c>
      <c r="C650" s="2" t="inlineStr">
        <is>
          <t>Malo Gusto</t>
        </is>
      </c>
      <c r="D650" s="2" t="inlineStr">
        <is>
          <t>Defesa</t>
        </is>
      </c>
      <c r="E650" s="12" t="n">
        <v>13</v>
      </c>
      <c r="F650" s="12" t="n">
        <v>1170</v>
      </c>
      <c r="G650" s="12" t="n">
        <v>9</v>
      </c>
      <c r="H650" s="12" t="n">
        <v>9</v>
      </c>
    </row>
    <row r="651">
      <c r="A651" s="1" t="n">
        <v>665</v>
      </c>
      <c r="B651" s="2" t="inlineStr">
        <is>
          <t>France</t>
        </is>
      </c>
      <c r="C651" s="2" t="inlineStr">
        <is>
          <t>Jules Koundé</t>
        </is>
      </c>
      <c r="D651" s="2" t="inlineStr">
        <is>
          <t>Defesa</t>
        </is>
      </c>
      <c r="E651" s="12" t="n">
        <v>13</v>
      </c>
      <c r="F651" s="12" t="n">
        <v>1170</v>
      </c>
      <c r="G651" s="12" t="n">
        <v>6</v>
      </c>
      <c r="H651" s="12" t="n">
        <v>6</v>
      </c>
    </row>
    <row r="652">
      <c r="A652" s="1" t="n">
        <v>666</v>
      </c>
      <c r="B652" s="2" t="inlineStr">
        <is>
          <t>France</t>
        </is>
      </c>
      <c r="C652" s="2" t="inlineStr">
        <is>
          <t>Dayot Upamecano</t>
        </is>
      </c>
      <c r="D652" s="2" t="inlineStr">
        <is>
          <t>Defesa</t>
        </is>
      </c>
      <c r="E652" s="12" t="n">
        <v>13</v>
      </c>
      <c r="F652" s="12" t="n">
        <v>1170</v>
      </c>
      <c r="G652" s="12" t="n">
        <v>9</v>
      </c>
      <c r="H652" s="12" t="n">
        <v>9</v>
      </c>
    </row>
    <row r="653">
      <c r="A653" s="1" t="n">
        <v>667</v>
      </c>
      <c r="B653" s="2" t="inlineStr">
        <is>
          <t>France</t>
        </is>
      </c>
      <c r="C653" s="2" t="inlineStr">
        <is>
          <t>Ibrahima Konaté</t>
        </is>
      </c>
      <c r="D653" s="2" t="inlineStr">
        <is>
          <t>Defesa</t>
        </is>
      </c>
      <c r="E653" s="12" t="n">
        <v>13</v>
      </c>
      <c r="F653" s="12" t="n">
        <v>1170</v>
      </c>
      <c r="G653" s="12" t="n">
        <v>7</v>
      </c>
      <c r="H653" s="12" t="n">
        <v>7</v>
      </c>
    </row>
    <row r="654">
      <c r="A654" s="1" t="n">
        <v>668</v>
      </c>
      <c r="B654" s="2" t="inlineStr">
        <is>
          <t>France</t>
        </is>
      </c>
      <c r="C654" s="2" t="inlineStr">
        <is>
          <t>William Saliba</t>
        </is>
      </c>
      <c r="D654" s="2" t="inlineStr">
        <is>
          <t>Defesa</t>
        </is>
      </c>
      <c r="E654" s="12" t="n">
        <v>13</v>
      </c>
      <c r="F654" s="12" t="n">
        <v>1170</v>
      </c>
      <c r="G654" s="12" t="n">
        <v>5</v>
      </c>
      <c r="H654" s="12" t="n">
        <v>5</v>
      </c>
    </row>
    <row r="655">
      <c r="A655" s="1" t="n">
        <v>669</v>
      </c>
      <c r="B655" s="2" t="inlineStr">
        <is>
          <t>France</t>
        </is>
      </c>
      <c r="C655" s="2" t="inlineStr">
        <is>
          <t>Maxence Lacroix</t>
        </is>
      </c>
      <c r="D655" s="2" t="inlineStr">
        <is>
          <t>Defesa</t>
        </is>
      </c>
      <c r="E655" s="12" t="n">
        <v>13</v>
      </c>
      <c r="F655" s="12" t="n">
        <v>1170</v>
      </c>
      <c r="G655" s="12" t="n">
        <v>3</v>
      </c>
      <c r="H655" s="12" t="n">
        <v>3</v>
      </c>
    </row>
    <row r="656">
      <c r="A656" s="1" t="n">
        <v>670</v>
      </c>
      <c r="B656" s="2" t="inlineStr">
        <is>
          <t>France</t>
        </is>
      </c>
      <c r="C656" s="2" t="inlineStr">
        <is>
          <t>Lucas Digne</t>
        </is>
      </c>
      <c r="D656" s="2" t="inlineStr">
        <is>
          <t>Defesa</t>
        </is>
      </c>
      <c r="E656" s="12" t="n">
        <v>13</v>
      </c>
      <c r="F656" s="12" t="n">
        <v>1170</v>
      </c>
      <c r="G656" s="12" t="n">
        <v>7</v>
      </c>
      <c r="H656" s="12" t="n">
        <v>7</v>
      </c>
    </row>
    <row r="657">
      <c r="A657" s="1" t="n">
        <v>671</v>
      </c>
      <c r="B657" s="2" t="inlineStr">
        <is>
          <t>France</t>
        </is>
      </c>
      <c r="C657" s="2" t="inlineStr">
        <is>
          <t>Theo Hernández</t>
        </is>
      </c>
      <c r="D657" s="2" t="inlineStr">
        <is>
          <t>Defesa</t>
        </is>
      </c>
      <c r="E657" s="12" t="n">
        <v>13</v>
      </c>
      <c r="F657" s="12" t="n">
        <v>1170</v>
      </c>
      <c r="G657" s="12" t="n">
        <v>7</v>
      </c>
      <c r="H657" s="12" t="n">
        <v>7</v>
      </c>
    </row>
    <row r="658">
      <c r="A658" s="1" t="n">
        <v>672</v>
      </c>
      <c r="B658" s="2" t="inlineStr">
        <is>
          <t>France</t>
        </is>
      </c>
      <c r="C658" s="2" t="inlineStr">
        <is>
          <t>Lucas Hernández</t>
        </is>
      </c>
      <c r="D658" s="2" t="inlineStr">
        <is>
          <t>Defesa</t>
        </is>
      </c>
      <c r="E658" s="12" t="n">
        <v>13</v>
      </c>
      <c r="F658" s="12" t="n">
        <v>1170</v>
      </c>
      <c r="G658" s="12" t="n">
        <v>3</v>
      </c>
      <c r="H658" s="12" t="n">
        <v>3</v>
      </c>
    </row>
    <row r="659">
      <c r="A659" s="1" t="n">
        <v>673</v>
      </c>
      <c r="B659" s="2" t="inlineStr">
        <is>
          <t>France</t>
        </is>
      </c>
      <c r="C659" s="2" t="inlineStr">
        <is>
          <t>Aurélien Tchouaméni</t>
        </is>
      </c>
      <c r="D659" s="2" t="inlineStr">
        <is>
          <t>Médio</t>
        </is>
      </c>
      <c r="E659" s="12" t="n">
        <v>13</v>
      </c>
      <c r="F659" s="12" t="n">
        <v>1170</v>
      </c>
      <c r="G659" s="12" t="n">
        <v>5</v>
      </c>
      <c r="H659" s="12" t="n">
        <v>5</v>
      </c>
    </row>
    <row r="660">
      <c r="A660" s="1" t="n">
        <v>674</v>
      </c>
      <c r="B660" s="2" t="inlineStr">
        <is>
          <t>France</t>
        </is>
      </c>
      <c r="C660" s="2" t="inlineStr">
        <is>
          <t>Manu Koné</t>
        </is>
      </c>
      <c r="D660" s="2" t="inlineStr">
        <is>
          <t>Médio</t>
        </is>
      </c>
      <c r="E660" s="12" t="n">
        <v>13</v>
      </c>
      <c r="F660" s="12" t="n">
        <v>1170</v>
      </c>
      <c r="G660" s="12" t="n">
        <v>8</v>
      </c>
      <c r="H660" s="12" t="n">
        <v>8</v>
      </c>
    </row>
    <row r="661">
      <c r="A661" s="1" t="n">
        <v>675</v>
      </c>
      <c r="B661" s="2" t="inlineStr">
        <is>
          <t>France</t>
        </is>
      </c>
      <c r="C661" s="2" t="inlineStr">
        <is>
          <t>N'Golo Kanté</t>
        </is>
      </c>
      <c r="D661" s="2" t="inlineStr">
        <is>
          <t>Médio</t>
        </is>
      </c>
      <c r="E661" s="12" t="n">
        <v>13</v>
      </c>
      <c r="F661" s="12" t="n">
        <v>1170</v>
      </c>
      <c r="G661" s="12" t="n">
        <v>1</v>
      </c>
      <c r="H661" s="12" t="n">
        <v>1</v>
      </c>
    </row>
    <row r="662">
      <c r="A662" s="1" t="n">
        <v>676</v>
      </c>
      <c r="B662" s="2" t="inlineStr">
        <is>
          <t>France</t>
        </is>
      </c>
      <c r="C662" s="2" t="inlineStr">
        <is>
          <t>Adrien Rabiot</t>
        </is>
      </c>
      <c r="D662" s="2" t="inlineStr">
        <is>
          <t>Médio</t>
        </is>
      </c>
      <c r="E662" s="12" t="n">
        <v>13</v>
      </c>
      <c r="F662" s="12" t="n">
        <v>1170</v>
      </c>
      <c r="G662" s="12" t="n">
        <v>6</v>
      </c>
      <c r="H662" s="12" t="n">
        <v>6</v>
      </c>
    </row>
    <row r="663">
      <c r="A663" s="1" t="n">
        <v>677</v>
      </c>
      <c r="B663" s="2" t="inlineStr">
        <is>
          <t>France</t>
        </is>
      </c>
      <c r="C663" s="2" t="inlineStr">
        <is>
          <t>Warren Zaïre-Emery</t>
        </is>
      </c>
      <c r="D663" s="2" t="inlineStr">
        <is>
          <t>Médio</t>
        </is>
      </c>
      <c r="E663" s="12" t="n">
        <v>13</v>
      </c>
      <c r="F663" s="12" t="n">
        <v>1170</v>
      </c>
      <c r="G663" s="12" t="n">
        <v>3</v>
      </c>
      <c r="H663" s="12" t="n">
        <v>3</v>
      </c>
    </row>
    <row r="664">
      <c r="A664" s="1" t="n">
        <v>678</v>
      </c>
      <c r="B664" s="2" t="inlineStr">
        <is>
          <t>France</t>
        </is>
      </c>
      <c r="C664" s="2" t="inlineStr">
        <is>
          <t>Rayan Cherki</t>
        </is>
      </c>
      <c r="D664" s="2" t="inlineStr">
        <is>
          <t>Médio</t>
        </is>
      </c>
      <c r="E664" s="12" t="n">
        <v>13</v>
      </c>
      <c r="F664" s="12" t="n">
        <v>1170</v>
      </c>
      <c r="G664" s="12" t="n">
        <v>4</v>
      </c>
      <c r="H664" s="12" t="n">
        <v>4</v>
      </c>
    </row>
    <row r="665">
      <c r="A665" s="1" t="n">
        <v>679</v>
      </c>
      <c r="B665" s="2" t="inlineStr">
        <is>
          <t>France</t>
        </is>
      </c>
      <c r="C665" s="2" t="inlineStr">
        <is>
          <t>Ousmane Dembélé</t>
        </is>
      </c>
      <c r="D665" s="2" t="inlineStr">
        <is>
          <t>Avançado</t>
        </is>
      </c>
      <c r="E665" s="12" t="n">
        <v>13</v>
      </c>
      <c r="F665" s="12" t="n">
        <v>1170</v>
      </c>
      <c r="G665" s="12" t="n">
        <v>4</v>
      </c>
      <c r="H665" s="12" t="n">
        <v>4</v>
      </c>
    </row>
    <row r="666">
      <c r="A666" s="1" t="n">
        <v>680</v>
      </c>
      <c r="B666" s="2" t="inlineStr">
        <is>
          <t>France</t>
        </is>
      </c>
      <c r="C666" s="2" t="inlineStr">
        <is>
          <t>Michael Olise</t>
        </is>
      </c>
      <c r="D666" s="2" t="inlineStr">
        <is>
          <t>Avançado</t>
        </is>
      </c>
      <c r="E666" s="12" t="n">
        <v>13</v>
      </c>
      <c r="F666" s="12" t="n">
        <v>1170</v>
      </c>
      <c r="G666" s="12" t="n">
        <v>9</v>
      </c>
      <c r="H666" s="12" t="n">
        <v>9</v>
      </c>
    </row>
    <row r="667">
      <c r="A667" s="1" t="n">
        <v>681</v>
      </c>
      <c r="B667" s="2" t="inlineStr">
        <is>
          <t>France</t>
        </is>
      </c>
      <c r="C667" s="2" t="inlineStr">
        <is>
          <t>Maghnes Akliouche</t>
        </is>
      </c>
      <c r="D667" s="2" t="inlineStr">
        <is>
          <t>Avançado</t>
        </is>
      </c>
      <c r="E667" s="12" t="n">
        <v>13</v>
      </c>
      <c r="F667" s="12" t="n">
        <v>1170</v>
      </c>
      <c r="G667" s="12" t="n">
        <v>5</v>
      </c>
      <c r="H667" s="12" t="n">
        <v>5</v>
      </c>
    </row>
    <row r="668">
      <c r="A668" s="1" t="n">
        <v>682</v>
      </c>
      <c r="B668" s="2" t="inlineStr">
        <is>
          <t>France</t>
        </is>
      </c>
      <c r="C668" s="2" t="inlineStr">
        <is>
          <t>Marcus Thuram</t>
        </is>
      </c>
      <c r="D668" s="2" t="inlineStr">
        <is>
          <t>Avançado</t>
        </is>
      </c>
      <c r="E668" s="12" t="n">
        <v>13</v>
      </c>
      <c r="F668" s="12" t="n">
        <v>1170</v>
      </c>
      <c r="G668" s="12" t="n">
        <v>2</v>
      </c>
      <c r="H668" s="12" t="n">
        <v>2</v>
      </c>
    </row>
    <row r="669">
      <c r="A669" s="1" t="n">
        <v>683</v>
      </c>
      <c r="B669" s="2" t="inlineStr">
        <is>
          <t>France</t>
        </is>
      </c>
      <c r="C669" s="2" t="inlineStr">
        <is>
          <t>Kylian Mbappé</t>
        </is>
      </c>
      <c r="D669" s="2" t="inlineStr">
        <is>
          <t>Avançado</t>
        </is>
      </c>
      <c r="E669" s="12" t="n">
        <v>13</v>
      </c>
      <c r="F669" s="12" t="n">
        <v>1170</v>
      </c>
      <c r="G669" s="12" t="n">
        <v>8</v>
      </c>
      <c r="H669" s="12" t="n">
        <v>8</v>
      </c>
    </row>
    <row r="670">
      <c r="A670" s="1" t="n">
        <v>684</v>
      </c>
      <c r="B670" s="2" t="inlineStr">
        <is>
          <t>France</t>
        </is>
      </c>
      <c r="C670" s="2" t="inlineStr">
        <is>
          <t>Jean-Philippe Mateta</t>
        </is>
      </c>
      <c r="D670" s="2" t="inlineStr">
        <is>
          <t>Avançado</t>
        </is>
      </c>
      <c r="E670" s="12" t="n">
        <v>13</v>
      </c>
      <c r="F670" s="12" t="n">
        <v>1170</v>
      </c>
      <c r="G670" s="12" t="n">
        <v>4</v>
      </c>
      <c r="H670" s="12" t="n">
        <v>4</v>
      </c>
    </row>
    <row r="671">
      <c r="A671" s="1" t="n">
        <v>685</v>
      </c>
      <c r="B671" s="2" t="inlineStr">
        <is>
          <t>France</t>
        </is>
      </c>
      <c r="C671" s="2" t="inlineStr">
        <is>
          <t>Bradley Barcola</t>
        </is>
      </c>
      <c r="D671" s="2" t="inlineStr">
        <is>
          <t>Avançado</t>
        </is>
      </c>
      <c r="E671" s="12" t="n">
        <v>13</v>
      </c>
      <c r="F671" s="12" t="n">
        <v>1170</v>
      </c>
      <c r="G671" s="12" t="n">
        <v>8</v>
      </c>
      <c r="H671" s="12" t="n">
        <v>8</v>
      </c>
    </row>
    <row r="672">
      <c r="A672" s="1" t="n">
        <v>686</v>
      </c>
      <c r="B672" s="2" t="inlineStr">
        <is>
          <t>France</t>
        </is>
      </c>
      <c r="C672" s="2" t="inlineStr">
        <is>
          <t>Désiré Doué</t>
        </is>
      </c>
      <c r="D672" s="2" t="inlineStr">
        <is>
          <t>Avançado</t>
        </is>
      </c>
      <c r="E672" s="12" t="n">
        <v>13</v>
      </c>
      <c r="F672" s="12" t="n">
        <v>1170</v>
      </c>
      <c r="G672" s="12" t="n">
        <v>4</v>
      </c>
      <c r="H672" s="12" t="n">
        <v>4</v>
      </c>
    </row>
    <row r="673">
      <c r="A673" s="1" t="n">
        <v>687</v>
      </c>
      <c r="B673" s="2" t="inlineStr">
        <is>
          <t>Ghana</t>
        </is>
      </c>
      <c r="C673" s="2" t="inlineStr">
        <is>
          <t>Lawrence Ati-Zigi</t>
        </is>
      </c>
      <c r="D673" s="2" t="inlineStr">
        <is>
          <t>Guarda Redes</t>
        </is>
      </c>
      <c r="E673" s="10" t="n">
        <v>14</v>
      </c>
      <c r="F673" s="10" t="n">
        <v>1260</v>
      </c>
      <c r="G673" s="10" t="n">
        <v>3</v>
      </c>
      <c r="H673" s="10" t="n">
        <v>226</v>
      </c>
    </row>
    <row r="674">
      <c r="A674" s="1" t="n">
        <v>688</v>
      </c>
      <c r="B674" s="2" t="inlineStr">
        <is>
          <t>Ghana</t>
        </is>
      </c>
      <c r="C674" s="2" t="inlineStr">
        <is>
          <t>Joseph Anang</t>
        </is>
      </c>
      <c r="D674" s="2" t="inlineStr">
        <is>
          <t>Guarda Redes</t>
        </is>
      </c>
      <c r="E674" s="10" t="n">
        <v>14</v>
      </c>
      <c r="F674" s="10" t="n">
        <v>1260</v>
      </c>
      <c r="G674" s="10" t="n">
        <v>1</v>
      </c>
      <c r="H674" s="10" t="n">
        <v>90</v>
      </c>
    </row>
    <row r="675">
      <c r="A675" s="1" t="n">
        <v>689</v>
      </c>
      <c r="B675" s="2" t="inlineStr">
        <is>
          <t>Ghana</t>
        </is>
      </c>
      <c r="C675" s="2" t="inlineStr">
        <is>
          <t>Benjamin Asare</t>
        </is>
      </c>
      <c r="D675" s="2" t="inlineStr">
        <is>
          <t>Guarda Redes</t>
        </is>
      </c>
      <c r="E675" s="10" t="n">
        <v>14</v>
      </c>
      <c r="F675" s="10" t="n">
        <v>1260</v>
      </c>
      <c r="G675" s="10" t="n">
        <v>11</v>
      </c>
      <c r="H675" s="10" t="n">
        <v>930</v>
      </c>
    </row>
    <row r="676">
      <c r="A676" s="1" t="n">
        <v>690</v>
      </c>
      <c r="B676" s="2" t="inlineStr">
        <is>
          <t>Ghana</t>
        </is>
      </c>
      <c r="C676" s="2" t="inlineStr">
        <is>
          <t>Alidu Seidu</t>
        </is>
      </c>
      <c r="D676" s="2" t="inlineStr">
        <is>
          <t>Defesa</t>
        </is>
      </c>
      <c r="E676" s="10" t="n">
        <v>14</v>
      </c>
      <c r="F676" s="10" t="n">
        <v>1260</v>
      </c>
      <c r="G676" s="10" t="n">
        <v>4</v>
      </c>
      <c r="H676" s="10" t="n">
        <v>214</v>
      </c>
    </row>
    <row r="677">
      <c r="A677" s="1" t="n">
        <v>691</v>
      </c>
      <c r="B677" s="2" t="inlineStr">
        <is>
          <t>Ghana</t>
        </is>
      </c>
      <c r="C677" s="2" t="inlineStr">
        <is>
          <t>Marvin Senaya</t>
        </is>
      </c>
      <c r="D677" s="2" t="inlineStr">
        <is>
          <t>Defesa</t>
        </is>
      </c>
      <c r="E677" s="10" t="n">
        <v>14</v>
      </c>
      <c r="F677" s="10" t="n">
        <v>1260</v>
      </c>
      <c r="G677" s="10" t="n">
        <v>2</v>
      </c>
      <c r="H677" s="10" t="n">
        <v>96</v>
      </c>
    </row>
    <row r="678">
      <c r="A678" s="1" t="n">
        <v>692</v>
      </c>
      <c r="B678" s="2" t="inlineStr">
        <is>
          <t>Ghana</t>
        </is>
      </c>
      <c r="C678" s="2" t="inlineStr">
        <is>
          <t>Jonas Adjetey</t>
        </is>
      </c>
      <c r="D678" s="2" t="inlineStr">
        <is>
          <t>Defesa</t>
        </is>
      </c>
      <c r="E678" s="10" t="n">
        <v>14</v>
      </c>
      <c r="F678" s="10" t="n">
        <v>1260</v>
      </c>
      <c r="G678" s="10" t="n">
        <v>9</v>
      </c>
      <c r="H678" s="10" t="n">
        <v>706</v>
      </c>
    </row>
    <row r="679">
      <c r="A679" s="1" t="n">
        <v>693</v>
      </c>
      <c r="B679" s="2" t="inlineStr">
        <is>
          <t>Ghana</t>
        </is>
      </c>
      <c r="C679" s="2" t="inlineStr">
        <is>
          <t>Abdul Mumin</t>
        </is>
      </c>
      <c r="D679" s="2" t="inlineStr">
        <is>
          <t>Defesa</t>
        </is>
      </c>
      <c r="E679" s="10" t="n">
        <v>14</v>
      </c>
      <c r="F679" s="10" t="n">
        <v>1260</v>
      </c>
      <c r="G679" s="10" t="n">
        <v>1</v>
      </c>
      <c r="H679" s="10" t="n">
        <v>15</v>
      </c>
    </row>
    <row r="680">
      <c r="A680" s="1" t="n">
        <v>694</v>
      </c>
      <c r="B680" s="2" t="inlineStr">
        <is>
          <t>Ghana</t>
        </is>
      </c>
      <c r="C680" s="2" t="inlineStr">
        <is>
          <t>Jerome Opoku</t>
        </is>
      </c>
      <c r="D680" s="2" t="inlineStr">
        <is>
          <t>Defesa</t>
        </is>
      </c>
      <c r="E680" s="10" t="n">
        <v>14</v>
      </c>
      <c r="F680" s="10" t="n">
        <v>1260</v>
      </c>
      <c r="G680" s="10" t="n">
        <v>8</v>
      </c>
      <c r="H680" s="10" t="n">
        <v>364</v>
      </c>
    </row>
    <row r="681">
      <c r="A681" s="1" t="n">
        <v>695</v>
      </c>
      <c r="B681" s="2" t="inlineStr">
        <is>
          <t>Ghana</t>
        </is>
      </c>
      <c r="C681" s="2" t="inlineStr">
        <is>
          <t>Kojo Peprah Oppong</t>
        </is>
      </c>
      <c r="D681" s="2" t="inlineStr">
        <is>
          <t>Defesa</t>
        </is>
      </c>
      <c r="E681" s="10" t="n">
        <v>14</v>
      </c>
      <c r="F681" s="10" t="n">
        <v>1260</v>
      </c>
      <c r="G681" s="10" t="n">
        <v>4</v>
      </c>
      <c r="H681" s="10" t="n">
        <v>251</v>
      </c>
    </row>
    <row r="682">
      <c r="A682" s="1" t="n">
        <v>696</v>
      </c>
      <c r="B682" s="2" t="inlineStr">
        <is>
          <t>Ghana</t>
        </is>
      </c>
      <c r="C682" s="2" t="inlineStr">
        <is>
          <t>Derrick Luckassen</t>
        </is>
      </c>
      <c r="D682" s="2" t="inlineStr">
        <is>
          <t>Defesa</t>
        </is>
      </c>
      <c r="E682" s="10" t="n">
        <v>14</v>
      </c>
      <c r="F682" s="10" t="n">
        <v>1260</v>
      </c>
      <c r="G682" s="10" t="n">
        <v>1</v>
      </c>
      <c r="H682" s="10" t="n">
        <v>34</v>
      </c>
    </row>
    <row r="683">
      <c r="A683" s="1" t="n">
        <v>697</v>
      </c>
      <c r="B683" s="2" t="inlineStr">
        <is>
          <t>Ghana</t>
        </is>
      </c>
      <c r="C683" s="2" t="inlineStr">
        <is>
          <t>Gideon Mensah</t>
        </is>
      </c>
      <c r="D683" s="2" t="inlineStr">
        <is>
          <t>Defesa</t>
        </is>
      </c>
      <c r="E683" s="10" t="n">
        <v>14</v>
      </c>
      <c r="F683" s="10" t="n">
        <v>1260</v>
      </c>
      <c r="G683" s="10" t="n">
        <v>11</v>
      </c>
      <c r="H683" s="10" t="n">
        <v>831</v>
      </c>
    </row>
    <row r="684">
      <c r="A684" s="1" t="n">
        <v>698</v>
      </c>
      <c r="B684" s="2" t="inlineStr">
        <is>
          <t>Ghana</t>
        </is>
      </c>
      <c r="C684" s="2" t="inlineStr">
        <is>
          <t>Baba Rahman</t>
        </is>
      </c>
      <c r="D684" s="2" t="inlineStr">
        <is>
          <t>Defesa</t>
        </is>
      </c>
      <c r="E684" s="10" t="n">
        <v>14</v>
      </c>
      <c r="F684" s="10" t="n">
        <v>1260</v>
      </c>
      <c r="G684" s="10" t="n">
        <v>1</v>
      </c>
      <c r="H684" s="10" t="n">
        <v>5</v>
      </c>
    </row>
    <row r="685">
      <c r="A685" s="1" t="n">
        <v>699</v>
      </c>
      <c r="B685" s="2" t="inlineStr">
        <is>
          <t>Ghana</t>
        </is>
      </c>
      <c r="C685" s="2" t="inlineStr">
        <is>
          <t>Thomas Partey</t>
        </is>
      </c>
      <c r="D685" s="2" t="inlineStr">
        <is>
          <t>Médio</t>
        </is>
      </c>
      <c r="E685" s="10" t="n">
        <v>14</v>
      </c>
      <c r="F685" s="10" t="n">
        <v>1260</v>
      </c>
      <c r="G685" s="10" t="n">
        <v>8</v>
      </c>
      <c r="H685" s="10" t="n">
        <v>651</v>
      </c>
    </row>
    <row r="686">
      <c r="A686" s="1" t="n">
        <v>700</v>
      </c>
      <c r="B686" s="2" t="inlineStr">
        <is>
          <t>Ghana</t>
        </is>
      </c>
      <c r="C686" s="2" t="inlineStr">
        <is>
          <t>Elisha Owusu</t>
        </is>
      </c>
      <c r="D686" s="2" t="inlineStr">
        <is>
          <t>Médio</t>
        </is>
      </c>
      <c r="E686" s="10" t="n">
        <v>14</v>
      </c>
      <c r="F686" s="10" t="n">
        <v>1260</v>
      </c>
      <c r="G686" s="10" t="n">
        <v>5</v>
      </c>
      <c r="H686" s="10" t="n">
        <v>212</v>
      </c>
    </row>
    <row r="687">
      <c r="A687" s="1" t="n">
        <v>701</v>
      </c>
      <c r="B687" s="2" t="inlineStr">
        <is>
          <t>Ghana</t>
        </is>
      </c>
      <c r="C687" s="2" t="inlineStr">
        <is>
          <t>Caleb Yirenkyi</t>
        </is>
      </c>
      <c r="D687" s="2" t="inlineStr">
        <is>
          <t>Médio</t>
        </is>
      </c>
      <c r="E687" s="10" t="n">
        <v>14</v>
      </c>
      <c r="F687" s="10" t="n">
        <v>1260</v>
      </c>
      <c r="G687" s="10" t="n">
        <v>11</v>
      </c>
      <c r="H687" s="10" t="n">
        <v>797</v>
      </c>
    </row>
    <row r="688">
      <c r="A688" s="1" t="n">
        <v>702</v>
      </c>
      <c r="B688" s="2" t="inlineStr">
        <is>
          <t>Ghana</t>
        </is>
      </c>
      <c r="C688" s="2" t="inlineStr">
        <is>
          <t>Kwasi Sibo</t>
        </is>
      </c>
      <c r="D688" s="2" t="inlineStr">
        <is>
          <t>Médio</t>
        </is>
      </c>
      <c r="E688" s="10" t="n">
        <v>14</v>
      </c>
      <c r="F688" s="10" t="n">
        <v>1260</v>
      </c>
      <c r="G688" s="10" t="n">
        <v>8</v>
      </c>
      <c r="H688" s="10" t="n">
        <v>585</v>
      </c>
    </row>
    <row r="689">
      <c r="A689" s="1" t="n">
        <v>703</v>
      </c>
      <c r="B689" s="2" t="inlineStr">
        <is>
          <t>Ghana</t>
        </is>
      </c>
      <c r="C689" s="2" t="inlineStr">
        <is>
          <t>Antoine Semenyo</t>
        </is>
      </c>
      <c r="D689" s="2" t="inlineStr">
        <is>
          <t>Avançado</t>
        </is>
      </c>
      <c r="E689" s="10" t="n">
        <v>14</v>
      </c>
      <c r="F689" s="10" t="n">
        <v>1260</v>
      </c>
      <c r="G689" s="10" t="n">
        <v>9</v>
      </c>
      <c r="H689" s="10" t="n">
        <v>676</v>
      </c>
    </row>
    <row r="690">
      <c r="A690" s="1" t="n">
        <v>704</v>
      </c>
      <c r="B690" s="2" t="inlineStr">
        <is>
          <t>Ghana</t>
        </is>
      </c>
      <c r="C690" s="2" t="inlineStr">
        <is>
          <t>Christopher Baah</t>
        </is>
      </c>
      <c r="D690" s="2" t="inlineStr">
        <is>
          <t>Avançado</t>
        </is>
      </c>
      <c r="E690" s="10" t="n">
        <v>14</v>
      </c>
      <c r="F690" s="10" t="n">
        <v>1260</v>
      </c>
      <c r="G690" s="10" t="n">
        <v>8</v>
      </c>
      <c r="H690" s="10" t="n">
        <v>344</v>
      </c>
    </row>
    <row r="691">
      <c r="A691" s="1" t="n">
        <v>705</v>
      </c>
      <c r="B691" s="2" t="inlineStr">
        <is>
          <t>Ghana</t>
        </is>
      </c>
      <c r="C691" s="2" t="inlineStr">
        <is>
          <t>Iñaki Williams</t>
        </is>
      </c>
      <c r="D691" s="2" t="inlineStr">
        <is>
          <t>Avançado</t>
        </is>
      </c>
      <c r="E691" s="10" t="n">
        <v>14</v>
      </c>
      <c r="F691" s="10" t="n">
        <v>1260</v>
      </c>
      <c r="G691" s="10" t="n">
        <v>5</v>
      </c>
      <c r="H691" s="10" t="n">
        <v>218</v>
      </c>
    </row>
    <row r="692">
      <c r="A692" s="1" t="n">
        <v>706</v>
      </c>
      <c r="B692" s="2" t="inlineStr">
        <is>
          <t>Ghana</t>
        </is>
      </c>
      <c r="C692" s="2" t="inlineStr">
        <is>
          <t>Augustine Boakye</t>
        </is>
      </c>
      <c r="D692" s="2" t="inlineStr">
        <is>
          <t>Avançado</t>
        </is>
      </c>
      <c r="E692" s="10" t="n">
        <v>14</v>
      </c>
      <c r="F692" s="10" t="n">
        <v>1260</v>
      </c>
      <c r="G692" s="10" t="n">
        <v>0</v>
      </c>
      <c r="H692" s="10" t="n">
        <v>0</v>
      </c>
    </row>
    <row r="693">
      <c r="A693" s="1" t="n">
        <v>707</v>
      </c>
      <c r="B693" s="2" t="inlineStr">
        <is>
          <t>Ghana</t>
        </is>
      </c>
      <c r="C693" s="2" t="inlineStr">
        <is>
          <t>Ernest Nuamah</t>
        </is>
      </c>
      <c r="D693" s="2" t="inlineStr">
        <is>
          <t>Avançado</t>
        </is>
      </c>
      <c r="E693" s="10" t="n">
        <v>14</v>
      </c>
      <c r="F693" s="10" t="n">
        <v>1260</v>
      </c>
      <c r="G693" s="10" t="n">
        <v>3</v>
      </c>
      <c r="H693" s="10" t="n">
        <v>128</v>
      </c>
    </row>
    <row r="694">
      <c r="A694" s="1" t="n">
        <v>708</v>
      </c>
      <c r="B694" s="2" t="inlineStr">
        <is>
          <t>Ghana</t>
        </is>
      </c>
      <c r="C694" s="2" t="inlineStr">
        <is>
          <t>Prince Adu</t>
        </is>
      </c>
      <c r="D694" s="2" t="inlineStr">
        <is>
          <t>Avançado</t>
        </is>
      </c>
      <c r="E694" s="10" t="n">
        <v>14</v>
      </c>
      <c r="F694" s="10" t="n">
        <v>1260</v>
      </c>
      <c r="G694" s="10" t="n">
        <v>5</v>
      </c>
      <c r="H694" s="10" t="n">
        <v>289</v>
      </c>
    </row>
    <row r="695">
      <c r="A695" s="1" t="n">
        <v>709</v>
      </c>
      <c r="B695" s="2" t="inlineStr">
        <is>
          <t>Ghana</t>
        </is>
      </c>
      <c r="C695" s="2" t="inlineStr">
        <is>
          <t>Jordan Ayew</t>
        </is>
      </c>
      <c r="D695" s="2" t="inlineStr">
        <is>
          <t>Avançado</t>
        </is>
      </c>
      <c r="E695" s="10" t="n">
        <v>14</v>
      </c>
      <c r="F695" s="10" t="n">
        <v>1260</v>
      </c>
      <c r="G695" s="10" t="n">
        <v>11</v>
      </c>
      <c r="H695" s="10" t="n">
        <v>909</v>
      </c>
    </row>
    <row r="696">
      <c r="A696" s="1" t="n">
        <v>710</v>
      </c>
      <c r="B696" s="2" t="inlineStr">
        <is>
          <t>Ghana</t>
        </is>
      </c>
      <c r="C696" s="2" t="inlineStr">
        <is>
          <t>Brandon Thomas-Asante</t>
        </is>
      </c>
      <c r="D696" s="2" t="inlineStr">
        <is>
          <t>Avançado</t>
        </is>
      </c>
      <c r="E696" s="10" t="n">
        <v>14</v>
      </c>
      <c r="F696" s="10" t="n">
        <v>1260</v>
      </c>
      <c r="G696" s="10" t="n">
        <v>6</v>
      </c>
      <c r="H696" s="10" t="n">
        <v>210</v>
      </c>
    </row>
    <row r="697">
      <c r="A697" s="1" t="n">
        <v>711</v>
      </c>
      <c r="B697" s="2" t="inlineStr">
        <is>
          <t>Ghana</t>
        </is>
      </c>
      <c r="C697" s="2" t="inlineStr">
        <is>
          <t>Fatawu Issahaku</t>
        </is>
      </c>
      <c r="D697" s="2" t="inlineStr">
        <is>
          <t>Avançado</t>
        </is>
      </c>
      <c r="E697" s="10" t="n">
        <v>14</v>
      </c>
      <c r="F697" s="10" t="n">
        <v>1260</v>
      </c>
      <c r="G697" s="10" t="n">
        <v>4</v>
      </c>
      <c r="H697" s="10" t="n">
        <v>215</v>
      </c>
    </row>
    <row r="698">
      <c r="A698" s="1" t="n">
        <v>712</v>
      </c>
      <c r="B698" s="2" t="inlineStr">
        <is>
          <t>Ghana</t>
        </is>
      </c>
      <c r="C698" s="2" t="inlineStr">
        <is>
          <t>Kamaldeen Sulemana</t>
        </is>
      </c>
      <c r="D698" s="2" t="inlineStr">
        <is>
          <t>Avançado</t>
        </is>
      </c>
      <c r="E698" s="10" t="n">
        <v>14</v>
      </c>
      <c r="F698" s="10" t="n">
        <v>1260</v>
      </c>
      <c r="G698" s="10" t="n">
        <v>8</v>
      </c>
      <c r="H698" s="10" t="n">
        <v>310</v>
      </c>
    </row>
    <row r="699">
      <c r="A699" s="1" t="n">
        <v>713</v>
      </c>
      <c r="B699" s="2" t="inlineStr">
        <is>
          <t>Haiti</t>
        </is>
      </c>
      <c r="C699" s="2" t="inlineStr">
        <is>
          <t>Johnny Placide</t>
        </is>
      </c>
      <c r="D699" s="2" t="inlineStr">
        <is>
          <t>Guarda Redes</t>
        </is>
      </c>
      <c r="E699" s="12" t="n">
        <v>15</v>
      </c>
      <c r="F699" s="12" t="n">
        <v>1350</v>
      </c>
      <c r="G699" s="12" t="n">
        <v>10</v>
      </c>
      <c r="H699" s="12" t="n">
        <v>856</v>
      </c>
    </row>
    <row r="700">
      <c r="A700" s="1" t="n">
        <v>714</v>
      </c>
      <c r="B700" s="2" t="inlineStr">
        <is>
          <t>Haiti</t>
        </is>
      </c>
      <c r="C700" s="2" t="inlineStr">
        <is>
          <t>Alexandre Pierre</t>
        </is>
      </c>
      <c r="D700" s="2" t="inlineStr">
        <is>
          <t>Guarda Redes</t>
        </is>
      </c>
      <c r="E700" s="12" t="n">
        <v>15</v>
      </c>
      <c r="F700" s="12" t="n">
        <v>1350</v>
      </c>
      <c r="G700" s="12" t="n">
        <v>5</v>
      </c>
      <c r="H700" s="12" t="n">
        <v>404</v>
      </c>
    </row>
    <row r="701">
      <c r="A701" s="1" t="n">
        <v>715</v>
      </c>
      <c r="B701" s="2" t="inlineStr">
        <is>
          <t>Haiti</t>
        </is>
      </c>
      <c r="C701" s="2" t="inlineStr">
        <is>
          <t>Josué Duverger</t>
        </is>
      </c>
      <c r="D701" s="2" t="inlineStr">
        <is>
          <t>Guarda Redes</t>
        </is>
      </c>
      <c r="E701" s="12" t="n">
        <v>15</v>
      </c>
      <c r="F701" s="12" t="n">
        <v>1350</v>
      </c>
      <c r="G701" s="12" t="n">
        <v>1</v>
      </c>
      <c r="H701" s="12" t="n">
        <v>90</v>
      </c>
    </row>
    <row r="702">
      <c r="A702" s="1" t="n">
        <v>716</v>
      </c>
      <c r="B702" s="2" t="inlineStr">
        <is>
          <t>Haiti</t>
        </is>
      </c>
      <c r="C702" s="2" t="inlineStr">
        <is>
          <t>Carlens Arcus</t>
        </is>
      </c>
      <c r="D702" s="2" t="inlineStr">
        <is>
          <t>Defesa</t>
        </is>
      </c>
      <c r="E702" s="12" t="n">
        <v>15</v>
      </c>
      <c r="F702" s="12" t="n">
        <v>1350</v>
      </c>
      <c r="G702" s="12" t="n">
        <v>12</v>
      </c>
      <c r="H702" s="12" t="n">
        <v>962</v>
      </c>
    </row>
    <row r="703">
      <c r="A703" s="1" t="n">
        <v>717</v>
      </c>
      <c r="B703" s="2" t="inlineStr">
        <is>
          <t>Haiti</t>
        </is>
      </c>
      <c r="C703" s="2" t="inlineStr">
        <is>
          <t>Wilguens Paugain</t>
        </is>
      </c>
      <c r="D703" s="2" t="inlineStr">
        <is>
          <t>Defesa</t>
        </is>
      </c>
      <c r="E703" s="12" t="n">
        <v>15</v>
      </c>
      <c r="F703" s="12" t="n">
        <v>1350</v>
      </c>
      <c r="G703" s="12" t="n">
        <v>6</v>
      </c>
      <c r="H703" s="12" t="n">
        <v>111</v>
      </c>
    </row>
    <row r="704">
      <c r="A704" s="1" t="n">
        <v>718</v>
      </c>
      <c r="B704" s="2" t="inlineStr">
        <is>
          <t>Haiti</t>
        </is>
      </c>
      <c r="C704" s="2" t="inlineStr">
        <is>
          <t>Keeto Thermoncy</t>
        </is>
      </c>
      <c r="D704" s="2" t="inlineStr">
        <is>
          <t>Defesa</t>
        </is>
      </c>
      <c r="E704" s="12" t="n">
        <v>15</v>
      </c>
      <c r="F704" s="12" t="n">
        <v>1350</v>
      </c>
      <c r="G704" s="12" t="n">
        <v>0</v>
      </c>
      <c r="H704" s="12" t="n">
        <v>0</v>
      </c>
    </row>
    <row r="705">
      <c r="A705" s="1" t="n">
        <v>719</v>
      </c>
      <c r="B705" s="2" t="inlineStr">
        <is>
          <t>Haiti</t>
        </is>
      </c>
      <c r="C705" s="2" t="inlineStr">
        <is>
          <t>Ricardo Adé</t>
        </is>
      </c>
      <c r="D705" s="2" t="inlineStr">
        <is>
          <t>Defesa</t>
        </is>
      </c>
      <c r="E705" s="12" t="n">
        <v>15</v>
      </c>
      <c r="F705" s="12" t="n">
        <v>1350</v>
      </c>
      <c r="G705" s="12" t="n">
        <v>15</v>
      </c>
      <c r="H705" s="12" t="n">
        <v>1306</v>
      </c>
    </row>
    <row r="706">
      <c r="A706" s="1" t="n">
        <v>720</v>
      </c>
      <c r="B706" s="2" t="inlineStr">
        <is>
          <t>Haiti</t>
        </is>
      </c>
      <c r="C706" s="2" t="inlineStr">
        <is>
          <t>Hannes Delcroix</t>
        </is>
      </c>
      <c r="D706" s="2" t="inlineStr">
        <is>
          <t>Defesa</t>
        </is>
      </c>
      <c r="E706" s="12" t="n">
        <v>15</v>
      </c>
      <c r="F706" s="12" t="n">
        <v>1350</v>
      </c>
      <c r="G706" s="12" t="n">
        <v>6</v>
      </c>
      <c r="H706" s="12" t="n">
        <v>448</v>
      </c>
    </row>
    <row r="707">
      <c r="A707" s="1" t="n">
        <v>721</v>
      </c>
      <c r="B707" s="2" t="inlineStr">
        <is>
          <t>Haiti</t>
        </is>
      </c>
      <c r="C707" s="2" t="inlineStr">
        <is>
          <t>Jean-Kévin Duverne</t>
        </is>
      </c>
      <c r="D707" s="2" t="inlineStr">
        <is>
          <t>Defesa</t>
        </is>
      </c>
      <c r="E707" s="12" t="n">
        <v>15</v>
      </c>
      <c r="F707" s="12" t="n">
        <v>1350</v>
      </c>
      <c r="G707" s="12" t="n">
        <v>11</v>
      </c>
      <c r="H707" s="12" t="n">
        <v>916</v>
      </c>
    </row>
    <row r="708">
      <c r="A708" s="1" t="n">
        <v>722</v>
      </c>
      <c r="B708" s="2" t="inlineStr">
        <is>
          <t>Haiti</t>
        </is>
      </c>
      <c r="C708" s="2" t="inlineStr">
        <is>
          <t>Martin Expérience</t>
        </is>
      </c>
      <c r="D708" s="2" t="inlineStr">
        <is>
          <t>Defesa</t>
        </is>
      </c>
      <c r="E708" s="12" t="n">
        <v>15</v>
      </c>
      <c r="F708" s="12" t="n">
        <v>1350</v>
      </c>
      <c r="G708" s="12" t="n">
        <v>11</v>
      </c>
      <c r="H708" s="12" t="n">
        <v>733</v>
      </c>
    </row>
    <row r="709">
      <c r="A709" s="1" t="n">
        <v>723</v>
      </c>
      <c r="B709" s="2" t="inlineStr">
        <is>
          <t>Haiti</t>
        </is>
      </c>
      <c r="C709" s="2" t="inlineStr">
        <is>
          <t>Duke Lacroix</t>
        </is>
      </c>
      <c r="D709" s="2" t="inlineStr">
        <is>
          <t>Defesa</t>
        </is>
      </c>
      <c r="E709" s="12" t="n">
        <v>15</v>
      </c>
      <c r="F709" s="12" t="n">
        <v>1350</v>
      </c>
      <c r="G709" s="12" t="n">
        <v>9</v>
      </c>
      <c r="H709" s="12" t="n">
        <v>652</v>
      </c>
    </row>
    <row r="710">
      <c r="A710" s="1" t="n">
        <v>724</v>
      </c>
      <c r="B710" s="2" t="inlineStr">
        <is>
          <t>Haiti</t>
        </is>
      </c>
      <c r="C710" s="2" t="inlineStr">
        <is>
          <t>Carl Sainté</t>
        </is>
      </c>
      <c r="D710" s="2" t="inlineStr">
        <is>
          <t>Médio</t>
        </is>
      </c>
      <c r="E710" s="12" t="n">
        <v>15</v>
      </c>
      <c r="F710" s="12" t="n">
        <v>1350</v>
      </c>
      <c r="G710" s="12" t="n">
        <v>6</v>
      </c>
      <c r="H710" s="12" t="n">
        <v>90</v>
      </c>
    </row>
    <row r="711">
      <c r="A711" s="1" t="n">
        <v>725</v>
      </c>
      <c r="B711" s="2" t="inlineStr">
        <is>
          <t>Haiti</t>
        </is>
      </c>
      <c r="C711" s="2" t="inlineStr">
        <is>
          <t>Leverton Pierre</t>
        </is>
      </c>
      <c r="D711" s="2" t="inlineStr">
        <is>
          <t>Médio</t>
        </is>
      </c>
      <c r="E711" s="12" t="n">
        <v>15</v>
      </c>
      <c r="F711" s="12" t="n">
        <v>1350</v>
      </c>
      <c r="G711" s="12" t="n">
        <v>13</v>
      </c>
      <c r="H711" s="12" t="n">
        <v>922</v>
      </c>
    </row>
    <row r="712">
      <c r="A712" s="1" t="n">
        <v>726</v>
      </c>
      <c r="B712" s="2" t="inlineStr">
        <is>
          <t>Haiti</t>
        </is>
      </c>
      <c r="C712" s="2" t="inlineStr">
        <is>
          <t>Danley Jean-Jacques</t>
        </is>
      </c>
      <c r="D712" s="2" t="inlineStr">
        <is>
          <t>Médio</t>
        </is>
      </c>
      <c r="E712" s="12" t="n">
        <v>15</v>
      </c>
      <c r="F712" s="12" t="n">
        <v>1350</v>
      </c>
      <c r="G712" s="12" t="n">
        <v>13</v>
      </c>
      <c r="H712" s="12" t="n">
        <v>1141</v>
      </c>
    </row>
    <row r="713">
      <c r="A713" s="1" t="n">
        <v>727</v>
      </c>
      <c r="B713" s="2" t="inlineStr">
        <is>
          <t>Haiti</t>
        </is>
      </c>
      <c r="C713" s="2" t="inlineStr">
        <is>
          <t>Dominique Simon</t>
        </is>
      </c>
      <c r="D713" s="2" t="inlineStr">
        <is>
          <t>Médio</t>
        </is>
      </c>
      <c r="E713" s="12" t="n">
        <v>15</v>
      </c>
      <c r="F713" s="12" t="n">
        <v>1350</v>
      </c>
      <c r="G713" s="12" t="n">
        <v>1</v>
      </c>
      <c r="H713" s="12" t="n">
        <v>65</v>
      </c>
    </row>
    <row r="714">
      <c r="A714" s="1" t="n">
        <v>728</v>
      </c>
      <c r="B714" s="2" t="inlineStr">
        <is>
          <t>Haiti</t>
        </is>
      </c>
      <c r="C714" s="2" t="inlineStr">
        <is>
          <t>Pierre Woodensky</t>
        </is>
      </c>
      <c r="D714" s="2" t="inlineStr">
        <is>
          <t>Médio</t>
        </is>
      </c>
      <c r="E714" s="12" t="n">
        <v>15</v>
      </c>
      <c r="F714" s="12" t="n">
        <v>1350</v>
      </c>
      <c r="G714" s="12" t="n">
        <v>1</v>
      </c>
      <c r="H714" s="12" t="n">
        <v>53</v>
      </c>
    </row>
    <row r="715">
      <c r="A715" s="1" t="n">
        <v>729</v>
      </c>
      <c r="B715" s="2" t="inlineStr">
        <is>
          <t>Haiti</t>
        </is>
      </c>
      <c r="C715" s="2" t="inlineStr">
        <is>
          <t>Jean-Ricner Bellegarde</t>
        </is>
      </c>
      <c r="D715" s="2" t="inlineStr">
        <is>
          <t>Médio</t>
        </is>
      </c>
      <c r="E715" s="12" t="n">
        <v>15</v>
      </c>
      <c r="F715" s="12" t="n">
        <v>1350</v>
      </c>
      <c r="G715" s="12" t="n">
        <v>9</v>
      </c>
      <c r="H715" s="12" t="n">
        <v>707</v>
      </c>
    </row>
    <row r="716">
      <c r="A716" s="1" t="n">
        <v>730</v>
      </c>
      <c r="B716" s="2" t="inlineStr">
        <is>
          <t>Haiti</t>
        </is>
      </c>
      <c r="C716" s="2" t="inlineStr">
        <is>
          <t>Ruben Providence</t>
        </is>
      </c>
      <c r="D716" s="2" t="inlineStr">
        <is>
          <t>Avançado</t>
        </is>
      </c>
      <c r="E716" s="12" t="n">
        <v>15</v>
      </c>
      <c r="F716" s="12" t="n">
        <v>1350</v>
      </c>
      <c r="G716" s="12" t="n">
        <v>14</v>
      </c>
      <c r="H716" s="12" t="n">
        <v>779</v>
      </c>
    </row>
    <row r="717">
      <c r="A717" s="1" t="n">
        <v>731</v>
      </c>
      <c r="B717" s="2" t="inlineStr">
        <is>
          <t>Haiti</t>
        </is>
      </c>
      <c r="C717" s="2" t="inlineStr">
        <is>
          <t>Yassin Fortuné</t>
        </is>
      </c>
      <c r="D717" s="2" t="inlineStr">
        <is>
          <t>Avançado</t>
        </is>
      </c>
      <c r="E717" s="12" t="n">
        <v>15</v>
      </c>
      <c r="F717" s="12" t="n">
        <v>1350</v>
      </c>
      <c r="G717" s="12" t="n">
        <v>4</v>
      </c>
      <c r="H717" s="12" t="n">
        <v>141</v>
      </c>
    </row>
    <row r="718">
      <c r="A718" s="1" t="n">
        <v>732</v>
      </c>
      <c r="B718" s="2" t="inlineStr">
        <is>
          <t>Haiti</t>
        </is>
      </c>
      <c r="C718" s="2" t="inlineStr">
        <is>
          <t>Josué Casimir</t>
        </is>
      </c>
      <c r="D718" s="2" t="inlineStr">
        <is>
          <t>Avançado</t>
        </is>
      </c>
      <c r="E718" s="12" t="n">
        <v>15</v>
      </c>
      <c r="F718" s="12" t="n">
        <v>1350</v>
      </c>
      <c r="G718" s="12" t="n">
        <v>6</v>
      </c>
      <c r="H718" s="12" t="n">
        <v>454</v>
      </c>
    </row>
    <row r="719">
      <c r="A719" s="1" t="n">
        <v>733</v>
      </c>
      <c r="B719" s="2" t="inlineStr">
        <is>
          <t>Haiti</t>
        </is>
      </c>
      <c r="C719" s="2" t="inlineStr">
        <is>
          <t>Duckens Nazon</t>
        </is>
      </c>
      <c r="D719" s="2" t="inlineStr">
        <is>
          <t>Avançado</t>
        </is>
      </c>
      <c r="E719" s="12" t="n">
        <v>15</v>
      </c>
      <c r="F719" s="12" t="n">
        <v>1350</v>
      </c>
      <c r="G719" s="12" t="n">
        <v>14</v>
      </c>
      <c r="H719" s="12" t="n">
        <v>778</v>
      </c>
    </row>
    <row r="720">
      <c r="A720" s="1" t="n">
        <v>734</v>
      </c>
      <c r="B720" s="2" t="inlineStr">
        <is>
          <t>Haiti</t>
        </is>
      </c>
      <c r="C720" s="2" t="inlineStr">
        <is>
          <t>Louicius Deedson</t>
        </is>
      </c>
      <c r="D720" s="2" t="inlineStr">
        <is>
          <t>Avançado</t>
        </is>
      </c>
      <c r="E720" s="12" t="n">
        <v>15</v>
      </c>
      <c r="F720" s="12" t="n">
        <v>1350</v>
      </c>
      <c r="G720" s="12" t="n">
        <v>15</v>
      </c>
      <c r="H720" s="12" t="n">
        <v>719</v>
      </c>
    </row>
    <row r="721">
      <c r="A721" s="1" t="n">
        <v>735</v>
      </c>
      <c r="B721" s="2" t="inlineStr">
        <is>
          <t>Haiti</t>
        </is>
      </c>
      <c r="C721" s="2" t="inlineStr">
        <is>
          <t>Lenny Joseph</t>
        </is>
      </c>
      <c r="D721" s="2" t="inlineStr">
        <is>
          <t>Avançado</t>
        </is>
      </c>
      <c r="E721" s="12" t="n">
        <v>15</v>
      </c>
      <c r="F721" s="12" t="n">
        <v>1350</v>
      </c>
      <c r="G721" s="12" t="n">
        <v>1</v>
      </c>
      <c r="H721" s="12" t="n">
        <v>44</v>
      </c>
    </row>
    <row r="722">
      <c r="A722" s="1" t="n">
        <v>736</v>
      </c>
      <c r="B722" s="2" t="inlineStr">
        <is>
          <t>Haiti</t>
        </is>
      </c>
      <c r="C722" s="2" t="inlineStr">
        <is>
          <t>Wilson Isidor</t>
        </is>
      </c>
      <c r="D722" s="2" t="inlineStr">
        <is>
          <t>Avançado</t>
        </is>
      </c>
      <c r="E722" s="12" t="n">
        <v>15</v>
      </c>
      <c r="F722" s="12" t="n">
        <v>1350</v>
      </c>
      <c r="G722" s="12" t="n">
        <v>3</v>
      </c>
      <c r="H722" s="12" t="n">
        <v>180</v>
      </c>
    </row>
    <row r="723">
      <c r="A723" s="1" t="n">
        <v>737</v>
      </c>
      <c r="B723" s="2" t="inlineStr">
        <is>
          <t>Haiti</t>
        </is>
      </c>
      <c r="C723" s="2" t="inlineStr">
        <is>
          <t>Frantzdy Pierrot</t>
        </is>
      </c>
      <c r="D723" s="2" t="inlineStr">
        <is>
          <t>Avançado</t>
        </is>
      </c>
      <c r="E723" s="12" t="n">
        <v>15</v>
      </c>
      <c r="F723" s="12" t="n">
        <v>1350</v>
      </c>
      <c r="G723" s="12" t="n">
        <v>0</v>
      </c>
      <c r="H723" s="12" t="n">
        <v>0</v>
      </c>
    </row>
    <row r="724">
      <c r="A724" s="1" t="n">
        <v>738</v>
      </c>
      <c r="B724" s="2" t="inlineStr">
        <is>
          <t>Haiti</t>
        </is>
      </c>
      <c r="C724" s="2" t="inlineStr">
        <is>
          <t>Derrick Etienne Jr.</t>
        </is>
      </c>
      <c r="D724" s="2" t="inlineStr">
        <is>
          <t>Avançado</t>
        </is>
      </c>
      <c r="E724" s="12" t="n">
        <v>15</v>
      </c>
      <c r="F724" s="12" t="n">
        <v>1350</v>
      </c>
      <c r="G724" s="12" t="n">
        <v>0</v>
      </c>
      <c r="H724" s="12" t="n">
        <v>0</v>
      </c>
    </row>
    <row r="725">
      <c r="A725" s="1" t="n">
        <v>739</v>
      </c>
      <c r="B725" s="2" t="inlineStr">
        <is>
          <t>England</t>
        </is>
      </c>
      <c r="C725" s="2" t="inlineStr">
        <is>
          <t>Aaron Ramsdale</t>
        </is>
      </c>
      <c r="D725" s="2" t="inlineStr">
        <is>
          <t>Guarda Redes</t>
        </is>
      </c>
      <c r="E725" s="6" t="n">
        <v>15</v>
      </c>
      <c r="F725" s="6" t="n">
        <v>1350</v>
      </c>
      <c r="G725" s="12" t="n">
        <v>0</v>
      </c>
      <c r="H725" s="12" t="n">
        <v>0</v>
      </c>
    </row>
    <row r="726">
      <c r="A726" s="1" t="n">
        <v>740</v>
      </c>
      <c r="B726" s="2" t="inlineStr">
        <is>
          <t>England</t>
        </is>
      </c>
      <c r="C726" s="2" t="inlineStr">
        <is>
          <t>Jordan Pickford</t>
        </is>
      </c>
      <c r="D726" s="2" t="inlineStr">
        <is>
          <t>Guarda Redes</t>
        </is>
      </c>
      <c r="E726" s="8" t="n">
        <v>12</v>
      </c>
      <c r="F726" s="8" t="n">
        <v>1080</v>
      </c>
      <c r="G726" s="12" t="n">
        <v>9</v>
      </c>
      <c r="H726" s="12" t="n">
        <v>378</v>
      </c>
    </row>
    <row r="727">
      <c r="A727" s="1" t="n">
        <v>741</v>
      </c>
      <c r="B727" s="2" t="inlineStr">
        <is>
          <t>England</t>
        </is>
      </c>
      <c r="C727" s="2" t="inlineStr">
        <is>
          <t>Dean Henderson</t>
        </is>
      </c>
      <c r="D727" s="2" t="inlineStr">
        <is>
          <t>Guarda Redes</t>
        </is>
      </c>
      <c r="E727" s="6" t="n">
        <v>12</v>
      </c>
      <c r="F727" s="6" t="n">
        <v>1080</v>
      </c>
      <c r="G727" s="12" t="n">
        <v>2</v>
      </c>
      <c r="H727" s="12" t="n">
        <v>27</v>
      </c>
    </row>
    <row r="728">
      <c r="A728" s="1" t="n">
        <v>742</v>
      </c>
      <c r="B728" s="2" t="inlineStr">
        <is>
          <t>England</t>
        </is>
      </c>
      <c r="C728" s="2" t="inlineStr">
        <is>
          <t>James Trafford</t>
        </is>
      </c>
      <c r="D728" s="2" t="inlineStr">
        <is>
          <t>Guarda Redes</t>
        </is>
      </c>
      <c r="E728" s="8" t="n">
        <v>12</v>
      </c>
      <c r="F728" s="8" t="n">
        <v>1080</v>
      </c>
      <c r="G728" s="12" t="n">
        <v>1</v>
      </c>
      <c r="H728" s="12" t="n">
        <v>225</v>
      </c>
    </row>
    <row r="729">
      <c r="A729" s="1" t="n">
        <v>743</v>
      </c>
      <c r="B729" s="2" t="inlineStr">
        <is>
          <t>England</t>
        </is>
      </c>
      <c r="C729" s="2" t="inlineStr">
        <is>
          <t>Jason Steele</t>
        </is>
      </c>
      <c r="D729" s="2" t="inlineStr">
        <is>
          <t>Guarda Redes</t>
        </is>
      </c>
      <c r="E729" s="6" t="n">
        <v>12</v>
      </c>
      <c r="F729" s="6" t="n">
        <v>1080</v>
      </c>
      <c r="G729" s="12" t="n">
        <v>0</v>
      </c>
      <c r="H729" s="12" t="n">
        <v>0</v>
      </c>
    </row>
    <row r="730">
      <c r="A730" s="1" t="n">
        <v>744</v>
      </c>
      <c r="B730" s="2" t="inlineStr">
        <is>
          <t>England</t>
        </is>
      </c>
      <c r="C730" s="2" t="inlineStr">
        <is>
          <t>John Stones</t>
        </is>
      </c>
      <c r="D730" s="2" t="inlineStr">
        <is>
          <t>Defesa</t>
        </is>
      </c>
      <c r="E730" s="8" t="n">
        <v>12</v>
      </c>
      <c r="F730" s="8" t="n">
        <v>1080</v>
      </c>
      <c r="G730" s="12" t="n">
        <v>4</v>
      </c>
      <c r="H730" s="12" t="n">
        <v>188</v>
      </c>
    </row>
    <row r="731">
      <c r="A731" s="1" t="n">
        <v>745</v>
      </c>
      <c r="B731" s="2" t="inlineStr">
        <is>
          <t>England</t>
        </is>
      </c>
      <c r="C731" s="2" t="inlineStr">
        <is>
          <t>Fikayo Tomori</t>
        </is>
      </c>
      <c r="D731" s="2" t="inlineStr">
        <is>
          <t>Defesa</t>
        </is>
      </c>
      <c r="E731" s="6" t="n">
        <v>12</v>
      </c>
      <c r="F731" s="6" t="n">
        <v>1080</v>
      </c>
      <c r="G731" s="12" t="n">
        <v>1</v>
      </c>
      <c r="H731" s="12" t="n">
        <v>138</v>
      </c>
    </row>
    <row r="732">
      <c r="A732" s="1" t="n">
        <v>746</v>
      </c>
      <c r="B732" s="2" t="inlineStr">
        <is>
          <t>England</t>
        </is>
      </c>
      <c r="C732" s="2" t="inlineStr">
        <is>
          <t>Ezri Konsa</t>
        </is>
      </c>
      <c r="D732" s="2" t="inlineStr">
        <is>
          <t>Defesa</t>
        </is>
      </c>
      <c r="E732" s="8" t="n">
        <v>12</v>
      </c>
      <c r="F732" s="8" t="n">
        <v>1080</v>
      </c>
      <c r="G732" s="12" t="n">
        <v>9</v>
      </c>
      <c r="H732" s="12" t="n">
        <v>372</v>
      </c>
    </row>
    <row r="733">
      <c r="A733" s="1" t="n">
        <v>747</v>
      </c>
      <c r="B733" s="2" t="inlineStr">
        <is>
          <t>England</t>
        </is>
      </c>
      <c r="C733" s="2" t="inlineStr">
        <is>
          <t>Marc Guéhi</t>
        </is>
      </c>
      <c r="D733" s="2" t="inlineStr">
        <is>
          <t>Defesa</t>
        </is>
      </c>
      <c r="E733" s="6" t="n">
        <v>12</v>
      </c>
      <c r="F733" s="6" t="n">
        <v>1080</v>
      </c>
      <c r="G733" s="12" t="n">
        <v>5</v>
      </c>
      <c r="H733" s="12" t="n">
        <v>328</v>
      </c>
    </row>
    <row r="734">
      <c r="A734" s="1" t="n">
        <v>748</v>
      </c>
      <c r="B734" s="2" t="inlineStr">
        <is>
          <t>England</t>
        </is>
      </c>
      <c r="C734" s="2" t="inlineStr">
        <is>
          <t>Harry Maguire</t>
        </is>
      </c>
      <c r="D734" s="2" t="inlineStr">
        <is>
          <t>Defesa</t>
        </is>
      </c>
      <c r="E734" s="8" t="n">
        <v>12</v>
      </c>
      <c r="F734" s="8" t="n">
        <v>1080</v>
      </c>
      <c r="G734" s="12" t="n">
        <v>2</v>
      </c>
      <c r="H734" s="12" t="n">
        <v>194</v>
      </c>
    </row>
    <row r="735">
      <c r="A735" s="1" t="n">
        <v>749</v>
      </c>
      <c r="B735" s="2" t="inlineStr">
        <is>
          <t>England</t>
        </is>
      </c>
      <c r="C735" s="2" t="inlineStr">
        <is>
          <t>Ben White</t>
        </is>
      </c>
      <c r="D735" s="2" t="inlineStr">
        <is>
          <t>Defesa</t>
        </is>
      </c>
      <c r="E735" s="6" t="n">
        <v>12</v>
      </c>
      <c r="F735" s="6" t="n">
        <v>1080</v>
      </c>
      <c r="G735" s="12" t="n">
        <v>2</v>
      </c>
      <c r="H735" s="12" t="n">
        <v>161</v>
      </c>
    </row>
    <row r="736">
      <c r="A736" s="1" t="n">
        <v>750</v>
      </c>
      <c r="B736" s="2" t="inlineStr">
        <is>
          <t>England</t>
        </is>
      </c>
      <c r="C736" s="2" t="inlineStr">
        <is>
          <t>Dan Burn</t>
        </is>
      </c>
      <c r="D736" s="2" t="inlineStr">
        <is>
          <t>Defesa</t>
        </is>
      </c>
      <c r="E736" s="8" t="n">
        <v>12</v>
      </c>
      <c r="F736" s="8" t="n">
        <v>1080</v>
      </c>
      <c r="G736" s="12" t="n">
        <v>5</v>
      </c>
      <c r="H736" s="12" t="n">
        <v>78</v>
      </c>
    </row>
    <row r="737">
      <c r="A737" s="1" t="n">
        <v>751</v>
      </c>
      <c r="B737" s="2" t="inlineStr">
        <is>
          <t>England</t>
        </is>
      </c>
      <c r="C737" s="2" t="inlineStr">
        <is>
          <t>Reece James</t>
        </is>
      </c>
      <c r="D737" s="2" t="inlineStr">
        <is>
          <t>Defesa</t>
        </is>
      </c>
      <c r="E737" s="6" t="n">
        <v>12</v>
      </c>
      <c r="F737" s="6" t="n">
        <v>1080</v>
      </c>
      <c r="G737" s="12" t="n">
        <v>6</v>
      </c>
      <c r="H737" s="12" t="n">
        <v>108</v>
      </c>
    </row>
    <row r="738">
      <c r="A738" s="1" t="n">
        <v>752</v>
      </c>
      <c r="B738" s="2" t="inlineStr">
        <is>
          <t>England</t>
        </is>
      </c>
      <c r="C738" s="2" t="inlineStr">
        <is>
          <t>Djed Spence</t>
        </is>
      </c>
      <c r="D738" s="2" t="inlineStr">
        <is>
          <t>Defesa</t>
        </is>
      </c>
      <c r="E738" s="8" t="n">
        <v>12</v>
      </c>
      <c r="F738" s="8" t="n">
        <v>1080</v>
      </c>
      <c r="G738" s="12" t="n">
        <v>4</v>
      </c>
      <c r="H738" s="12" t="n">
        <v>300</v>
      </c>
    </row>
    <row r="739">
      <c r="A739" s="1" t="n">
        <v>753</v>
      </c>
      <c r="B739" s="2" t="inlineStr">
        <is>
          <t>England</t>
        </is>
      </c>
      <c r="C739" s="2" t="inlineStr">
        <is>
          <t>Tino Livramento</t>
        </is>
      </c>
      <c r="D739" s="2" t="inlineStr">
        <is>
          <t>Defesa</t>
        </is>
      </c>
      <c r="E739" s="6" t="n">
        <v>12</v>
      </c>
      <c r="F739" s="6" t="n">
        <v>1080</v>
      </c>
      <c r="G739" s="12" t="n">
        <v>4</v>
      </c>
      <c r="H739" s="12" t="n">
        <v>286</v>
      </c>
    </row>
    <row r="740">
      <c r="A740" s="1" t="n">
        <v>754</v>
      </c>
      <c r="B740" s="2" t="inlineStr">
        <is>
          <t>England</t>
        </is>
      </c>
      <c r="C740" s="2" t="inlineStr">
        <is>
          <t>Jarell Quansah</t>
        </is>
      </c>
      <c r="D740" s="2" t="inlineStr">
        <is>
          <t>Defesa</t>
        </is>
      </c>
      <c r="E740" s="8" t="n">
        <v>12</v>
      </c>
      <c r="F740" s="8" t="n">
        <v>1080</v>
      </c>
      <c r="G740" s="12" t="n">
        <v>1</v>
      </c>
      <c r="H740" s="12" t="n">
        <v>64</v>
      </c>
    </row>
    <row r="741">
      <c r="A741" s="1" t="n">
        <v>755</v>
      </c>
      <c r="B741" s="2" t="inlineStr">
        <is>
          <t>England</t>
        </is>
      </c>
      <c r="C741" s="2" t="inlineStr">
        <is>
          <t>Lewis Hall</t>
        </is>
      </c>
      <c r="D741" s="2" t="inlineStr">
        <is>
          <t>Defesa</t>
        </is>
      </c>
      <c r="E741" s="6" t="n">
        <v>12</v>
      </c>
      <c r="F741" s="6" t="n">
        <v>1080</v>
      </c>
      <c r="G741" s="12" t="n">
        <v>2</v>
      </c>
      <c r="H741" s="12" t="n">
        <v>104</v>
      </c>
    </row>
    <row r="742">
      <c r="A742" s="1" t="n">
        <v>756</v>
      </c>
      <c r="B742" s="2" t="inlineStr">
        <is>
          <t>England</t>
        </is>
      </c>
      <c r="C742" s="2" t="inlineStr">
        <is>
          <t>Jordan Henderson</t>
        </is>
      </c>
      <c r="D742" s="2" t="inlineStr">
        <is>
          <t>Médio</t>
        </is>
      </c>
      <c r="E742" s="8" t="n">
        <v>12</v>
      </c>
      <c r="F742" s="8" t="n">
        <v>1080</v>
      </c>
      <c r="G742" s="12" t="n">
        <v>8</v>
      </c>
      <c r="H742" s="12" t="n">
        <v>157</v>
      </c>
    </row>
    <row r="743">
      <c r="A743" s="1" t="n">
        <v>757</v>
      </c>
      <c r="B743" s="2" t="inlineStr">
        <is>
          <t>England</t>
        </is>
      </c>
      <c r="C743" s="2" t="inlineStr">
        <is>
          <t>Declan Rice</t>
        </is>
      </c>
      <c r="D743" s="2" t="inlineStr">
        <is>
          <t>Médio</t>
        </is>
      </c>
      <c r="E743" s="6" t="n">
        <v>12</v>
      </c>
      <c r="F743" s="6" t="n">
        <v>1080</v>
      </c>
      <c r="G743" s="12" t="n">
        <v>10</v>
      </c>
      <c r="H743" s="12" t="n">
        <v>132</v>
      </c>
    </row>
    <row r="744">
      <c r="A744" s="1" t="n">
        <v>758</v>
      </c>
      <c r="B744" s="2" t="inlineStr">
        <is>
          <t>England</t>
        </is>
      </c>
      <c r="C744" s="2" t="inlineStr">
        <is>
          <t>Adam Wharton</t>
        </is>
      </c>
      <c r="D744" s="2" t="inlineStr">
        <is>
          <t>Médio</t>
        </is>
      </c>
      <c r="E744" s="8" t="n">
        <v>12</v>
      </c>
      <c r="F744" s="8" t="n">
        <v>1080</v>
      </c>
      <c r="G744" s="12" t="n">
        <v>3</v>
      </c>
      <c r="H744" s="12" t="n">
        <v>89</v>
      </c>
    </row>
    <row r="745">
      <c r="A745" s="1" t="n">
        <v>759</v>
      </c>
      <c r="B745" s="2" t="inlineStr">
        <is>
          <t>England</t>
        </is>
      </c>
      <c r="C745" s="2" t="inlineStr">
        <is>
          <t>Nico O’Reilly</t>
        </is>
      </c>
      <c r="D745" s="2" t="inlineStr">
        <is>
          <t>Médio</t>
        </is>
      </c>
      <c r="E745" s="6" t="n">
        <v>12</v>
      </c>
      <c r="F745" s="6" t="n">
        <v>1080</v>
      </c>
      <c r="G745" s="12" t="n">
        <v>3</v>
      </c>
      <c r="H745" s="12" t="n">
        <v>234</v>
      </c>
    </row>
    <row r="746">
      <c r="A746" s="1" t="n">
        <v>760</v>
      </c>
      <c r="B746" s="2" t="inlineStr">
        <is>
          <t>England</t>
        </is>
      </c>
      <c r="C746" s="2" t="inlineStr">
        <is>
          <t>Elliot Anderson</t>
        </is>
      </c>
      <c r="D746" s="2" t="inlineStr">
        <is>
          <t>Médio</t>
        </is>
      </c>
      <c r="E746" s="8" t="n">
        <v>12</v>
      </c>
      <c r="F746" s="8" t="n">
        <v>1080</v>
      </c>
      <c r="G746" s="12" t="n">
        <v>7</v>
      </c>
      <c r="H746" s="12" t="n">
        <v>365</v>
      </c>
    </row>
    <row r="747">
      <c r="A747" s="1" t="n">
        <v>761</v>
      </c>
      <c r="B747" s="2" t="inlineStr">
        <is>
          <t>England</t>
        </is>
      </c>
      <c r="C747" s="2" t="inlineStr">
        <is>
          <t>Kobbie Mainoo</t>
        </is>
      </c>
      <c r="D747" s="2" t="inlineStr">
        <is>
          <t>Médio</t>
        </is>
      </c>
      <c r="E747" s="6" t="n">
        <v>12</v>
      </c>
      <c r="F747" s="6" t="n">
        <v>1080</v>
      </c>
      <c r="G747" s="12" t="n">
        <v>2</v>
      </c>
      <c r="H747" s="12" t="n">
        <v>248</v>
      </c>
    </row>
    <row r="748">
      <c r="A748" s="1" t="n">
        <v>762</v>
      </c>
      <c r="B748" s="2" t="inlineStr">
        <is>
          <t>England</t>
        </is>
      </c>
      <c r="C748" s="2" t="inlineStr">
        <is>
          <t>Jude Bellingham</t>
        </is>
      </c>
      <c r="D748" s="2" t="inlineStr">
        <is>
          <t>Médio</t>
        </is>
      </c>
      <c r="E748" s="8" t="n">
        <v>12</v>
      </c>
      <c r="F748" s="8" t="n">
        <v>1080</v>
      </c>
      <c r="G748" s="12" t="n">
        <v>6</v>
      </c>
      <c r="H748" s="12" t="n">
        <v>116</v>
      </c>
    </row>
    <row r="749">
      <c r="A749" s="1" t="n">
        <v>763</v>
      </c>
      <c r="B749" s="2" t="inlineStr">
        <is>
          <t>England</t>
        </is>
      </c>
      <c r="C749" s="2" t="inlineStr">
        <is>
          <t>James Garner</t>
        </is>
      </c>
      <c r="D749" s="2" t="inlineStr">
        <is>
          <t>Médio</t>
        </is>
      </c>
      <c r="E749" s="6" t="n">
        <v>12</v>
      </c>
      <c r="F749" s="6" t="n">
        <v>1080</v>
      </c>
      <c r="G749" s="12" t="n">
        <v>2</v>
      </c>
      <c r="H749" s="12" t="n">
        <v>176</v>
      </c>
    </row>
    <row r="750">
      <c r="A750" s="1" t="n">
        <v>764</v>
      </c>
      <c r="B750" s="2" t="inlineStr">
        <is>
          <t>England</t>
        </is>
      </c>
      <c r="C750" s="2" t="inlineStr">
        <is>
          <t>Alex Scott</t>
        </is>
      </c>
      <c r="D750" s="2" t="inlineStr">
        <is>
          <t>Médio</t>
        </is>
      </c>
      <c r="E750" s="8" t="n">
        <v>12</v>
      </c>
      <c r="F750" s="8" t="n">
        <v>1080</v>
      </c>
      <c r="G750" s="12" t="n">
        <v>0</v>
      </c>
      <c r="H750" s="12" t="n">
        <v>0</v>
      </c>
    </row>
    <row r="751">
      <c r="A751" s="1" t="n">
        <v>765</v>
      </c>
      <c r="B751" s="2" t="inlineStr">
        <is>
          <t>England</t>
        </is>
      </c>
      <c r="C751" s="2" t="inlineStr">
        <is>
          <t>Joshua King</t>
        </is>
      </c>
      <c r="D751" s="2" t="inlineStr">
        <is>
          <t>Médio</t>
        </is>
      </c>
      <c r="E751" s="6" t="n">
        <v>12</v>
      </c>
      <c r="F751" s="6" t="n">
        <v>1080</v>
      </c>
      <c r="G751" s="12" t="n">
        <v>0</v>
      </c>
      <c r="H751" s="12" t="n">
        <v>0</v>
      </c>
    </row>
    <row r="752">
      <c r="A752" s="1" t="n">
        <v>766</v>
      </c>
      <c r="B752" s="2" t="inlineStr">
        <is>
          <t>England</t>
        </is>
      </c>
      <c r="C752" s="2" t="inlineStr">
        <is>
          <t>Calvert-Lewin</t>
        </is>
      </c>
      <c r="D752" s="2" t="inlineStr">
        <is>
          <t>Avançado</t>
        </is>
      </c>
      <c r="E752" s="8" t="n">
        <v>12</v>
      </c>
      <c r="F752" s="8" t="n">
        <v>1080</v>
      </c>
      <c r="G752" s="12" t="n">
        <v>1</v>
      </c>
      <c r="H752" s="12" t="n">
        <v>68</v>
      </c>
    </row>
    <row r="753">
      <c r="A753" s="1" t="n">
        <v>767</v>
      </c>
      <c r="B753" s="2" t="inlineStr">
        <is>
          <t>England</t>
        </is>
      </c>
      <c r="C753" s="2" t="inlineStr">
        <is>
          <t>Harry Kane</t>
        </is>
      </c>
      <c r="D753" s="2" t="inlineStr">
        <is>
          <t>Avançado</t>
        </is>
      </c>
      <c r="E753" s="6" t="n">
        <v>12</v>
      </c>
      <c r="F753" s="6" t="n">
        <v>1080</v>
      </c>
      <c r="G753" s="12" t="n">
        <v>9</v>
      </c>
      <c r="H753" s="12" t="n">
        <v>108</v>
      </c>
    </row>
    <row r="754">
      <c r="A754" s="1" t="n">
        <v>768</v>
      </c>
      <c r="B754" s="2" t="inlineStr">
        <is>
          <t>England</t>
        </is>
      </c>
      <c r="C754" s="2" t="inlineStr">
        <is>
          <t>Noni Madueke</t>
        </is>
      </c>
      <c r="D754" s="2" t="inlineStr">
        <is>
          <t>Avançado</t>
        </is>
      </c>
      <c r="E754" s="8" t="n">
        <v>12</v>
      </c>
      <c r="F754" s="8" t="n">
        <v>1080</v>
      </c>
      <c r="G754" s="12" t="n">
        <v>6</v>
      </c>
      <c r="H754" s="12" t="n">
        <v>139</v>
      </c>
    </row>
    <row r="755">
      <c r="A755" s="1" t="n">
        <v>769</v>
      </c>
      <c r="B755" s="2" t="inlineStr">
        <is>
          <t>England</t>
        </is>
      </c>
      <c r="C755" s="2" t="inlineStr">
        <is>
          <t>Bukayo Saka</t>
        </is>
      </c>
      <c r="D755" s="2" t="inlineStr">
        <is>
          <t>Avançado</t>
        </is>
      </c>
      <c r="E755" s="6" t="n">
        <v>12</v>
      </c>
      <c r="F755" s="6" t="n">
        <v>1080</v>
      </c>
      <c r="G755" s="12" t="n">
        <v>5</v>
      </c>
      <c r="H755" s="12" t="n">
        <v>97</v>
      </c>
    </row>
    <row r="756">
      <c r="A756" s="1" t="n">
        <v>770</v>
      </c>
      <c r="B756" s="2" t="inlineStr">
        <is>
          <t>England</t>
        </is>
      </c>
      <c r="C756" s="2" t="inlineStr">
        <is>
          <t>Ivan Toney</t>
        </is>
      </c>
      <c r="D756" s="2" t="inlineStr">
        <is>
          <t>Avançado</t>
        </is>
      </c>
      <c r="E756" s="8" t="n">
        <v>12</v>
      </c>
      <c r="F756" s="8" t="n">
        <v>1080</v>
      </c>
      <c r="G756" s="12" t="n">
        <v>1</v>
      </c>
      <c r="H756" s="12" t="n">
        <v>45</v>
      </c>
    </row>
    <row r="757">
      <c r="A757" s="1" t="n">
        <v>771</v>
      </c>
      <c r="B757" s="2" t="inlineStr">
        <is>
          <t>England</t>
        </is>
      </c>
      <c r="C757" s="2" t="inlineStr">
        <is>
          <t>Ollie Watkins</t>
        </is>
      </c>
      <c r="D757" s="2" t="inlineStr">
        <is>
          <t>Avançado</t>
        </is>
      </c>
      <c r="E757" s="6" t="n">
        <v>12</v>
      </c>
      <c r="F757" s="6" t="n">
        <v>1080</v>
      </c>
      <c r="G757" s="12" t="n">
        <v>2</v>
      </c>
      <c r="H757" s="12" t="n">
        <v>109</v>
      </c>
    </row>
    <row r="758">
      <c r="A758" s="1" t="n">
        <v>772</v>
      </c>
      <c r="B758" s="2" t="inlineStr">
        <is>
          <t>England</t>
        </is>
      </c>
      <c r="C758" s="2" t="inlineStr">
        <is>
          <t>Cole Palmer</t>
        </is>
      </c>
      <c r="D758" s="2" t="inlineStr">
        <is>
          <t>Avançado</t>
        </is>
      </c>
      <c r="E758" s="8" t="n">
        <v>12</v>
      </c>
      <c r="F758" s="8" t="n">
        <v>1080</v>
      </c>
      <c r="G758" s="12" t="n">
        <v>3</v>
      </c>
      <c r="H758" s="12" t="n">
        <v>186</v>
      </c>
    </row>
    <row r="759">
      <c r="A759" s="1" t="n">
        <v>773</v>
      </c>
      <c r="B759" s="2" t="inlineStr">
        <is>
          <t>England</t>
        </is>
      </c>
      <c r="C759" s="2" t="inlineStr">
        <is>
          <t>Phil Foden</t>
        </is>
      </c>
      <c r="D759" s="2" t="inlineStr">
        <is>
          <t>Avançado</t>
        </is>
      </c>
      <c r="E759" s="6" t="n">
        <v>12</v>
      </c>
      <c r="F759" s="6" t="n">
        <v>1080</v>
      </c>
      <c r="G759" s="12" t="n">
        <v>6</v>
      </c>
      <c r="H759" s="12" t="n">
        <v>230</v>
      </c>
    </row>
    <row r="760">
      <c r="A760" s="1" t="n">
        <v>774</v>
      </c>
      <c r="B760" s="2" t="inlineStr">
        <is>
          <t>England</t>
        </is>
      </c>
      <c r="C760" s="2" t="inlineStr">
        <is>
          <t>Marcus Rashford</t>
        </is>
      </c>
      <c r="D760" s="2" t="inlineStr">
        <is>
          <t>Avançado</t>
        </is>
      </c>
      <c r="E760" s="8" t="n">
        <v>12</v>
      </c>
      <c r="F760" s="8" t="n">
        <v>1080</v>
      </c>
      <c r="G760" s="12" t="n">
        <v>10</v>
      </c>
      <c r="H760" s="12" t="n">
        <v>285</v>
      </c>
    </row>
    <row r="761">
      <c r="A761" s="1" t="n">
        <v>775</v>
      </c>
      <c r="B761" s="2" t="inlineStr">
        <is>
          <t>England</t>
        </is>
      </c>
      <c r="C761" s="2" t="inlineStr">
        <is>
          <t>Anthony Gordon</t>
        </is>
      </c>
      <c r="D761" s="2" t="inlineStr">
        <is>
          <t>Avançado</t>
        </is>
      </c>
      <c r="E761" s="6" t="n">
        <v>12</v>
      </c>
      <c r="F761" s="6" t="n">
        <v>1080</v>
      </c>
      <c r="G761" s="12" t="n">
        <v>8</v>
      </c>
      <c r="H761" s="12" t="n">
        <v>348</v>
      </c>
    </row>
    <row r="762">
      <c r="A762" s="1" t="n">
        <v>776</v>
      </c>
      <c r="B762" s="2" t="inlineStr">
        <is>
          <t>England</t>
        </is>
      </c>
      <c r="C762" s="2" t="inlineStr">
        <is>
          <t>Morgan Rogers</t>
        </is>
      </c>
      <c r="D762" s="2" t="inlineStr">
        <is>
          <t>Avançado</t>
        </is>
      </c>
      <c r="E762" s="8" t="n">
        <v>12</v>
      </c>
      <c r="F762" s="8" t="n">
        <v>1080</v>
      </c>
      <c r="G762" s="12" t="n">
        <v>11</v>
      </c>
      <c r="H762" s="12" t="n">
        <v>322</v>
      </c>
    </row>
    <row r="763">
      <c r="A763" s="1" t="n">
        <v>777</v>
      </c>
      <c r="B763" s="2" t="inlineStr">
        <is>
          <t>England</t>
        </is>
      </c>
      <c r="C763" s="2" t="inlineStr">
        <is>
          <t>Dominic Solanke</t>
        </is>
      </c>
      <c r="D763" s="2" t="inlineStr">
        <is>
          <t>Avançado</t>
        </is>
      </c>
      <c r="E763" s="6" t="n">
        <v>12</v>
      </c>
      <c r="F763" s="6" t="n">
        <v>1080</v>
      </c>
      <c r="G763" s="12" t="n">
        <v>2</v>
      </c>
      <c r="H763" s="12" t="n">
        <v>174</v>
      </c>
    </row>
    <row r="764">
      <c r="A764" s="1" t="n">
        <v>778</v>
      </c>
      <c r="B764" s="2" t="inlineStr">
        <is>
          <t>England</t>
        </is>
      </c>
      <c r="C764" s="2" t="inlineStr">
        <is>
          <t>Harvey Barnes</t>
        </is>
      </c>
      <c r="D764" s="2" t="inlineStr">
        <is>
          <t>Avançado</t>
        </is>
      </c>
      <c r="E764" s="8" t="n">
        <v>12</v>
      </c>
      <c r="F764" s="8" t="n">
        <v>1080</v>
      </c>
      <c r="G764" s="12" t="n">
        <v>1</v>
      </c>
      <c r="H764" s="12" t="n">
        <v>42</v>
      </c>
    </row>
    <row r="765">
      <c r="A765" s="1" t="n">
        <v>779</v>
      </c>
      <c r="B765" s="2" t="inlineStr">
        <is>
          <t>England</t>
        </is>
      </c>
      <c r="C765" s="2" t="inlineStr">
        <is>
          <t>Jarrod Bowen</t>
        </is>
      </c>
      <c r="D765" s="2" t="inlineStr">
        <is>
          <t>Avançado</t>
        </is>
      </c>
      <c r="E765" s="6" t="n">
        <v>12</v>
      </c>
      <c r="F765" s="6" t="n">
        <v>1080</v>
      </c>
      <c r="G765" s="12" t="n">
        <v>8</v>
      </c>
      <c r="H765" s="12" t="n">
        <v>186</v>
      </c>
    </row>
    <row r="766">
      <c r="A766" s="1" t="n">
        <v>780</v>
      </c>
      <c r="B766" s="2" t="inlineStr">
        <is>
          <t>England</t>
        </is>
      </c>
      <c r="C766" s="2" t="inlineStr">
        <is>
          <t>Ethan Nwaneri</t>
        </is>
      </c>
      <c r="D766" s="2" t="inlineStr">
        <is>
          <t>Avançado</t>
        </is>
      </c>
      <c r="E766" s="8" t="n">
        <v>12</v>
      </c>
      <c r="F766" s="8" t="n">
        <v>1080</v>
      </c>
      <c r="G766" s="12" t="n">
        <v>0</v>
      </c>
      <c r="H766" s="12" t="n">
        <v>0</v>
      </c>
    </row>
    <row r="767">
      <c r="A767" s="1" t="n">
        <v>781</v>
      </c>
      <c r="B767" s="2" t="inlineStr">
        <is>
          <t>England</t>
        </is>
      </c>
      <c r="C767" s="2" t="inlineStr">
        <is>
          <t>Rio Ngumoha</t>
        </is>
      </c>
      <c r="D767" s="2" t="inlineStr">
        <is>
          <t>Avançado</t>
        </is>
      </c>
      <c r="E767" s="6" t="n">
        <v>12</v>
      </c>
      <c r="F767" s="6" t="n">
        <v>1080</v>
      </c>
      <c r="G767" s="12" t="n">
        <v>1</v>
      </c>
      <c r="H767" s="12" t="n">
        <v>45</v>
      </c>
    </row>
    <row r="768">
      <c r="A768" s="1" t="n">
        <v>782</v>
      </c>
      <c r="B768" s="2" t="inlineStr">
        <is>
          <t>IR Iran</t>
        </is>
      </c>
      <c r="C768" s="2" t="inlineStr">
        <is>
          <t>Alireza Beiranvand</t>
        </is>
      </c>
      <c r="D768" s="2" t="inlineStr">
        <is>
          <t>Guarda Redes</t>
        </is>
      </c>
      <c r="E768" s="14" t="n">
        <v>16</v>
      </c>
      <c r="F768" s="14" t="n">
        <v>1470</v>
      </c>
      <c r="G768" s="14" t="n">
        <v>9</v>
      </c>
      <c r="H768" s="12" t="n">
        <v>540</v>
      </c>
    </row>
    <row r="769">
      <c r="A769" s="1" t="n">
        <v>783</v>
      </c>
      <c r="B769" s="2" t="inlineStr">
        <is>
          <t>IR Iran</t>
        </is>
      </c>
      <c r="C769" s="2" t="inlineStr">
        <is>
          <t>Payam Niazmand</t>
        </is>
      </c>
      <c r="D769" s="2" t="inlineStr">
        <is>
          <t>Guarda Redes</t>
        </is>
      </c>
      <c r="E769" s="14" t="n">
        <v>16</v>
      </c>
      <c r="F769" s="14" t="n">
        <v>1470</v>
      </c>
      <c r="G769" s="14" t="n">
        <v>6</v>
      </c>
      <c r="H769" s="12" t="n">
        <v>135</v>
      </c>
    </row>
    <row r="770">
      <c r="A770" s="1" t="n">
        <v>784</v>
      </c>
      <c r="B770" s="2" t="inlineStr">
        <is>
          <t>IR Iran</t>
        </is>
      </c>
      <c r="C770" s="2" t="inlineStr">
        <is>
          <t>Hossein Hosseini</t>
        </is>
      </c>
      <c r="D770" s="2" t="inlineStr">
        <is>
          <t>Guarda Redes</t>
        </is>
      </c>
      <c r="E770" s="14" t="n">
        <v>16</v>
      </c>
      <c r="F770" s="14" t="n">
        <v>1470</v>
      </c>
      <c r="G770" s="14" t="n">
        <v>2</v>
      </c>
      <c r="H770" s="12" t="n">
        <v>45</v>
      </c>
    </row>
    <row r="771">
      <c r="A771" s="1" t="n">
        <v>785</v>
      </c>
      <c r="B771" s="2" t="inlineStr">
        <is>
          <t>IR Iran</t>
        </is>
      </c>
      <c r="C771" s="2" t="inlineStr">
        <is>
          <t>Saleh Hardani</t>
        </is>
      </c>
      <c r="D771" s="2" t="inlineStr">
        <is>
          <t>Defesa</t>
        </is>
      </c>
      <c r="E771" s="14" t="n">
        <v>16</v>
      </c>
      <c r="F771" s="14" t="n">
        <v>1470</v>
      </c>
      <c r="G771" s="14" t="n">
        <v>8</v>
      </c>
      <c r="H771" s="12" t="n">
        <v>228</v>
      </c>
    </row>
    <row r="772">
      <c r="A772" s="1" t="n">
        <v>786</v>
      </c>
      <c r="B772" s="2" t="inlineStr">
        <is>
          <t>IR Iran</t>
        </is>
      </c>
      <c r="C772" s="2" t="inlineStr">
        <is>
          <t>Aria Yousefi</t>
        </is>
      </c>
      <c r="D772" s="2" t="inlineStr">
        <is>
          <t>Defesa</t>
        </is>
      </c>
      <c r="E772" s="14" t="n">
        <v>16</v>
      </c>
      <c r="F772" s="14" t="n">
        <v>1470</v>
      </c>
      <c r="G772" s="14" t="n">
        <v>9</v>
      </c>
      <c r="H772" s="12" t="n">
        <v>188</v>
      </c>
    </row>
    <row r="773">
      <c r="A773" s="1" t="n">
        <v>787</v>
      </c>
      <c r="B773" s="2" t="inlineStr">
        <is>
          <t>IR Iran</t>
        </is>
      </c>
      <c r="C773" s="2" t="inlineStr">
        <is>
          <t>Ramin Rezaeian</t>
        </is>
      </c>
      <c r="D773" s="2" t="inlineStr">
        <is>
          <t>Defesa</t>
        </is>
      </c>
      <c r="E773" s="14" t="n">
        <v>16</v>
      </c>
      <c r="F773" s="14" t="n">
        <v>1470</v>
      </c>
      <c r="G773" s="14" t="n">
        <v>9</v>
      </c>
      <c r="H773" s="12" t="n">
        <v>235</v>
      </c>
    </row>
    <row r="774">
      <c r="A774" s="1" t="n">
        <v>788</v>
      </c>
      <c r="B774" s="2" t="inlineStr">
        <is>
          <t>IR Iran</t>
        </is>
      </c>
      <c r="C774" s="2" t="inlineStr">
        <is>
          <t>Shojae Khalilzadeh</t>
        </is>
      </c>
      <c r="D774" s="2" t="inlineStr">
        <is>
          <t>Defesa</t>
        </is>
      </c>
      <c r="E774" s="14" t="n">
        <v>16</v>
      </c>
      <c r="F774" s="14" t="n">
        <v>1470</v>
      </c>
      <c r="G774" s="14" t="n">
        <v>11</v>
      </c>
      <c r="H774" s="12" t="n">
        <v>675</v>
      </c>
    </row>
    <row r="775">
      <c r="A775" s="1" t="n">
        <v>789</v>
      </c>
      <c r="B775" s="2" t="inlineStr">
        <is>
          <t>IR Iran</t>
        </is>
      </c>
      <c r="C775" s="2" t="inlineStr">
        <is>
          <t>Hossein Kanaani</t>
        </is>
      </c>
      <c r="D775" s="2" t="inlineStr">
        <is>
          <t>Defesa</t>
        </is>
      </c>
      <c r="E775" s="14" t="n">
        <v>16</v>
      </c>
      <c r="F775" s="14" t="n">
        <v>1470</v>
      </c>
      <c r="G775" s="14" t="n">
        <v>8</v>
      </c>
      <c r="H775" s="12" t="n">
        <v>165</v>
      </c>
    </row>
    <row r="776">
      <c r="A776" s="1" t="n">
        <v>790</v>
      </c>
      <c r="B776" s="2" t="inlineStr">
        <is>
          <t>IR Iran</t>
        </is>
      </c>
      <c r="C776" s="2" t="inlineStr">
        <is>
          <t>Roozbeh Cheshmi</t>
        </is>
      </c>
      <c r="D776" s="2" t="inlineStr">
        <is>
          <t>Defesa</t>
        </is>
      </c>
      <c r="E776" s="14" t="n">
        <v>16</v>
      </c>
      <c r="F776" s="14" t="n">
        <v>1470</v>
      </c>
      <c r="G776" s="14" t="n">
        <v>5</v>
      </c>
      <c r="H776" s="12" t="n"/>
    </row>
    <row r="777">
      <c r="A777" s="1" t="n">
        <v>791</v>
      </c>
      <c r="B777" s="2" t="inlineStr">
        <is>
          <t>IR Iran</t>
        </is>
      </c>
      <c r="C777" s="2" t="inlineStr">
        <is>
          <t>Ali Nemati</t>
        </is>
      </c>
      <c r="D777" s="2" t="inlineStr">
        <is>
          <t>Defesa</t>
        </is>
      </c>
      <c r="E777" s="14" t="n">
        <v>16</v>
      </c>
      <c r="F777" s="14" t="n">
        <v>1470</v>
      </c>
      <c r="G777" s="14" t="n">
        <v>14</v>
      </c>
      <c r="H777" s="12" t="n">
        <v>552</v>
      </c>
    </row>
    <row r="778">
      <c r="A778" s="1" t="n">
        <v>792</v>
      </c>
      <c r="B778" s="2" t="inlineStr">
        <is>
          <t>IR Iran</t>
        </is>
      </c>
      <c r="C778" s="2" t="inlineStr">
        <is>
          <t>Danial Iri</t>
        </is>
      </c>
      <c r="D778" s="2" t="inlineStr">
        <is>
          <t>Defesa</t>
        </is>
      </c>
      <c r="E778" s="14" t="n">
        <v>16</v>
      </c>
      <c r="F778" s="14" t="n">
        <v>1470</v>
      </c>
      <c r="G778" s="14" t="n">
        <v>0</v>
      </c>
      <c r="H778" s="12" t="n">
        <v>0</v>
      </c>
    </row>
    <row r="779">
      <c r="A779" s="1" t="n">
        <v>793</v>
      </c>
      <c r="B779" s="2" t="inlineStr">
        <is>
          <t>IR Iran</t>
        </is>
      </c>
      <c r="C779" s="2" t="inlineStr">
        <is>
          <t>Ehsan Hajsafi</t>
        </is>
      </c>
      <c r="D779" s="2" t="inlineStr">
        <is>
          <t>Defesa</t>
        </is>
      </c>
      <c r="E779" s="14" t="n">
        <v>16</v>
      </c>
      <c r="F779" s="14" t="n">
        <v>1470</v>
      </c>
      <c r="G779" s="14" t="n">
        <v>4</v>
      </c>
      <c r="H779" s="12" t="n">
        <v>180</v>
      </c>
    </row>
    <row r="780">
      <c r="A780" s="1" t="n">
        <v>794</v>
      </c>
      <c r="B780" s="2" t="inlineStr">
        <is>
          <t>IR Iran</t>
        </is>
      </c>
      <c r="C780" s="2" t="inlineStr">
        <is>
          <t>Milad Mohammadi</t>
        </is>
      </c>
      <c r="D780" s="2" t="inlineStr">
        <is>
          <t>Defesa</t>
        </is>
      </c>
      <c r="E780" s="14" t="n">
        <v>16</v>
      </c>
      <c r="F780" s="14" t="n">
        <v>1470</v>
      </c>
      <c r="G780" s="14" t="n">
        <v>9</v>
      </c>
      <c r="H780" s="12" t="n">
        <v>334</v>
      </c>
    </row>
    <row r="781">
      <c r="A781" s="1" t="n">
        <v>795</v>
      </c>
      <c r="B781" s="2" t="inlineStr">
        <is>
          <t>IR Iran</t>
        </is>
      </c>
      <c r="C781" s="2" t="inlineStr">
        <is>
          <t>Saeid Ezatolahi</t>
        </is>
      </c>
      <c r="D781" s="2" t="inlineStr">
        <is>
          <t>Médio</t>
        </is>
      </c>
      <c r="E781" s="14" t="n">
        <v>16</v>
      </c>
      <c r="F781" s="14" t="n">
        <v>1470</v>
      </c>
      <c r="G781" s="14" t="n">
        <v>9</v>
      </c>
      <c r="H781" s="12" t="n">
        <v>382</v>
      </c>
    </row>
    <row r="782">
      <c r="A782" s="1" t="n">
        <v>796</v>
      </c>
      <c r="B782" s="2" t="inlineStr">
        <is>
          <t>IR Iran</t>
        </is>
      </c>
      <c r="C782" s="2" t="inlineStr">
        <is>
          <t>Mohammad Ghorbani</t>
        </is>
      </c>
      <c r="D782" s="2" t="inlineStr">
        <is>
          <t>Médio</t>
        </is>
      </c>
      <c r="E782" s="14" t="n">
        <v>16</v>
      </c>
      <c r="F782" s="14" t="n">
        <v>1470</v>
      </c>
      <c r="G782" s="14" t="n">
        <v>9</v>
      </c>
      <c r="H782" s="12" t="n">
        <v>301</v>
      </c>
    </row>
    <row r="783">
      <c r="A783" s="1" t="n">
        <v>797</v>
      </c>
      <c r="B783" s="2" t="inlineStr">
        <is>
          <t>IR Iran</t>
        </is>
      </c>
      <c r="C783" s="2" t="inlineStr">
        <is>
          <t>Amir Razzaghinia</t>
        </is>
      </c>
      <c r="D783" s="2" t="inlineStr">
        <is>
          <t>Médio</t>
        </is>
      </c>
      <c r="E783" s="14" t="n">
        <v>16</v>
      </c>
      <c r="F783" s="14" t="n">
        <v>1470</v>
      </c>
      <c r="G783" s="14" t="n">
        <v>4</v>
      </c>
      <c r="H783" s="12" t="n">
        <v>180</v>
      </c>
    </row>
    <row r="784">
      <c r="A784" s="1" t="n">
        <v>798</v>
      </c>
      <c r="B784" s="2" t="inlineStr">
        <is>
          <t>IR Iran</t>
        </is>
      </c>
      <c r="C784" s="2" t="inlineStr">
        <is>
          <t>Mohammad Mohebi</t>
        </is>
      </c>
      <c r="D784" s="2" t="inlineStr">
        <is>
          <t>Médio</t>
        </is>
      </c>
      <c r="E784" s="14" t="n">
        <v>16</v>
      </c>
      <c r="F784" s="14" t="n">
        <v>1470</v>
      </c>
      <c r="G784" s="14" t="n">
        <v>10</v>
      </c>
      <c r="H784" s="12" t="n">
        <v>448</v>
      </c>
    </row>
    <row r="785">
      <c r="A785" s="1" t="n">
        <v>799</v>
      </c>
      <c r="B785" s="2" t="inlineStr">
        <is>
          <t>IR Iran</t>
        </is>
      </c>
      <c r="C785" s="2" t="inlineStr">
        <is>
          <t>Alireza Jahanbakhsh</t>
        </is>
      </c>
      <c r="D785" s="2" t="inlineStr">
        <is>
          <t>Avançado</t>
        </is>
      </c>
      <c r="E785" s="14" t="n">
        <v>16</v>
      </c>
      <c r="F785" s="14" t="n">
        <v>1470</v>
      </c>
      <c r="G785" s="14" t="n">
        <v>9</v>
      </c>
      <c r="H785" s="12" t="n">
        <v>140</v>
      </c>
    </row>
    <row r="786">
      <c r="A786" s="1" t="n">
        <v>800</v>
      </c>
      <c r="B786" s="2" t="inlineStr">
        <is>
          <t>IR Iran</t>
        </is>
      </c>
      <c r="C786" s="2" t="inlineStr">
        <is>
          <t>Saman Ghoddos</t>
        </is>
      </c>
      <c r="D786" s="2" t="inlineStr">
        <is>
          <t>Avançado</t>
        </is>
      </c>
      <c r="E786" s="14" t="n">
        <v>16</v>
      </c>
      <c r="F786" s="14" t="n">
        <v>1470</v>
      </c>
      <c r="G786" s="14" t="n">
        <v>13</v>
      </c>
      <c r="H786" s="12" t="n">
        <v>494</v>
      </c>
    </row>
    <row r="787">
      <c r="A787" s="1" t="n">
        <v>801</v>
      </c>
      <c r="B787" s="2" t="inlineStr">
        <is>
          <t>IR Iran</t>
        </is>
      </c>
      <c r="C787" s="2" t="inlineStr">
        <is>
          <t>Mehdi Torabi</t>
        </is>
      </c>
      <c r="D787" s="2" t="inlineStr">
        <is>
          <t>Avançado</t>
        </is>
      </c>
      <c r="E787" s="14" t="n">
        <v>16</v>
      </c>
      <c r="F787" s="14" t="n">
        <v>1470</v>
      </c>
      <c r="G787" s="14" t="n">
        <v>1</v>
      </c>
      <c r="H787" s="12" t="n">
        <v>24</v>
      </c>
    </row>
    <row r="788">
      <c r="A788" s="1" t="n">
        <v>802</v>
      </c>
      <c r="B788" s="2" t="inlineStr">
        <is>
          <t>IR Iran</t>
        </is>
      </c>
      <c r="C788" s="2" t="inlineStr">
        <is>
          <t>Dennis Ayensa</t>
        </is>
      </c>
      <c r="D788" s="2" t="inlineStr">
        <is>
          <t>Avançado</t>
        </is>
      </c>
      <c r="E788" s="14" t="n">
        <v>16</v>
      </c>
      <c r="F788" s="14" t="n">
        <v>1470</v>
      </c>
      <c r="G788" s="14" t="n">
        <v>0</v>
      </c>
      <c r="H788" s="12" t="n">
        <v>0</v>
      </c>
    </row>
    <row r="789">
      <c r="A789" s="1" t="n">
        <v>803</v>
      </c>
      <c r="B789" s="2" t="inlineStr">
        <is>
          <t>IR Iran</t>
        </is>
      </c>
      <c r="C789" s="2" t="inlineStr">
        <is>
          <t>Mehdi Taremi</t>
        </is>
      </c>
      <c r="D789" s="2" t="inlineStr">
        <is>
          <t>Avançado</t>
        </is>
      </c>
      <c r="E789" s="14" t="n">
        <v>16</v>
      </c>
      <c r="F789" s="14" t="n">
        <v>1470</v>
      </c>
      <c r="G789" s="14" t="n">
        <v>14</v>
      </c>
      <c r="H789" s="12" t="n">
        <v>565</v>
      </c>
    </row>
    <row r="790">
      <c r="A790" s="1" t="n">
        <v>804</v>
      </c>
      <c r="B790" s="2" t="inlineStr">
        <is>
          <t>IR Iran</t>
        </is>
      </c>
      <c r="C790" s="2" t="inlineStr">
        <is>
          <t>Ali Alipour</t>
        </is>
      </c>
      <c r="D790" s="2" t="inlineStr">
        <is>
          <t>Avançado</t>
        </is>
      </c>
      <c r="E790" s="14" t="n">
        <v>16</v>
      </c>
      <c r="F790" s="14" t="n">
        <v>1470</v>
      </c>
      <c r="G790" s="14" t="n">
        <v>11</v>
      </c>
      <c r="H790" s="12" t="n">
        <v>217</v>
      </c>
    </row>
    <row r="791">
      <c r="A791" s="1" t="n">
        <v>805</v>
      </c>
      <c r="B791" s="2" t="inlineStr">
        <is>
          <t>IR Iran</t>
        </is>
      </c>
      <c r="C791" s="2" t="inlineStr">
        <is>
          <t>Amirhossein Hosseinzadeh</t>
        </is>
      </c>
      <c r="D791" s="2" t="inlineStr">
        <is>
          <t>Avançado</t>
        </is>
      </c>
      <c r="E791" s="14" t="n">
        <v>16</v>
      </c>
      <c r="F791" s="14" t="n">
        <v>1470</v>
      </c>
      <c r="G791" s="14" t="n">
        <v>14</v>
      </c>
      <c r="H791" s="12" t="n">
        <v>433</v>
      </c>
    </row>
    <row r="792">
      <c r="A792" s="1" t="n">
        <v>806</v>
      </c>
      <c r="B792" s="2" t="inlineStr">
        <is>
          <t>IR Iran</t>
        </is>
      </c>
      <c r="C792" s="2" t="inlineStr">
        <is>
          <t>Shahriar Moghanlou</t>
        </is>
      </c>
      <c r="D792" s="2" t="inlineStr">
        <is>
          <t>Avançado</t>
        </is>
      </c>
      <c r="E792" s="14" t="n">
        <v>16</v>
      </c>
      <c r="F792" s="14" t="n">
        <v>1470</v>
      </c>
      <c r="G792" s="14" t="n">
        <v>7</v>
      </c>
      <c r="H792" s="12" t="n">
        <v>111</v>
      </c>
    </row>
    <row r="793">
      <c r="A793" s="1" t="n">
        <v>807</v>
      </c>
      <c r="B793" s="2" t="inlineStr">
        <is>
          <t>IR Iran</t>
        </is>
      </c>
      <c r="C793" s="2" t="inlineStr">
        <is>
          <t>Mehdi Ghaedi</t>
        </is>
      </c>
      <c r="D793" s="2" t="inlineStr">
        <is>
          <t>Avançado</t>
        </is>
      </c>
      <c r="E793" s="14" t="n">
        <v>16</v>
      </c>
      <c r="F793" s="14" t="n">
        <v>1470</v>
      </c>
      <c r="G793" s="14" t="n">
        <v>5</v>
      </c>
      <c r="H793" s="12" t="n">
        <v>117</v>
      </c>
    </row>
    <row r="794">
      <c r="A794" s="1" t="n">
        <v>808</v>
      </c>
      <c r="B794" s="2" t="inlineStr">
        <is>
          <t>Iraq</t>
        </is>
      </c>
      <c r="C794" s="2" t="inlineStr">
        <is>
          <t>Kumel Al Rekabe</t>
        </is>
      </c>
      <c r="D794" s="2" t="inlineStr">
        <is>
          <t>Guarda Redes</t>
        </is>
      </c>
      <c r="E794" s="11" t="n">
        <v>18</v>
      </c>
      <c r="F794" s="11" t="n">
        <v>1620</v>
      </c>
      <c r="G794" s="11" t="n">
        <v>8</v>
      </c>
      <c r="H794" s="12" t="n">
        <v>270</v>
      </c>
    </row>
    <row r="795">
      <c r="A795" s="1" t="n">
        <v>809</v>
      </c>
      <c r="B795" s="2" t="inlineStr">
        <is>
          <t>Iraq</t>
        </is>
      </c>
      <c r="C795" s="2" t="inlineStr">
        <is>
          <t>Ahmed Basil</t>
        </is>
      </c>
      <c r="D795" s="2" t="inlineStr">
        <is>
          <t>Guarda Redes</t>
        </is>
      </c>
      <c r="E795" s="11" t="n">
        <v>18</v>
      </c>
      <c r="F795" s="11" t="n">
        <v>1620</v>
      </c>
      <c r="G795" s="11" t="n">
        <v>2</v>
      </c>
      <c r="H795" s="12" t="n">
        <v>45</v>
      </c>
    </row>
    <row r="796">
      <c r="A796" s="1" t="n">
        <v>810</v>
      </c>
      <c r="B796" s="2" t="inlineStr">
        <is>
          <t>Iraq</t>
        </is>
      </c>
      <c r="C796" s="2" t="inlineStr">
        <is>
          <t>Fahad Talib</t>
        </is>
      </c>
      <c r="D796" s="2" t="inlineStr">
        <is>
          <t>Guarda Redes</t>
        </is>
      </c>
      <c r="E796" s="11" t="n">
        <v>18</v>
      </c>
      <c r="F796" s="11" t="n">
        <v>1620</v>
      </c>
      <c r="G796" s="11" t="n">
        <v>8</v>
      </c>
      <c r="H796" s="12" t="n">
        <v>45</v>
      </c>
    </row>
    <row r="797">
      <c r="A797" s="1" t="n">
        <v>811</v>
      </c>
      <c r="B797" s="2" t="inlineStr">
        <is>
          <t>Iraq</t>
        </is>
      </c>
      <c r="C797" s="2" t="inlineStr">
        <is>
          <t>Jalal Hassan</t>
        </is>
      </c>
      <c r="D797" s="2" t="inlineStr">
        <is>
          <t>Guarda Redes</t>
        </is>
      </c>
      <c r="E797" s="11" t="n">
        <v>18</v>
      </c>
      <c r="F797" s="11" t="n">
        <v>1620</v>
      </c>
      <c r="G797" s="11" t="n">
        <v>1</v>
      </c>
      <c r="H797" s="12" t="n">
        <v>180</v>
      </c>
    </row>
    <row r="798">
      <c r="A798" s="1" t="n">
        <v>812</v>
      </c>
      <c r="B798" s="2" t="inlineStr">
        <is>
          <t>Iraq</t>
        </is>
      </c>
      <c r="C798" s="2" t="inlineStr">
        <is>
          <t>Frans Putros</t>
        </is>
      </c>
      <c r="D798" s="2" t="inlineStr">
        <is>
          <t>Defesa</t>
        </is>
      </c>
      <c r="E798" s="11" t="n">
        <v>18</v>
      </c>
      <c r="F798" s="11" t="n">
        <v>1620</v>
      </c>
      <c r="G798" s="11" t="n">
        <v>7</v>
      </c>
      <c r="H798" s="12" t="n">
        <v>257</v>
      </c>
    </row>
    <row r="799">
      <c r="A799" s="1" t="n">
        <v>813</v>
      </c>
      <c r="B799" s="2" t="inlineStr">
        <is>
          <t>Iraq</t>
        </is>
      </c>
      <c r="C799" s="2" t="inlineStr">
        <is>
          <t>Ahmed Yahia</t>
        </is>
      </c>
      <c r="D799" s="2" t="inlineStr">
        <is>
          <t>Defesa</t>
        </is>
      </c>
      <c r="E799" s="11" t="n">
        <v>18</v>
      </c>
      <c r="F799" s="11" t="n">
        <v>1620</v>
      </c>
      <c r="G799" s="11" t="n">
        <v>10</v>
      </c>
      <c r="H799" s="12" t="n">
        <v>223</v>
      </c>
    </row>
    <row r="800">
      <c r="A800" s="1" t="n">
        <v>814</v>
      </c>
      <c r="B800" s="2" t="inlineStr">
        <is>
          <t>Iraq</t>
        </is>
      </c>
      <c r="C800" s="2" t="inlineStr">
        <is>
          <t>Maytham Jabbar</t>
        </is>
      </c>
      <c r="D800" s="2" t="inlineStr">
        <is>
          <t>Defesa</t>
        </is>
      </c>
      <c r="E800" s="11" t="n">
        <v>18</v>
      </c>
      <c r="F800" s="11" t="n">
        <v>1620</v>
      </c>
      <c r="G800" s="11" t="n">
        <v>3</v>
      </c>
      <c r="H800" s="12" t="n">
        <v>346</v>
      </c>
    </row>
    <row r="801">
      <c r="A801" s="1" t="n">
        <v>815</v>
      </c>
      <c r="B801" s="2" t="inlineStr">
        <is>
          <t>Iraq</t>
        </is>
      </c>
      <c r="C801" s="2" t="inlineStr">
        <is>
          <t>Hussein Ali</t>
        </is>
      </c>
      <c r="D801" s="2" t="inlineStr">
        <is>
          <t>Defesa</t>
        </is>
      </c>
      <c r="E801" s="11" t="n">
        <v>18</v>
      </c>
      <c r="F801" s="11" t="n">
        <v>1620</v>
      </c>
      <c r="G801" s="11" t="n">
        <v>10</v>
      </c>
      <c r="H801" s="12" t="n">
        <v>130</v>
      </c>
    </row>
    <row r="802">
      <c r="A802" s="1" t="n">
        <v>816</v>
      </c>
      <c r="B802" s="2" t="inlineStr">
        <is>
          <t>Iraq</t>
        </is>
      </c>
      <c r="C802" s="2" t="inlineStr">
        <is>
          <t>Zaid Tahseen</t>
        </is>
      </c>
      <c r="D802" s="2" t="inlineStr">
        <is>
          <t>Defesa</t>
        </is>
      </c>
      <c r="E802" s="11" t="n">
        <v>18</v>
      </c>
      <c r="F802" s="11" t="n">
        <v>1620</v>
      </c>
      <c r="G802" s="11" t="n">
        <v>10</v>
      </c>
      <c r="H802" s="12" t="n">
        <v>109</v>
      </c>
    </row>
    <row r="803">
      <c r="A803" s="1" t="n">
        <v>817</v>
      </c>
      <c r="B803" s="2" t="inlineStr">
        <is>
          <t>Iraq</t>
        </is>
      </c>
      <c r="C803" s="2" t="inlineStr">
        <is>
          <t>Akam Hashim</t>
        </is>
      </c>
      <c r="D803" s="2" t="inlineStr">
        <is>
          <t>Defesa</t>
        </is>
      </c>
      <c r="E803" s="11" t="n">
        <v>18</v>
      </c>
      <c r="F803" s="11" t="n">
        <v>1620</v>
      </c>
      <c r="G803" s="11" t="n">
        <v>12</v>
      </c>
      <c r="H803" s="12" t="n">
        <v>45</v>
      </c>
    </row>
    <row r="804">
      <c r="A804" s="1" t="n">
        <v>818</v>
      </c>
      <c r="B804" s="2" t="inlineStr">
        <is>
          <t>Iraq</t>
        </is>
      </c>
      <c r="C804" s="2" t="inlineStr">
        <is>
          <t>Mustafa Saadoun</t>
        </is>
      </c>
      <c r="D804" s="2" t="inlineStr">
        <is>
          <t>Defesa</t>
        </is>
      </c>
      <c r="E804" s="11" t="n">
        <v>18</v>
      </c>
      <c r="F804" s="11" t="n">
        <v>1620</v>
      </c>
      <c r="G804" s="11" t="n">
        <v>6</v>
      </c>
      <c r="H804" s="12" t="n">
        <v>216</v>
      </c>
    </row>
    <row r="805">
      <c r="A805" s="1" t="n">
        <v>819</v>
      </c>
      <c r="B805" s="2" t="inlineStr">
        <is>
          <t>Iraq</t>
        </is>
      </c>
      <c r="C805" s="2" t="inlineStr">
        <is>
          <t>Ahmed Yahya</t>
        </is>
      </c>
      <c r="D805" s="2" t="inlineStr">
        <is>
          <t>Defesa</t>
        </is>
      </c>
      <c r="E805" s="11" t="n">
        <v>18</v>
      </c>
      <c r="F805" s="11" t="n">
        <v>1620</v>
      </c>
      <c r="G805" s="11" t="n">
        <v>10</v>
      </c>
      <c r="H805" s="12" t="n">
        <v>109</v>
      </c>
    </row>
    <row r="806">
      <c r="A806" s="1" t="n">
        <v>820</v>
      </c>
      <c r="B806" s="2" t="inlineStr">
        <is>
          <t>Iraq</t>
        </is>
      </c>
      <c r="C806" s="2" t="inlineStr">
        <is>
          <t>Rebin Sulaka</t>
        </is>
      </c>
      <c r="D806" s="2" t="inlineStr">
        <is>
          <t>Defesa</t>
        </is>
      </c>
      <c r="E806" s="11" t="n">
        <v>18</v>
      </c>
      <c r="F806" s="11" t="n">
        <v>1620</v>
      </c>
      <c r="G806" s="11" t="n">
        <v>7</v>
      </c>
      <c r="H806" s="12" t="n">
        <v>184</v>
      </c>
    </row>
    <row r="807">
      <c r="A807" s="1" t="n">
        <v>821</v>
      </c>
      <c r="B807" s="2" t="inlineStr">
        <is>
          <t>Iraq</t>
        </is>
      </c>
      <c r="C807" s="2" t="inlineStr">
        <is>
          <t>Ahmad Hasan</t>
        </is>
      </c>
      <c r="D807" s="2" t="inlineStr">
        <is>
          <t>Defesa</t>
        </is>
      </c>
      <c r="E807" s="11" t="n">
        <v>18</v>
      </c>
      <c r="F807" s="11" t="n">
        <v>1620</v>
      </c>
      <c r="G807" s="11" t="n">
        <v>1</v>
      </c>
      <c r="H807" s="12" t="n">
        <v>25</v>
      </c>
    </row>
    <row r="808">
      <c r="A808" s="1" t="n">
        <v>822</v>
      </c>
      <c r="B808" s="2" t="inlineStr">
        <is>
          <t>Iraq</t>
        </is>
      </c>
      <c r="C808" s="2" t="inlineStr">
        <is>
          <t>Manaf Younis</t>
        </is>
      </c>
      <c r="D808" s="2" t="inlineStr">
        <is>
          <t>Defesa</t>
        </is>
      </c>
      <c r="E808" s="11" t="n">
        <v>18</v>
      </c>
      <c r="F808" s="11" t="n">
        <v>1620</v>
      </c>
      <c r="G808" s="11" t="n">
        <v>12</v>
      </c>
      <c r="H808" s="12" t="n">
        <v>256</v>
      </c>
    </row>
    <row r="809">
      <c r="A809" s="1" t="n">
        <v>823</v>
      </c>
      <c r="B809" s="2" t="inlineStr">
        <is>
          <t>Iraq</t>
        </is>
      </c>
      <c r="C809" s="2" t="inlineStr">
        <is>
          <t>Merchas Doski</t>
        </is>
      </c>
      <c r="D809" s="2" t="inlineStr">
        <is>
          <t>Defesa</t>
        </is>
      </c>
      <c r="E809" s="11" t="n">
        <v>18</v>
      </c>
      <c r="F809" s="11" t="n">
        <v>1620</v>
      </c>
      <c r="G809" s="11" t="n">
        <v>11</v>
      </c>
      <c r="H809" s="12" t="n">
        <v>0</v>
      </c>
    </row>
    <row r="810">
      <c r="A810" s="1" t="n">
        <v>824</v>
      </c>
      <c r="B810" s="2" t="inlineStr">
        <is>
          <t>Iraq</t>
        </is>
      </c>
      <c r="C810" s="2" t="inlineStr">
        <is>
          <t>Dario Naamo</t>
        </is>
      </c>
      <c r="D810" s="2" t="inlineStr">
        <is>
          <t>Defesa</t>
        </is>
      </c>
      <c r="E810" s="11" t="n">
        <v>18</v>
      </c>
      <c r="F810" s="11" t="n">
        <v>1620</v>
      </c>
      <c r="G810" s="11" t="n">
        <v>1</v>
      </c>
      <c r="H810" s="12" t="n">
        <v>182</v>
      </c>
    </row>
    <row r="811">
      <c r="A811" s="1" t="n">
        <v>825</v>
      </c>
      <c r="B811" s="2" t="inlineStr">
        <is>
          <t>Iraq</t>
        </is>
      </c>
      <c r="C811" s="2" t="inlineStr">
        <is>
          <t>Amir Al-Ammari</t>
        </is>
      </c>
      <c r="D811" s="2" t="inlineStr">
        <is>
          <t>Médio</t>
        </is>
      </c>
      <c r="E811" s="11" t="n">
        <v>18</v>
      </c>
      <c r="F811" s="11" t="n">
        <v>1620</v>
      </c>
      <c r="G811" s="11" t="n">
        <v>11</v>
      </c>
      <c r="H811" s="12" t="n">
        <v>161</v>
      </c>
    </row>
    <row r="812">
      <c r="A812" s="1" t="n">
        <v>826</v>
      </c>
      <c r="B812" s="2" t="inlineStr">
        <is>
          <t>Iraq</t>
        </is>
      </c>
      <c r="C812" s="2" t="inlineStr">
        <is>
          <t>Ahmed Qasem</t>
        </is>
      </c>
      <c r="D812" s="2" t="inlineStr">
        <is>
          <t>Médio</t>
        </is>
      </c>
      <c r="E812" s="11" t="n">
        <v>18</v>
      </c>
      <c r="F812" s="11" t="n">
        <v>1620</v>
      </c>
      <c r="G812" s="11" t="n">
        <v>2</v>
      </c>
      <c r="H812" s="12" t="n">
        <v>118</v>
      </c>
    </row>
    <row r="813">
      <c r="A813" s="1" t="n">
        <v>827</v>
      </c>
      <c r="B813" s="2" t="inlineStr">
        <is>
          <t>Iraq</t>
        </is>
      </c>
      <c r="C813" s="2" t="inlineStr">
        <is>
          <t>Zidane Iqbal</t>
        </is>
      </c>
      <c r="D813" s="2" t="inlineStr">
        <is>
          <t>Médio</t>
        </is>
      </c>
      <c r="E813" s="11" t="n">
        <v>18</v>
      </c>
      <c r="F813" s="11" t="n">
        <v>1620</v>
      </c>
      <c r="G813" s="11" t="n">
        <v>7</v>
      </c>
      <c r="H813" s="12" t="n">
        <v>284</v>
      </c>
    </row>
    <row r="814">
      <c r="A814" s="1" t="n">
        <v>828</v>
      </c>
      <c r="B814" s="2" t="inlineStr">
        <is>
          <t>Iraq</t>
        </is>
      </c>
      <c r="C814" s="2" t="inlineStr">
        <is>
          <t>Kevin Yakob</t>
        </is>
      </c>
      <c r="D814" s="2" t="inlineStr">
        <is>
          <t>Médio</t>
        </is>
      </c>
      <c r="E814" s="11" t="n">
        <v>18</v>
      </c>
      <c r="F814" s="11" t="n">
        <v>1620</v>
      </c>
      <c r="G814" s="11" t="n">
        <v>7</v>
      </c>
      <c r="H814" s="12" t="n">
        <v>213</v>
      </c>
    </row>
    <row r="815">
      <c r="A815" s="1" t="n">
        <v>829</v>
      </c>
      <c r="B815" s="2" t="inlineStr">
        <is>
          <t>Iraq</t>
        </is>
      </c>
      <c r="C815" s="2" t="inlineStr">
        <is>
          <t>Aimar Sher</t>
        </is>
      </c>
      <c r="D815" s="2" t="inlineStr">
        <is>
          <t>Médio</t>
        </is>
      </c>
      <c r="E815" s="11" t="n">
        <v>18</v>
      </c>
      <c r="F815" s="11" t="n">
        <v>1620</v>
      </c>
      <c r="G815" s="11" t="n">
        <v>6</v>
      </c>
      <c r="H815" s="12" t="n">
        <v>381</v>
      </c>
    </row>
    <row r="816">
      <c r="A816" s="1" t="n">
        <v>830</v>
      </c>
      <c r="B816" s="2" t="inlineStr">
        <is>
          <t>Iraq</t>
        </is>
      </c>
      <c r="C816" s="2" t="inlineStr">
        <is>
          <t>Marko Farji</t>
        </is>
      </c>
      <c r="D816" s="2" t="inlineStr">
        <is>
          <t>Médio</t>
        </is>
      </c>
      <c r="E816" s="11" t="n">
        <v>18</v>
      </c>
      <c r="F816" s="11" t="n">
        <v>1620</v>
      </c>
      <c r="G816" s="11" t="n">
        <v>9</v>
      </c>
      <c r="H816" s="12" t="n">
        <v>62</v>
      </c>
    </row>
    <row r="817">
      <c r="A817" s="1" t="n">
        <v>831</v>
      </c>
      <c r="B817" s="2" t="inlineStr">
        <is>
          <t>Iraq</t>
        </is>
      </c>
      <c r="C817" s="2" t="inlineStr">
        <is>
          <t>Zaid Ismail</t>
        </is>
      </c>
      <c r="D817" s="2" t="inlineStr">
        <is>
          <t>Médio</t>
        </is>
      </c>
      <c r="E817" s="11" t="n">
        <v>18</v>
      </c>
      <c r="F817" s="11" t="n">
        <v>1620</v>
      </c>
      <c r="G817" s="11" t="n">
        <v>6</v>
      </c>
      <c r="H817" s="12" t="n">
        <v>145</v>
      </c>
    </row>
    <row r="818">
      <c r="A818" s="1" t="n">
        <v>832</v>
      </c>
      <c r="B818" s="2" t="inlineStr">
        <is>
          <t>Iraq</t>
        </is>
      </c>
      <c r="C818" s="2" t="inlineStr">
        <is>
          <t>Jussef Nasrawe</t>
        </is>
      </c>
      <c r="D818" s="2" t="inlineStr">
        <is>
          <t>Médio</t>
        </is>
      </c>
      <c r="E818" s="11" t="n">
        <v>18</v>
      </c>
      <c r="F818" s="11" t="n">
        <v>1620</v>
      </c>
      <c r="G818" s="11" t="n">
        <v>1</v>
      </c>
      <c r="H818" s="12" t="n">
        <v>57</v>
      </c>
    </row>
    <row r="819">
      <c r="A819" s="1" t="n">
        <v>833</v>
      </c>
      <c r="B819" s="2" t="inlineStr">
        <is>
          <t>Iraq</t>
        </is>
      </c>
      <c r="C819" s="2" t="inlineStr">
        <is>
          <t>Ali Al-Hamadi</t>
        </is>
      </c>
      <c r="D819" s="2" t="inlineStr">
        <is>
          <t>Avançado</t>
        </is>
      </c>
      <c r="E819" s="11" t="n">
        <v>18</v>
      </c>
      <c r="F819" s="11" t="n">
        <v>1620</v>
      </c>
      <c r="G819" s="11" t="n">
        <v>5</v>
      </c>
      <c r="H819" s="12" t="n">
        <v>25</v>
      </c>
    </row>
    <row r="820">
      <c r="A820" s="1" t="n">
        <v>834</v>
      </c>
      <c r="B820" s="2" t="inlineStr">
        <is>
          <t>Iraq</t>
        </is>
      </c>
      <c r="C820" s="2" t="inlineStr">
        <is>
          <t>Ali Jasim</t>
        </is>
      </c>
      <c r="D820" s="2" t="inlineStr">
        <is>
          <t>Avançado</t>
        </is>
      </c>
      <c r="E820" s="11" t="n">
        <v>18</v>
      </c>
      <c r="F820" s="11" t="n">
        <v>1620</v>
      </c>
      <c r="G820" s="11" t="n">
        <v>14</v>
      </c>
      <c r="H820" s="12" t="n">
        <v>81</v>
      </c>
    </row>
    <row r="821">
      <c r="A821" s="1" t="n">
        <v>835</v>
      </c>
      <c r="B821" s="2" t="inlineStr">
        <is>
          <t>Iraq</t>
        </is>
      </c>
      <c r="C821" s="2" t="inlineStr">
        <is>
          <t>Ali Yousif</t>
        </is>
      </c>
      <c r="D821" s="2" t="inlineStr">
        <is>
          <t>Avançado</t>
        </is>
      </c>
      <c r="E821" s="11" t="n">
        <v>18</v>
      </c>
      <c r="F821" s="11" t="n">
        <v>1620</v>
      </c>
      <c r="G821" s="11" t="n">
        <v>3</v>
      </c>
      <c r="H821" s="12" t="n">
        <v>158</v>
      </c>
    </row>
    <row r="822">
      <c r="A822" s="1" t="n">
        <v>836</v>
      </c>
      <c r="B822" s="2" t="inlineStr">
        <is>
          <t>Iraq</t>
        </is>
      </c>
      <c r="C822" s="2" t="inlineStr">
        <is>
          <t>Mohanad Ali</t>
        </is>
      </c>
      <c r="D822" s="2" t="inlineStr">
        <is>
          <t>Avançado</t>
        </is>
      </c>
      <c r="E822" s="11" t="n">
        <v>18</v>
      </c>
      <c r="F822" s="11" t="n">
        <v>1620</v>
      </c>
      <c r="G822" s="11" t="n">
        <v>14</v>
      </c>
      <c r="H822" s="12" t="n">
        <v>62</v>
      </c>
    </row>
    <row r="823">
      <c r="A823" s="1" t="n">
        <v>837</v>
      </c>
      <c r="B823" s="2" t="inlineStr">
        <is>
          <t>Iraq</t>
        </is>
      </c>
      <c r="C823" s="2" t="inlineStr">
        <is>
          <t>Hasan Abdulkareem</t>
        </is>
      </c>
      <c r="D823" s="2" t="inlineStr">
        <is>
          <t>Avançado</t>
        </is>
      </c>
      <c r="E823" s="11" t="n">
        <v>18</v>
      </c>
      <c r="F823" s="11" t="n">
        <v>1620</v>
      </c>
      <c r="G823" s="11" t="n">
        <v>7</v>
      </c>
      <c r="H823" s="12" t="n">
        <v>312</v>
      </c>
    </row>
    <row r="824">
      <c r="A824" s="1" t="n">
        <v>838</v>
      </c>
      <c r="B824" s="2" t="inlineStr">
        <is>
          <t>Iraq</t>
        </is>
      </c>
      <c r="C824" s="2" t="inlineStr">
        <is>
          <t>Ayman Hussein</t>
        </is>
      </c>
      <c r="D824" s="2" t="inlineStr">
        <is>
          <t>Avançado</t>
        </is>
      </c>
      <c r="E824" s="11" t="n">
        <v>18</v>
      </c>
      <c r="F824" s="11" t="n">
        <v>1620</v>
      </c>
      <c r="G824" s="11" t="n">
        <v>10</v>
      </c>
      <c r="H824" s="12" t="n">
        <v>182</v>
      </c>
    </row>
    <row r="825">
      <c r="A825" s="1" t="n">
        <v>839</v>
      </c>
      <c r="B825" s="2" t="inlineStr">
        <is>
          <t>Iraq</t>
        </is>
      </c>
      <c r="C825" s="2" t="inlineStr">
        <is>
          <t>Ibrahim Bayesh</t>
        </is>
      </c>
      <c r="D825" s="2" t="inlineStr">
        <is>
          <t>Avançado</t>
        </is>
      </c>
      <c r="E825" s="11" t="n">
        <v>18</v>
      </c>
      <c r="F825" s="11" t="n">
        <v>1620</v>
      </c>
      <c r="G825" s="11" t="n">
        <v>10</v>
      </c>
      <c r="H825" s="12" t="n">
        <v>191</v>
      </c>
    </row>
    <row r="826">
      <c r="A826" s="1" t="n">
        <v>840</v>
      </c>
      <c r="B826" s="2" t="inlineStr">
        <is>
          <t>Iraq</t>
        </is>
      </c>
      <c r="C826" s="2" t="inlineStr">
        <is>
          <t>Youssef Amyn</t>
        </is>
      </c>
      <c r="D826" s="2" t="inlineStr">
        <is>
          <t>Avançado</t>
        </is>
      </c>
      <c r="E826" s="11" t="n">
        <v>18</v>
      </c>
      <c r="F826" s="11" t="n">
        <v>1620</v>
      </c>
      <c r="G826" s="11" t="n">
        <v>5</v>
      </c>
      <c r="H826" s="12" t="n">
        <v>0</v>
      </c>
    </row>
    <row r="827">
      <c r="A827" s="1" t="n">
        <v>841</v>
      </c>
      <c r="B827" s="2" t="inlineStr">
        <is>
          <t>Iraq</t>
        </is>
      </c>
      <c r="C827" s="2" t="inlineStr">
        <is>
          <t>Karar Nabeel</t>
        </is>
      </c>
      <c r="D827" s="2" t="inlineStr">
        <is>
          <t>Avançado</t>
        </is>
      </c>
      <c r="E827" s="11" t="n">
        <v>18</v>
      </c>
      <c r="F827" s="11" t="n">
        <v>1620</v>
      </c>
      <c r="G827" s="11" t="n">
        <v>4</v>
      </c>
      <c r="H827" s="12" t="n">
        <v>45</v>
      </c>
    </row>
    <row r="828">
      <c r="A828" s="1" t="n">
        <v>842</v>
      </c>
      <c r="B828" s="2" t="inlineStr">
        <is>
          <t>Iraq</t>
        </is>
      </c>
      <c r="C828" s="2" t="inlineStr">
        <is>
          <t>Peter Gwargis</t>
        </is>
      </c>
      <c r="D828" s="2" t="inlineStr">
        <is>
          <t>Avançado</t>
        </is>
      </c>
      <c r="E828" s="11" t="n">
        <v>18</v>
      </c>
      <c r="F828" s="11" t="n">
        <v>1620</v>
      </c>
      <c r="G828" s="11" t="n">
        <v>2</v>
      </c>
      <c r="H828" s="12" t="n">
        <v>214</v>
      </c>
    </row>
    <row r="829">
      <c r="A829" s="1" t="n">
        <v>843</v>
      </c>
      <c r="B829" s="2" t="inlineStr">
        <is>
          <t>Japan</t>
        </is>
      </c>
      <c r="C829" s="2" t="inlineStr">
        <is>
          <t>Zion Suzuki</t>
        </is>
      </c>
      <c r="D829" s="2" t="inlineStr">
        <is>
          <t>Guarda Redes</t>
        </is>
      </c>
      <c r="E829" s="12" t="n">
        <v>16</v>
      </c>
      <c r="F829" s="12" t="n">
        <v>1440</v>
      </c>
      <c r="G829" s="12" t="n">
        <v>8</v>
      </c>
      <c r="H829" s="12" t="n">
        <v>713</v>
      </c>
    </row>
    <row r="830">
      <c r="A830" s="1" t="n">
        <v>844</v>
      </c>
      <c r="B830" s="2" t="inlineStr">
        <is>
          <t>Japan</t>
        </is>
      </c>
      <c r="C830" s="2" t="inlineStr">
        <is>
          <t>Keisuke Osako</t>
        </is>
      </c>
      <c r="D830" s="2" t="inlineStr">
        <is>
          <t>Guarda Redes</t>
        </is>
      </c>
      <c r="E830" s="12" t="n">
        <v>16</v>
      </c>
      <c r="F830" s="12" t="n">
        <v>1440</v>
      </c>
      <c r="G830" s="12" t="n">
        <v>1</v>
      </c>
      <c r="H830" s="12" t="n">
        <v>90</v>
      </c>
    </row>
    <row r="831">
      <c r="A831" s="1" t="n">
        <v>845</v>
      </c>
      <c r="B831" s="2" t="inlineStr">
        <is>
          <t>Japan</t>
        </is>
      </c>
      <c r="C831" s="2" t="inlineStr">
        <is>
          <t>Tomoki Hayakawa</t>
        </is>
      </c>
      <c r="D831" s="2" t="inlineStr">
        <is>
          <t>Guarda Redes</t>
        </is>
      </c>
      <c r="E831" s="12" t="n">
        <v>16</v>
      </c>
      <c r="F831" s="12" t="n">
        <v>1440</v>
      </c>
      <c r="G831" s="12" t="n">
        <v>3</v>
      </c>
      <c r="H831" s="12" t="n">
        <v>187</v>
      </c>
    </row>
    <row r="832">
      <c r="A832" s="1" t="n">
        <v>846</v>
      </c>
      <c r="B832" s="2" t="inlineStr">
        <is>
          <t>Japan</t>
        </is>
      </c>
      <c r="C832" s="2" t="inlineStr">
        <is>
          <t>Yukinari Sugawara</t>
        </is>
      </c>
      <c r="D832" s="2" t="inlineStr">
        <is>
          <t>Defesa</t>
        </is>
      </c>
      <c r="E832" s="12" t="n">
        <v>16</v>
      </c>
      <c r="F832" s="12" t="n">
        <v>1440</v>
      </c>
      <c r="G832" s="12" t="n">
        <v>7</v>
      </c>
      <c r="H832" s="12" t="n">
        <v>264</v>
      </c>
    </row>
    <row r="833">
      <c r="A833" s="1" t="n">
        <v>847</v>
      </c>
      <c r="B833" s="2" t="inlineStr">
        <is>
          <t>Japan</t>
        </is>
      </c>
      <c r="C833" s="2" t="inlineStr">
        <is>
          <t>Takehiro Tomiyasu</t>
        </is>
      </c>
      <c r="D833" s="2" t="inlineStr">
        <is>
          <t>Defesa</t>
        </is>
      </c>
      <c r="E833" s="12" t="n">
        <v>16</v>
      </c>
      <c r="F833" s="12" t="n">
        <v>1440</v>
      </c>
      <c r="G833" s="12" t="n">
        <v>1</v>
      </c>
      <c r="H833" s="12" t="n">
        <v>83</v>
      </c>
    </row>
    <row r="834">
      <c r="A834" s="1" t="n">
        <v>848</v>
      </c>
      <c r="B834" s="2" t="inlineStr">
        <is>
          <t>Japan</t>
        </is>
      </c>
      <c r="C834" s="2" t="inlineStr">
        <is>
          <t>Shogo Taniguchi</t>
        </is>
      </c>
      <c r="D834" s="2" t="inlineStr">
        <is>
          <t>Defesa</t>
        </is>
      </c>
      <c r="E834" s="12" t="n">
        <v>16</v>
      </c>
      <c r="F834" s="12" t="n">
        <v>1440</v>
      </c>
      <c r="G834" s="12" t="n">
        <v>6</v>
      </c>
      <c r="H834" s="12" t="n">
        <v>412</v>
      </c>
    </row>
    <row r="835">
      <c r="A835" s="1" t="n">
        <v>849</v>
      </c>
      <c r="B835" s="2" t="inlineStr">
        <is>
          <t>Japan</t>
        </is>
      </c>
      <c r="C835" s="2" t="inlineStr">
        <is>
          <t>Ko Itakura</t>
        </is>
      </c>
      <c r="D835" s="2" t="inlineStr">
        <is>
          <t>Defesa</t>
        </is>
      </c>
      <c r="E835" s="12" t="n">
        <v>16</v>
      </c>
      <c r="F835" s="12" t="n">
        <v>1440</v>
      </c>
      <c r="G835" s="12" t="n">
        <v>5</v>
      </c>
      <c r="H835" s="12" t="n">
        <v>403</v>
      </c>
    </row>
    <row r="836">
      <c r="A836" s="1" t="n">
        <v>850</v>
      </c>
      <c r="B836" s="2" t="inlineStr">
        <is>
          <t>Japan</t>
        </is>
      </c>
      <c r="C836" s="2" t="inlineStr">
        <is>
          <t>Tsuyoshi Watanabe</t>
        </is>
      </c>
      <c r="D836" s="2" t="inlineStr">
        <is>
          <t>Defesa</t>
        </is>
      </c>
      <c r="E836" s="12" t="n">
        <v>16</v>
      </c>
      <c r="F836" s="12" t="n">
        <v>1440</v>
      </c>
      <c r="G836" s="12" t="n">
        <v>8</v>
      </c>
      <c r="H836" s="12" t="n">
        <v>580</v>
      </c>
    </row>
    <row r="837">
      <c r="A837" s="1" t="n">
        <v>851</v>
      </c>
      <c r="B837" s="2" t="inlineStr">
        <is>
          <t>Japan</t>
        </is>
      </c>
      <c r="C837" s="2" t="inlineStr">
        <is>
          <t>Hiroki Ito</t>
        </is>
      </c>
      <c r="D837" s="2" t="inlineStr">
        <is>
          <t>Defesa</t>
        </is>
      </c>
      <c r="E837" s="12" t="n">
        <v>16</v>
      </c>
      <c r="F837" s="12" t="n">
        <v>1440</v>
      </c>
      <c r="G837" s="12" t="n">
        <v>5</v>
      </c>
      <c r="H837" s="12" t="n">
        <v>367</v>
      </c>
    </row>
    <row r="838">
      <c r="A838" s="1" t="n">
        <v>852</v>
      </c>
      <c r="B838" s="2" t="inlineStr">
        <is>
          <t>Japan</t>
        </is>
      </c>
      <c r="C838" s="2" t="inlineStr">
        <is>
          <t>Junnosuke Suzuki</t>
        </is>
      </c>
      <c r="D838" s="2" t="inlineStr">
        <is>
          <t>Defesa</t>
        </is>
      </c>
      <c r="E838" s="12" t="n">
        <v>16</v>
      </c>
      <c r="F838" s="12" t="n">
        <v>1440</v>
      </c>
      <c r="G838" s="12" t="n">
        <v>5</v>
      </c>
      <c r="H838" s="12" t="n">
        <v>334</v>
      </c>
    </row>
    <row r="839">
      <c r="A839" s="1" t="n">
        <v>853</v>
      </c>
      <c r="B839" s="2" t="inlineStr">
        <is>
          <t>Japan</t>
        </is>
      </c>
      <c r="C839" s="2" t="inlineStr">
        <is>
          <t>Yuto Nagatomo</t>
        </is>
      </c>
      <c r="D839" s="2" t="inlineStr">
        <is>
          <t>Defesa</t>
        </is>
      </c>
      <c r="E839" s="12" t="n">
        <v>16</v>
      </c>
      <c r="F839" s="12" t="n">
        <v>1440</v>
      </c>
      <c r="G839" s="12" t="n">
        <v>2</v>
      </c>
      <c r="H839" s="12" t="n">
        <v>90</v>
      </c>
    </row>
    <row r="840">
      <c r="A840" s="1" t="n">
        <v>854</v>
      </c>
      <c r="B840" s="2" t="inlineStr">
        <is>
          <t>Japan</t>
        </is>
      </c>
      <c r="C840" s="2" t="inlineStr">
        <is>
          <t>Wataru Endo</t>
        </is>
      </c>
      <c r="D840" s="2" t="inlineStr">
        <is>
          <t>Médio</t>
        </is>
      </c>
      <c r="E840" s="12" t="n">
        <v>16</v>
      </c>
      <c r="F840" s="12" t="n">
        <v>1440</v>
      </c>
      <c r="G840" s="12" t="n">
        <v>5</v>
      </c>
      <c r="H840" s="12" t="n">
        <v>389</v>
      </c>
    </row>
    <row r="841">
      <c r="A841" s="1" t="n">
        <v>855</v>
      </c>
      <c r="B841" s="2" t="inlineStr">
        <is>
          <t>Japan</t>
        </is>
      </c>
      <c r="C841" s="2" t="inlineStr">
        <is>
          <t>Ayumu Seko</t>
        </is>
      </c>
      <c r="D841" s="2" t="inlineStr">
        <is>
          <t>Médio</t>
        </is>
      </c>
      <c r="E841" s="12" t="n">
        <v>16</v>
      </c>
      <c r="F841" s="12" t="n">
        <v>1440</v>
      </c>
      <c r="G841" s="12" t="n">
        <v>9</v>
      </c>
      <c r="H841" s="12" t="n">
        <v>595</v>
      </c>
    </row>
    <row r="842">
      <c r="A842" s="1" t="n">
        <v>856</v>
      </c>
      <c r="B842" s="2" t="inlineStr">
        <is>
          <t>Japan</t>
        </is>
      </c>
      <c r="C842" s="2" t="inlineStr">
        <is>
          <t>Kaishu Sano</t>
        </is>
      </c>
      <c r="D842" s="2" t="inlineStr">
        <is>
          <t>Médio</t>
        </is>
      </c>
      <c r="E842" s="12" t="n">
        <v>16</v>
      </c>
      <c r="F842" s="12" t="n">
        <v>1440</v>
      </c>
      <c r="G842" s="12" t="n">
        <v>8</v>
      </c>
      <c r="H842" s="12" t="n">
        <v>541</v>
      </c>
    </row>
    <row r="843">
      <c r="A843" s="1" t="n">
        <v>857</v>
      </c>
      <c r="B843" s="2" t="inlineStr">
        <is>
          <t>Japan</t>
        </is>
      </c>
      <c r="C843" s="2" t="inlineStr">
        <is>
          <t>Ao Tanaka</t>
        </is>
      </c>
      <c r="D843" s="2" t="inlineStr">
        <is>
          <t>Médio</t>
        </is>
      </c>
      <c r="E843" s="12" t="n">
        <v>16</v>
      </c>
      <c r="F843" s="12" t="n">
        <v>1440</v>
      </c>
      <c r="G843" s="12" t="n">
        <v>8</v>
      </c>
      <c r="H843" s="12" t="n">
        <v>466</v>
      </c>
    </row>
    <row r="844">
      <c r="A844" s="1" t="n">
        <v>858</v>
      </c>
      <c r="B844" s="2" t="inlineStr">
        <is>
          <t>Japan</t>
        </is>
      </c>
      <c r="C844" s="2" t="inlineStr">
        <is>
          <t>Daichi Kamada</t>
        </is>
      </c>
      <c r="D844" s="2" t="inlineStr">
        <is>
          <t>Médio</t>
        </is>
      </c>
      <c r="E844" s="12" t="n">
        <v>16</v>
      </c>
      <c r="F844" s="12" t="n">
        <v>1440</v>
      </c>
      <c r="G844" s="12" t="n">
        <v>10</v>
      </c>
      <c r="H844" s="12" t="n">
        <v>575</v>
      </c>
    </row>
    <row r="845">
      <c r="A845" s="1" t="n">
        <v>859</v>
      </c>
      <c r="B845" s="2" t="inlineStr">
        <is>
          <t>Japan</t>
        </is>
      </c>
      <c r="C845" s="2" t="inlineStr">
        <is>
          <t>Takefusa Kubo</t>
        </is>
      </c>
      <c r="D845" s="2" t="inlineStr">
        <is>
          <t>Avançado</t>
        </is>
      </c>
      <c r="E845" s="12" t="n">
        <v>16</v>
      </c>
      <c r="F845" s="12" t="n">
        <v>1440</v>
      </c>
      <c r="G845" s="12" t="n">
        <v>8</v>
      </c>
      <c r="H845" s="12" t="n">
        <v>527</v>
      </c>
    </row>
    <row r="846">
      <c r="A846" s="1" t="n">
        <v>860</v>
      </c>
      <c r="B846" s="2" t="inlineStr">
        <is>
          <t>Japan</t>
        </is>
      </c>
      <c r="C846" s="2" t="inlineStr">
        <is>
          <t>Ritsu Doan</t>
        </is>
      </c>
      <c r="D846" s="2" t="inlineStr">
        <is>
          <t>Avançado</t>
        </is>
      </c>
      <c r="E846" s="12" t="n">
        <v>16</v>
      </c>
      <c r="F846" s="12" t="n">
        <v>1440</v>
      </c>
      <c r="G846" s="12" t="n">
        <v>10</v>
      </c>
      <c r="H846" s="12" t="n">
        <v>592</v>
      </c>
    </row>
    <row r="847">
      <c r="A847" s="1" t="n">
        <v>861</v>
      </c>
      <c r="B847" s="2" t="inlineStr">
        <is>
          <t>Japan</t>
        </is>
      </c>
      <c r="C847" s="2" t="inlineStr">
        <is>
          <t>Junya Ito</t>
        </is>
      </c>
      <c r="D847" s="2" t="inlineStr">
        <is>
          <t>Avançado</t>
        </is>
      </c>
      <c r="E847" s="12" t="n">
        <v>16</v>
      </c>
      <c r="F847" s="12" t="n">
        <v>1440</v>
      </c>
      <c r="G847" s="12" t="n">
        <v>9</v>
      </c>
      <c r="H847" s="12" t="n">
        <v>444</v>
      </c>
    </row>
    <row r="848">
      <c r="A848" s="1" t="n">
        <v>862</v>
      </c>
      <c r="B848" s="2" t="inlineStr">
        <is>
          <t>Japan</t>
        </is>
      </c>
      <c r="C848" s="2" t="inlineStr">
        <is>
          <t>Yuito Suzuki</t>
        </is>
      </c>
      <c r="D848" s="2" t="inlineStr">
        <is>
          <t>Avançado</t>
        </is>
      </c>
      <c r="E848" s="12" t="n">
        <v>16</v>
      </c>
      <c r="F848" s="12" t="n">
        <v>1440</v>
      </c>
      <c r="G848" s="12" t="n">
        <v>5</v>
      </c>
      <c r="H848" s="12" t="n">
        <v>234</v>
      </c>
    </row>
    <row r="849">
      <c r="A849" s="1" t="n">
        <v>863</v>
      </c>
      <c r="B849" s="2" t="inlineStr">
        <is>
          <t>Japan</t>
        </is>
      </c>
      <c r="C849" s="2" t="inlineStr">
        <is>
          <t>Keisuke Goto</t>
        </is>
      </c>
      <c r="D849" s="2" t="inlineStr">
        <is>
          <t>Avançado</t>
        </is>
      </c>
      <c r="E849" s="12" t="n">
        <v>16</v>
      </c>
      <c r="F849" s="12" t="n">
        <v>1440</v>
      </c>
      <c r="G849" s="12" t="n">
        <v>4</v>
      </c>
      <c r="H849" s="12" t="n">
        <v>102</v>
      </c>
    </row>
    <row r="850">
      <c r="A850" s="1" t="n">
        <v>864</v>
      </c>
      <c r="B850" s="2" t="inlineStr">
        <is>
          <t>Japan</t>
        </is>
      </c>
      <c r="C850" s="2" t="inlineStr">
        <is>
          <t>Ayase Ueda</t>
        </is>
      </c>
      <c r="D850" s="2" t="inlineStr">
        <is>
          <t>Avançado</t>
        </is>
      </c>
      <c r="E850" s="12" t="n">
        <v>16</v>
      </c>
      <c r="F850" s="12" t="n">
        <v>1440</v>
      </c>
      <c r="G850" s="12" t="n">
        <v>9</v>
      </c>
      <c r="H850" s="12" t="n">
        <v>488</v>
      </c>
    </row>
    <row r="851">
      <c r="A851" s="1" t="n">
        <v>865</v>
      </c>
      <c r="B851" s="2" t="inlineStr">
        <is>
          <t>Japan</t>
        </is>
      </c>
      <c r="C851" s="2" t="inlineStr">
        <is>
          <t>Koki Ogawa</t>
        </is>
      </c>
      <c r="D851" s="2" t="inlineStr">
        <is>
          <t>Avançado</t>
        </is>
      </c>
      <c r="E851" s="12" t="n">
        <v>16</v>
      </c>
      <c r="F851" s="12" t="n">
        <v>1440</v>
      </c>
      <c r="G851" s="12" t="n">
        <v>6</v>
      </c>
      <c r="H851" s="12" t="n">
        <v>302</v>
      </c>
    </row>
    <row r="852">
      <c r="A852" s="1" t="n">
        <v>866</v>
      </c>
      <c r="B852" s="2" t="inlineStr">
        <is>
          <t>Japan</t>
        </is>
      </c>
      <c r="C852" s="2" t="inlineStr">
        <is>
          <t>Kento Shiogai</t>
        </is>
      </c>
      <c r="D852" s="2" t="inlineStr">
        <is>
          <t>Avançado</t>
        </is>
      </c>
      <c r="E852" s="12" t="n">
        <v>16</v>
      </c>
      <c r="F852" s="12" t="n">
        <v>1440</v>
      </c>
      <c r="G852" s="12" t="n">
        <v>2</v>
      </c>
      <c r="H852" s="12" t="n">
        <v>29</v>
      </c>
    </row>
    <row r="853">
      <c r="A853" s="1" t="n">
        <v>867</v>
      </c>
      <c r="B853" s="2" t="inlineStr">
        <is>
          <t>Japan</t>
        </is>
      </c>
      <c r="C853" s="2" t="inlineStr">
        <is>
          <t>Daizen Maeda</t>
        </is>
      </c>
      <c r="D853" s="2" t="inlineStr">
        <is>
          <t>Avançado</t>
        </is>
      </c>
      <c r="E853" s="12" t="n">
        <v>16</v>
      </c>
      <c r="F853" s="12" t="n">
        <v>1440</v>
      </c>
      <c r="G853" s="12" t="n">
        <v>5</v>
      </c>
      <c r="H853" s="12" t="n">
        <v>300</v>
      </c>
    </row>
    <row r="854">
      <c r="A854" s="1" t="n">
        <v>868</v>
      </c>
      <c r="B854" s="2" t="inlineStr">
        <is>
          <t>Japan</t>
        </is>
      </c>
      <c r="C854" s="2" t="inlineStr">
        <is>
          <t>Keito Nakamura</t>
        </is>
      </c>
      <c r="D854" s="2" t="inlineStr">
        <is>
          <t>Avançado</t>
        </is>
      </c>
      <c r="E854" s="12" t="n">
        <v>16</v>
      </c>
      <c r="F854" s="12" t="n">
        <v>1440</v>
      </c>
      <c r="G854" s="12" t="n">
        <v>9</v>
      </c>
      <c r="H854" s="12" t="n">
        <v>466</v>
      </c>
    </row>
    <row r="855">
      <c r="A855" s="1" t="n">
        <v>895</v>
      </c>
      <c r="B855" s="2" t="inlineStr">
        <is>
          <t>Morocco</t>
        </is>
      </c>
      <c r="C855" s="2" t="inlineStr">
        <is>
          <t>Yassine Bono</t>
        </is>
      </c>
      <c r="D855" s="2" t="inlineStr">
        <is>
          <t>Guarda Redes</t>
        </is>
      </c>
      <c r="E855" s="12" t="n">
        <v>34</v>
      </c>
      <c r="F855" s="12" t="n">
        <v>3180</v>
      </c>
      <c r="G855" s="7" t="n">
        <v>18</v>
      </c>
      <c r="H855" s="12" t="n">
        <v>540</v>
      </c>
    </row>
    <row r="856">
      <c r="A856" s="1" t="n">
        <v>896</v>
      </c>
      <c r="B856" s="2" t="inlineStr">
        <is>
          <t>Morocco</t>
        </is>
      </c>
      <c r="C856" s="2" t="inlineStr">
        <is>
          <t>Munir Mohamedi</t>
        </is>
      </c>
      <c r="D856" s="2" t="inlineStr">
        <is>
          <t>Guarda Redes</t>
        </is>
      </c>
      <c r="E856" s="12" t="n">
        <v>34</v>
      </c>
      <c r="F856" s="12" t="n">
        <v>3180</v>
      </c>
      <c r="G856" s="9" t="n"/>
      <c r="H856" s="12" t="n">
        <v>180</v>
      </c>
    </row>
    <row r="857">
      <c r="A857" s="1" t="n">
        <v>897</v>
      </c>
      <c r="B857" s="2" t="inlineStr">
        <is>
          <t>Morocco</t>
        </is>
      </c>
      <c r="C857" s="2" t="inlineStr">
        <is>
          <t>Reda Tagnaouti</t>
        </is>
      </c>
      <c r="D857" s="2" t="inlineStr">
        <is>
          <t>Guarda Redes</t>
        </is>
      </c>
      <c r="E857" s="12" t="n">
        <v>34</v>
      </c>
      <c r="F857" s="12" t="n">
        <v>3180</v>
      </c>
      <c r="G857" s="7" t="n">
        <v>0</v>
      </c>
      <c r="H857" s="12" t="n">
        <v>0</v>
      </c>
    </row>
    <row r="858">
      <c r="A858" s="1" t="n">
        <v>898</v>
      </c>
      <c r="B858" s="2" t="inlineStr">
        <is>
          <t>Morocco</t>
        </is>
      </c>
      <c r="C858" s="2" t="inlineStr">
        <is>
          <t>Achraf Hakimi</t>
        </is>
      </c>
      <c r="D858" s="2" t="inlineStr">
        <is>
          <t>Defesa</t>
        </is>
      </c>
      <c r="E858" s="12" t="n">
        <v>34</v>
      </c>
      <c r="F858" s="12" t="n">
        <v>3180</v>
      </c>
      <c r="G858" s="9" t="n">
        <v>13</v>
      </c>
      <c r="H858" s="12" t="n">
        <v>311</v>
      </c>
    </row>
    <row r="859">
      <c r="A859" s="1" t="n">
        <v>899</v>
      </c>
      <c r="B859" s="2" t="inlineStr">
        <is>
          <t>Morocco</t>
        </is>
      </c>
      <c r="C859" s="2" t="inlineStr">
        <is>
          <t>Noussair Mazraoui</t>
        </is>
      </c>
      <c r="D859" s="2" t="inlineStr">
        <is>
          <t>Defesa</t>
        </is>
      </c>
      <c r="E859" s="12" t="n">
        <v>34</v>
      </c>
      <c r="F859" s="12" t="n">
        <v>3180</v>
      </c>
      <c r="G859" s="7" t="n">
        <v>13</v>
      </c>
      <c r="H859" s="12" t="n">
        <v>348</v>
      </c>
    </row>
    <row r="860">
      <c r="A860" s="1" t="n">
        <v>900</v>
      </c>
      <c r="B860" s="2" t="inlineStr">
        <is>
          <t>Morocco</t>
        </is>
      </c>
      <c r="C860" s="2" t="inlineStr">
        <is>
          <t>Zakaria El Ouahdi</t>
        </is>
      </c>
      <c r="D860" s="2" t="inlineStr">
        <is>
          <t>Defesa</t>
        </is>
      </c>
      <c r="E860" s="12" t="n">
        <v>34</v>
      </c>
      <c r="F860" s="12" t="n">
        <v>3180</v>
      </c>
      <c r="G860" s="9" t="n">
        <v>2</v>
      </c>
      <c r="H860" s="12" t="n">
        <v>49</v>
      </c>
    </row>
    <row r="861">
      <c r="A861" s="1" t="n">
        <v>901</v>
      </c>
      <c r="B861" s="2" t="inlineStr">
        <is>
          <t>Morocco</t>
        </is>
      </c>
      <c r="C861" s="2" t="inlineStr">
        <is>
          <t>Nayef Aguerd</t>
        </is>
      </c>
      <c r="D861" s="2" t="inlineStr">
        <is>
          <t>Defesa</t>
        </is>
      </c>
      <c r="E861" s="12" t="n">
        <v>34</v>
      </c>
      <c r="F861" s="12" t="n">
        <v>3180</v>
      </c>
      <c r="G861" s="7" t="n"/>
      <c r="H861" s="12" t="n"/>
    </row>
    <row r="862">
      <c r="A862" s="1" t="n">
        <v>902</v>
      </c>
      <c r="B862" s="2" t="inlineStr">
        <is>
          <t>Morocco</t>
        </is>
      </c>
      <c r="C862" s="2" t="inlineStr">
        <is>
          <t>Issa Diop</t>
        </is>
      </c>
      <c r="D862" s="2" t="inlineStr">
        <is>
          <t>Defesa</t>
        </is>
      </c>
      <c r="E862" s="12" t="n">
        <v>34</v>
      </c>
      <c r="F862" s="12" t="n">
        <v>3180</v>
      </c>
      <c r="G862" s="9" t="n">
        <v>3</v>
      </c>
      <c r="H862" s="12" t="n">
        <v>310</v>
      </c>
    </row>
    <row r="863">
      <c r="A863" s="1" t="n">
        <v>903</v>
      </c>
      <c r="B863" s="2" t="inlineStr">
        <is>
          <t>Morocco</t>
        </is>
      </c>
      <c r="C863" s="2" t="inlineStr">
        <is>
          <t>Chadi Riad</t>
        </is>
      </c>
      <c r="D863" s="2" t="inlineStr">
        <is>
          <t>Defesa</t>
        </is>
      </c>
      <c r="E863" s="12" t="n">
        <v>34</v>
      </c>
      <c r="F863" s="12" t="n">
        <v>3180</v>
      </c>
      <c r="G863" s="7" t="n">
        <v>2</v>
      </c>
      <c r="H863" s="12" t="n">
        <v>200</v>
      </c>
    </row>
    <row r="864">
      <c r="A864" s="1" t="n">
        <v>904</v>
      </c>
      <c r="B864" s="2" t="inlineStr">
        <is>
          <t>Morocco</t>
        </is>
      </c>
      <c r="C864" s="2" t="inlineStr">
        <is>
          <t>Redouane Halhal</t>
        </is>
      </c>
      <c r="D864" s="2" t="inlineStr">
        <is>
          <t>Defesa</t>
        </is>
      </c>
      <c r="E864" s="12" t="n">
        <v>34</v>
      </c>
      <c r="F864" s="12" t="n">
        <v>3180</v>
      </c>
      <c r="G864" s="9" t="n">
        <v>2</v>
      </c>
      <c r="H864" s="12" t="n">
        <v>160</v>
      </c>
    </row>
    <row r="865">
      <c r="A865" s="1" t="n">
        <v>905</v>
      </c>
      <c r="B865" s="2" t="inlineStr">
        <is>
          <t>Morocco</t>
        </is>
      </c>
      <c r="C865" s="2" t="inlineStr">
        <is>
          <t>Youssef Belammari</t>
        </is>
      </c>
      <c r="D865" s="2" t="inlineStr">
        <is>
          <t>Defesa</t>
        </is>
      </c>
      <c r="E865" s="12" t="n">
        <v>34</v>
      </c>
      <c r="F865" s="12" t="n">
        <v>3180</v>
      </c>
      <c r="G865" s="7" t="n">
        <v>15</v>
      </c>
      <c r="H865" s="12" t="n">
        <v>255</v>
      </c>
    </row>
    <row r="866">
      <c r="A866" s="1" t="n">
        <v>906</v>
      </c>
      <c r="B866" s="2" t="inlineStr">
        <is>
          <t>Morocco</t>
        </is>
      </c>
      <c r="C866" s="2" t="inlineStr">
        <is>
          <t>Anass Salah-Eddine</t>
        </is>
      </c>
      <c r="D866" s="2" t="inlineStr">
        <is>
          <t>Defesa</t>
        </is>
      </c>
      <c r="E866" s="12" t="n">
        <v>34</v>
      </c>
      <c r="F866" s="12" t="n">
        <v>3180</v>
      </c>
      <c r="G866" s="9" t="n">
        <v>9</v>
      </c>
      <c r="H866" s="12" t="n">
        <v>335</v>
      </c>
    </row>
    <row r="867">
      <c r="A867" s="1" t="n">
        <v>907</v>
      </c>
      <c r="B867" s="2" t="inlineStr">
        <is>
          <t>Morocco</t>
        </is>
      </c>
      <c r="C867" s="2" t="inlineStr">
        <is>
          <t>Sofyan Amrabat</t>
        </is>
      </c>
      <c r="D867" s="2" t="inlineStr">
        <is>
          <t>Médio</t>
        </is>
      </c>
      <c r="E867" s="12" t="n">
        <v>34</v>
      </c>
      <c r="F867" s="12" t="n">
        <v>3180</v>
      </c>
      <c r="G867" s="7" t="n">
        <v>12</v>
      </c>
      <c r="H867" s="12" t="n">
        <v>264</v>
      </c>
    </row>
    <row r="868">
      <c r="A868" s="1" t="n">
        <v>908</v>
      </c>
      <c r="B868" s="2" t="inlineStr">
        <is>
          <t>Morocco</t>
        </is>
      </c>
      <c r="C868" s="2" t="inlineStr">
        <is>
          <t>Ayyoub Bouaddi</t>
        </is>
      </c>
      <c r="D868" s="2" t="inlineStr">
        <is>
          <t>Médio</t>
        </is>
      </c>
      <c r="E868" s="12" t="n">
        <v>34</v>
      </c>
      <c r="F868" s="12" t="n">
        <v>3180</v>
      </c>
      <c r="G868" s="9" t="n">
        <v>2</v>
      </c>
      <c r="H868" s="12" t="n">
        <v>180</v>
      </c>
    </row>
    <row r="869">
      <c r="A869" s="1" t="n">
        <v>909</v>
      </c>
      <c r="B869" s="2" t="inlineStr">
        <is>
          <t>Morocco</t>
        </is>
      </c>
      <c r="C869" s="2" t="inlineStr">
        <is>
          <t>Azzedine Ounahi</t>
        </is>
      </c>
      <c r="D869" s="2" t="inlineStr">
        <is>
          <t>Médio</t>
        </is>
      </c>
      <c r="E869" s="12" t="n">
        <v>34</v>
      </c>
      <c r="F869" s="12" t="n">
        <v>3180</v>
      </c>
      <c r="G869" s="7" t="n">
        <v>12</v>
      </c>
      <c r="H869" s="12" t="n">
        <v>338</v>
      </c>
    </row>
    <row r="870">
      <c r="A870" s="1" t="n">
        <v>910</v>
      </c>
      <c r="B870" s="2" t="inlineStr">
        <is>
          <t>Morocco</t>
        </is>
      </c>
      <c r="C870" s="2" t="inlineStr">
        <is>
          <t>Samir El Mourabet</t>
        </is>
      </c>
      <c r="D870" s="2" t="inlineStr">
        <is>
          <t>Médio</t>
        </is>
      </c>
      <c r="E870" s="12" t="n">
        <v>34</v>
      </c>
      <c r="F870" s="12" t="n">
        <v>3180</v>
      </c>
      <c r="G870" s="9" t="n">
        <v>3</v>
      </c>
      <c r="H870" s="12" t="n">
        <v>162</v>
      </c>
    </row>
    <row r="871">
      <c r="A871" s="1" t="n">
        <v>911</v>
      </c>
      <c r="B871" s="2" t="inlineStr">
        <is>
          <t>Morocco</t>
        </is>
      </c>
      <c r="C871" s="2" t="inlineStr">
        <is>
          <t>Neil El Aynaoui</t>
        </is>
      </c>
      <c r="D871" s="2" t="inlineStr">
        <is>
          <t>Médio</t>
        </is>
      </c>
      <c r="E871" s="12" t="n">
        <v>34</v>
      </c>
      <c r="F871" s="12" t="n">
        <v>3180</v>
      </c>
      <c r="G871" s="7" t="n">
        <v>15</v>
      </c>
      <c r="H871" s="12" t="n">
        <v>514</v>
      </c>
    </row>
    <row r="872">
      <c r="A872" s="1" t="n">
        <v>912</v>
      </c>
      <c r="B872" s="2" t="inlineStr">
        <is>
          <t>Morocco</t>
        </is>
      </c>
      <c r="C872" s="2" t="inlineStr">
        <is>
          <t>Ismael Saibari</t>
        </is>
      </c>
      <c r="D872" s="2" t="inlineStr">
        <is>
          <t>Médio</t>
        </is>
      </c>
      <c r="E872" s="12" t="n">
        <v>34</v>
      </c>
      <c r="F872" s="12" t="n">
        <v>3180</v>
      </c>
      <c r="G872" s="9" t="n">
        <v>20</v>
      </c>
      <c r="H872" s="12" t="n">
        <v>377</v>
      </c>
    </row>
    <row r="873">
      <c r="A873" s="1" t="n">
        <v>913</v>
      </c>
      <c r="B873" s="2" t="inlineStr">
        <is>
          <t>Morocco</t>
        </is>
      </c>
      <c r="C873" s="2" t="inlineStr">
        <is>
          <t>Bilal El Khannouss</t>
        </is>
      </c>
      <c r="D873" s="2" t="inlineStr">
        <is>
          <t>Médio</t>
        </is>
      </c>
      <c r="E873" s="12" t="n">
        <v>34</v>
      </c>
      <c r="F873" s="12" t="n">
        <v>3180</v>
      </c>
      <c r="G873" s="7" t="n">
        <v>18</v>
      </c>
      <c r="H873" s="12" t="n">
        <v>258</v>
      </c>
    </row>
    <row r="874">
      <c r="A874" s="1" t="n">
        <v>914</v>
      </c>
      <c r="B874" s="2" t="inlineStr">
        <is>
          <t>Morocco</t>
        </is>
      </c>
      <c r="C874" s="2" t="inlineStr">
        <is>
          <t>Chemsdine Talbi</t>
        </is>
      </c>
      <c r="D874" s="2" t="inlineStr">
        <is>
          <t>Avançado</t>
        </is>
      </c>
      <c r="E874" s="12" t="n">
        <v>34</v>
      </c>
      <c r="F874" s="12" t="n">
        <v>3180</v>
      </c>
      <c r="G874" s="9" t="n">
        <v>5</v>
      </c>
      <c r="H874" s="12" t="n">
        <v>102</v>
      </c>
    </row>
    <row r="875">
      <c r="A875" s="1" t="n">
        <v>915</v>
      </c>
      <c r="B875" s="2" t="inlineStr">
        <is>
          <t>Morocco</t>
        </is>
      </c>
      <c r="C875" s="2" t="inlineStr">
        <is>
          <t>Brahim Díaz</t>
        </is>
      </c>
      <c r="D875" s="2" t="inlineStr">
        <is>
          <t>Avançado</t>
        </is>
      </c>
      <c r="E875" s="12" t="n">
        <v>34</v>
      </c>
      <c r="F875" s="12" t="n">
        <v>3180</v>
      </c>
      <c r="G875" s="7" t="n">
        <v>17</v>
      </c>
      <c r="H875" s="12" t="n">
        <v>414</v>
      </c>
    </row>
    <row r="876">
      <c r="A876" s="1" t="n">
        <v>916</v>
      </c>
      <c r="B876" s="2" t="inlineStr">
        <is>
          <t>Morocco</t>
        </is>
      </c>
      <c r="C876" s="2" t="inlineStr">
        <is>
          <t>Gessime Yassine</t>
        </is>
      </c>
      <c r="D876" s="2" t="inlineStr">
        <is>
          <t>Avançado</t>
        </is>
      </c>
      <c r="E876" s="12" t="n">
        <v>34</v>
      </c>
      <c r="F876" s="12" t="n">
        <v>3180</v>
      </c>
      <c r="G876" s="9" t="n">
        <v>4</v>
      </c>
      <c r="H876" s="12" t="n">
        <v>138</v>
      </c>
    </row>
    <row r="877">
      <c r="A877" s="1" t="n">
        <v>917</v>
      </c>
      <c r="B877" s="2" t="inlineStr">
        <is>
          <t>Morocco</t>
        </is>
      </c>
      <c r="C877" s="2" t="inlineStr">
        <is>
          <t>Ayoub Kaabi</t>
        </is>
      </c>
      <c r="D877" s="2" t="inlineStr">
        <is>
          <t>Avançado</t>
        </is>
      </c>
      <c r="E877" s="12" t="n">
        <v>34</v>
      </c>
      <c r="F877" s="12" t="n">
        <v>3180</v>
      </c>
      <c r="G877" s="7" t="n">
        <v>17</v>
      </c>
      <c r="H877" s="12" t="n">
        <v>285</v>
      </c>
    </row>
    <row r="878">
      <c r="A878" s="1" t="n">
        <v>918</v>
      </c>
      <c r="B878" s="2" t="inlineStr">
        <is>
          <t>Morocco</t>
        </is>
      </c>
      <c r="C878" s="2" t="inlineStr">
        <is>
          <t>Soufiane Rahimi</t>
        </is>
      </c>
      <c r="D878" s="2" t="inlineStr">
        <is>
          <t>Avançado</t>
        </is>
      </c>
      <c r="E878" s="12" t="n">
        <v>34</v>
      </c>
      <c r="F878" s="12" t="n">
        <v>3180</v>
      </c>
      <c r="G878" s="9" t="n">
        <v>11</v>
      </c>
      <c r="H878" s="12" t="n">
        <v>200</v>
      </c>
    </row>
    <row r="879">
      <c r="A879" s="1" t="n">
        <v>919</v>
      </c>
      <c r="B879" s="2" t="inlineStr">
        <is>
          <t>Morocco</t>
        </is>
      </c>
      <c r="C879" s="2" t="inlineStr">
        <is>
          <t>Abde Ezzalzouli</t>
        </is>
      </c>
      <c r="D879" s="2" t="inlineStr">
        <is>
          <t>Avançado</t>
        </is>
      </c>
      <c r="E879" s="12" t="n">
        <v>34</v>
      </c>
      <c r="F879" s="12" t="n">
        <v>3180</v>
      </c>
      <c r="G879" s="7" t="n"/>
      <c r="H879" s="12" t="n">
        <v>311</v>
      </c>
    </row>
    <row r="880">
      <c r="A880" s="1" t="n">
        <v>920</v>
      </c>
      <c r="B880" s="2" t="inlineStr">
        <is>
          <t>Morocco</t>
        </is>
      </c>
      <c r="C880" s="2" t="inlineStr">
        <is>
          <t>Amaimouni-Echghouyab</t>
        </is>
      </c>
      <c r="D880" s="2" t="inlineStr">
        <is>
          <t>Avançado</t>
        </is>
      </c>
      <c r="E880" s="12" t="n">
        <v>34</v>
      </c>
      <c r="F880" s="12" t="n">
        <v>3180</v>
      </c>
      <c r="G880" s="9" t="n"/>
      <c r="H880" s="12" t="n">
        <v>71</v>
      </c>
    </row>
    <row r="881">
      <c r="A881" s="1" t="n">
        <v>921</v>
      </c>
      <c r="B881" s="2" t="inlineStr">
        <is>
          <t>Mexico</t>
        </is>
      </c>
      <c r="C881" s="2" t="inlineStr">
        <is>
          <t>José Rangel</t>
        </is>
      </c>
      <c r="D881" s="2" t="inlineStr">
        <is>
          <t>Guarda Redes</t>
        </is>
      </c>
      <c r="E881" s="12" t="n">
        <v>24</v>
      </c>
      <c r="F881" s="12" t="n">
        <v>2160</v>
      </c>
      <c r="G881" s="12" t="n">
        <v>12</v>
      </c>
      <c r="H881" s="12" t="n">
        <v>990</v>
      </c>
    </row>
    <row r="882">
      <c r="A882" s="1" t="n">
        <v>922</v>
      </c>
      <c r="B882" s="2" t="inlineStr">
        <is>
          <t>Mexico</t>
        </is>
      </c>
      <c r="C882" s="2" t="inlineStr">
        <is>
          <t>Carlos Acevedo</t>
        </is>
      </c>
      <c r="D882" s="2" t="inlineStr">
        <is>
          <t>Guarda Redes</t>
        </is>
      </c>
      <c r="E882" s="12" t="n">
        <v>24</v>
      </c>
      <c r="F882" s="12" t="n">
        <v>2160</v>
      </c>
      <c r="G882" s="12" t="n">
        <v>1</v>
      </c>
      <c r="H882" s="12" t="n">
        <v>45</v>
      </c>
    </row>
    <row r="883">
      <c r="A883" s="1" t="n">
        <v>923</v>
      </c>
      <c r="B883" s="2" t="inlineStr">
        <is>
          <t>Mexico</t>
        </is>
      </c>
      <c r="C883" s="2" t="inlineStr">
        <is>
          <t>Guillermo Ochoa</t>
        </is>
      </c>
      <c r="D883" s="2" t="inlineStr">
        <is>
          <t>Guarda Redes</t>
        </is>
      </c>
      <c r="E883" s="12" t="n">
        <v>24</v>
      </c>
      <c r="F883" s="12" t="n">
        <v>2160</v>
      </c>
      <c r="G883" s="12" t="n">
        <v>1</v>
      </c>
      <c r="H883" s="12" t="n">
        <v>45</v>
      </c>
    </row>
    <row r="884">
      <c r="A884" s="1" t="n">
        <v>924</v>
      </c>
      <c r="B884" s="2" t="inlineStr">
        <is>
          <t>Mexico</t>
        </is>
      </c>
      <c r="C884" s="2" t="inlineStr">
        <is>
          <t>Jorge Sánchez</t>
        </is>
      </c>
      <c r="D884" s="2" t="inlineStr">
        <is>
          <t>Defesa</t>
        </is>
      </c>
      <c r="E884" s="12" t="n">
        <v>24</v>
      </c>
      <c r="F884" s="12" t="n">
        <v>2160</v>
      </c>
      <c r="G884" s="12" t="n">
        <v>8</v>
      </c>
      <c r="H884" s="12" t="n">
        <v>498</v>
      </c>
    </row>
    <row r="885">
      <c r="A885" s="1" t="n">
        <v>925</v>
      </c>
      <c r="B885" s="2" t="inlineStr">
        <is>
          <t>Mexico</t>
        </is>
      </c>
      <c r="C885" s="2" t="inlineStr">
        <is>
          <t>Israel Reyes</t>
        </is>
      </c>
      <c r="D885" s="2" t="inlineStr">
        <is>
          <t>Defesa</t>
        </is>
      </c>
      <c r="E885" s="12" t="n">
        <v>24</v>
      </c>
      <c r="F885" s="12" t="n">
        <v>2160</v>
      </c>
      <c r="G885" s="12" t="n">
        <v>11</v>
      </c>
      <c r="H885" s="12" t="n">
        <v>692</v>
      </c>
    </row>
    <row r="886">
      <c r="A886" s="1" t="n">
        <v>926</v>
      </c>
      <c r="B886" s="2" t="inlineStr">
        <is>
          <t>Mexico</t>
        </is>
      </c>
      <c r="C886" s="2" t="inlineStr">
        <is>
          <t>César Montes</t>
        </is>
      </c>
      <c r="D886" s="2" t="inlineStr">
        <is>
          <t>Defesa</t>
        </is>
      </c>
      <c r="E886" s="12" t="n">
        <v>24</v>
      </c>
      <c r="F886" s="12" t="n">
        <v>2160</v>
      </c>
      <c r="G886" s="12" t="n">
        <v>9</v>
      </c>
      <c r="H886" s="12" t="n">
        <v>719</v>
      </c>
    </row>
    <row r="887">
      <c r="A887" s="1" t="n">
        <v>927</v>
      </c>
      <c r="B887" s="2" t="inlineStr">
        <is>
          <t>Mexico</t>
        </is>
      </c>
      <c r="C887" s="2" t="inlineStr">
        <is>
          <t>Johan Vásquez</t>
        </is>
      </c>
      <c r="D887" s="2" t="inlineStr">
        <is>
          <t>Defesa</t>
        </is>
      </c>
      <c r="E887" s="12" t="n">
        <v>24</v>
      </c>
      <c r="F887" s="12" t="n">
        <v>2160</v>
      </c>
      <c r="G887" s="12" t="n">
        <v>11</v>
      </c>
      <c r="H887" s="12" t="n">
        <v>897</v>
      </c>
    </row>
    <row r="888">
      <c r="A888" s="1" t="n">
        <v>928</v>
      </c>
      <c r="B888" s="2" t="inlineStr">
        <is>
          <t>Mexico</t>
        </is>
      </c>
      <c r="C888" s="2" t="inlineStr">
        <is>
          <t>Mateo Chávez</t>
        </is>
      </c>
      <c r="D888" s="2" t="inlineStr">
        <is>
          <t>Defesa</t>
        </is>
      </c>
      <c r="E888" s="12" t="n">
        <v>24</v>
      </c>
      <c r="F888" s="12" t="n">
        <v>2160</v>
      </c>
      <c r="G888" s="12" t="n">
        <v>6</v>
      </c>
      <c r="H888" s="12" t="n">
        <v>351</v>
      </c>
    </row>
    <row r="889">
      <c r="A889" s="1" t="n">
        <v>929</v>
      </c>
      <c r="B889" s="2" t="inlineStr">
        <is>
          <t>Mexico</t>
        </is>
      </c>
      <c r="C889" s="2" t="inlineStr">
        <is>
          <t>Jesús Gallardo</t>
        </is>
      </c>
      <c r="D889" s="2" t="inlineStr">
        <is>
          <t>Defesa</t>
        </is>
      </c>
      <c r="E889" s="12" t="n">
        <v>24</v>
      </c>
      <c r="F889" s="12" t="n">
        <v>2160</v>
      </c>
      <c r="G889" s="12" t="n">
        <v>14</v>
      </c>
      <c r="H889" s="12" t="n">
        <v>901</v>
      </c>
    </row>
    <row r="890">
      <c r="A890" s="1" t="n">
        <v>930</v>
      </c>
      <c r="B890" s="2" t="inlineStr">
        <is>
          <t>Mexico</t>
        </is>
      </c>
      <c r="C890" s="2" t="inlineStr">
        <is>
          <t>Edson Álvarez</t>
        </is>
      </c>
      <c r="D890" s="2" t="inlineStr">
        <is>
          <t>Médio</t>
        </is>
      </c>
      <c r="E890" s="12" t="n">
        <v>24</v>
      </c>
      <c r="F890" s="12" t="n">
        <v>2160</v>
      </c>
      <c r="G890" s="12" t="n">
        <v>7</v>
      </c>
      <c r="H890" s="12" t="n">
        <v>351</v>
      </c>
    </row>
    <row r="891">
      <c r="A891" s="1" t="n">
        <v>931</v>
      </c>
      <c r="B891" s="2" t="inlineStr">
        <is>
          <t>Mexico</t>
        </is>
      </c>
      <c r="C891" s="2" t="inlineStr">
        <is>
          <t>Erik Lira</t>
        </is>
      </c>
      <c r="D891" s="2" t="inlineStr">
        <is>
          <t>Médio</t>
        </is>
      </c>
      <c r="E891" s="12" t="n">
        <v>24</v>
      </c>
      <c r="F891" s="12" t="n">
        <v>2160</v>
      </c>
      <c r="G891" s="12" t="n">
        <v>15</v>
      </c>
      <c r="H891" s="12" t="n">
        <v>998</v>
      </c>
    </row>
    <row r="892">
      <c r="A892" s="1" t="n">
        <v>932</v>
      </c>
      <c r="B892" s="2" t="inlineStr">
        <is>
          <t>Mexico</t>
        </is>
      </c>
      <c r="C892" s="2" t="inlineStr">
        <is>
          <t>Luis Chávez</t>
        </is>
      </c>
      <c r="D892" s="2" t="inlineStr">
        <is>
          <t>Médio</t>
        </is>
      </c>
      <c r="E892" s="12" t="n">
        <v>24</v>
      </c>
      <c r="F892" s="12" t="n">
        <v>2160</v>
      </c>
      <c r="G892" s="12" t="n">
        <v>4</v>
      </c>
      <c r="H892" s="12" t="n">
        <v>144</v>
      </c>
    </row>
    <row r="893">
      <c r="A893" s="1" t="n">
        <v>933</v>
      </c>
      <c r="B893" s="2" t="inlineStr">
        <is>
          <t>Mexico</t>
        </is>
      </c>
      <c r="C893" s="2" t="inlineStr">
        <is>
          <t>Luis Romo</t>
        </is>
      </c>
      <c r="D893" s="2" t="inlineStr">
        <is>
          <t>Médio</t>
        </is>
      </c>
      <c r="E893" s="12" t="n">
        <v>24</v>
      </c>
      <c r="F893" s="12" t="n">
        <v>2160</v>
      </c>
      <c r="G893" s="12" t="n">
        <v>7</v>
      </c>
      <c r="H893" s="12" t="n">
        <v>354</v>
      </c>
    </row>
    <row r="894">
      <c r="A894" s="1" t="n">
        <v>934</v>
      </c>
      <c r="B894" s="2" t="inlineStr">
        <is>
          <t>Mexico</t>
        </is>
      </c>
      <c r="C894" s="2" t="inlineStr">
        <is>
          <t>Álvaro Fidalgo</t>
        </is>
      </c>
      <c r="D894" s="2" t="inlineStr">
        <is>
          <t>Médio</t>
        </is>
      </c>
      <c r="E894" s="12" t="n">
        <v>24</v>
      </c>
      <c r="F894" s="12" t="n">
        <v>2160</v>
      </c>
      <c r="G894" s="12" t="n">
        <v>5</v>
      </c>
      <c r="H894" s="12" t="n">
        <v>314</v>
      </c>
    </row>
    <row r="895">
      <c r="A895" s="1" t="n">
        <v>935</v>
      </c>
      <c r="B895" s="2" t="inlineStr">
        <is>
          <t>Mexico</t>
        </is>
      </c>
      <c r="C895" s="2" t="inlineStr">
        <is>
          <t>Orbelín Pineda</t>
        </is>
      </c>
      <c r="D895" s="2" t="inlineStr">
        <is>
          <t>Médio</t>
        </is>
      </c>
      <c r="E895" s="12" t="n">
        <v>24</v>
      </c>
      <c r="F895" s="12" t="n">
        <v>2160</v>
      </c>
      <c r="G895" s="12" t="n">
        <v>7</v>
      </c>
      <c r="H895" s="12" t="n">
        <v>364</v>
      </c>
    </row>
    <row r="896">
      <c r="A896" s="1" t="n">
        <v>936</v>
      </c>
      <c r="B896" s="2" t="inlineStr">
        <is>
          <t>Mexico</t>
        </is>
      </c>
      <c r="C896" s="2" t="inlineStr">
        <is>
          <t>Obed Vargas</t>
        </is>
      </c>
      <c r="D896" s="2" t="inlineStr">
        <is>
          <t>Médio</t>
        </is>
      </c>
      <c r="E896" s="12" t="n">
        <v>24</v>
      </c>
      <c r="F896" s="12" t="n">
        <v>2160</v>
      </c>
      <c r="G896" s="12" t="n">
        <v>5</v>
      </c>
      <c r="H896" s="12" t="n">
        <v>164</v>
      </c>
    </row>
    <row r="897">
      <c r="A897" s="1" t="n">
        <v>937</v>
      </c>
      <c r="B897" s="2" t="inlineStr">
        <is>
          <t>Mexico</t>
        </is>
      </c>
      <c r="C897" s="2" t="inlineStr">
        <is>
          <t>Gilberto Mora</t>
        </is>
      </c>
      <c r="D897" s="2" t="inlineStr">
        <is>
          <t>Médio</t>
        </is>
      </c>
      <c r="E897" s="12" t="n">
        <v>24</v>
      </c>
      <c r="F897" s="12" t="n">
        <v>2160</v>
      </c>
      <c r="G897" s="12" t="n">
        <v>6</v>
      </c>
      <c r="H897" s="12" t="n">
        <v>242</v>
      </c>
    </row>
    <row r="898">
      <c r="A898" s="1" t="n">
        <v>938</v>
      </c>
      <c r="B898" s="2" t="inlineStr">
        <is>
          <t>Mexico</t>
        </is>
      </c>
      <c r="C898" s="2" t="inlineStr">
        <is>
          <t>Roberto Alvarado</t>
        </is>
      </c>
      <c r="D898" s="2" t="inlineStr">
        <is>
          <t>Avançado</t>
        </is>
      </c>
      <c r="E898" s="12" t="n">
        <v>24</v>
      </c>
      <c r="F898" s="12" t="n">
        <v>2160</v>
      </c>
      <c r="G898" s="12" t="n">
        <v>10</v>
      </c>
      <c r="H898" s="12" t="n">
        <v>591</v>
      </c>
    </row>
    <row r="899">
      <c r="A899" s="1" t="n">
        <v>939</v>
      </c>
      <c r="B899" s="2" t="inlineStr">
        <is>
          <t>Mexico</t>
        </is>
      </c>
      <c r="C899" s="2" t="inlineStr">
        <is>
          <t>Raúl Jiménez</t>
        </is>
      </c>
      <c r="D899" s="2" t="inlineStr">
        <is>
          <t>Avançado</t>
        </is>
      </c>
      <c r="E899" s="12" t="n">
        <v>24</v>
      </c>
      <c r="F899" s="12" t="n">
        <v>2160</v>
      </c>
      <c r="G899" s="12" t="n">
        <v>8</v>
      </c>
      <c r="H899" s="12" t="n">
        <v>555</v>
      </c>
    </row>
    <row r="900">
      <c r="A900" s="1" t="n">
        <v>940</v>
      </c>
      <c r="B900" s="2" t="inlineStr">
        <is>
          <t>Mexico</t>
        </is>
      </c>
      <c r="C900" s="2" t="inlineStr">
        <is>
          <t>Santiago Giménez</t>
        </is>
      </c>
      <c r="D900" s="2" t="inlineStr">
        <is>
          <t>Avançado</t>
        </is>
      </c>
      <c r="E900" s="12" t="n">
        <v>24</v>
      </c>
      <c r="F900" s="12" t="n">
        <v>2160</v>
      </c>
      <c r="G900" s="12" t="n">
        <v>5</v>
      </c>
      <c r="H900" s="12" t="n">
        <v>198</v>
      </c>
    </row>
    <row r="901">
      <c r="A901" s="1" t="n">
        <v>941</v>
      </c>
      <c r="B901" s="2" t="inlineStr">
        <is>
          <t>Mexico</t>
        </is>
      </c>
      <c r="C901" s="2" t="inlineStr">
        <is>
          <t>Armando González</t>
        </is>
      </c>
      <c r="D901" s="2" t="inlineStr">
        <is>
          <t>Avançado</t>
        </is>
      </c>
      <c r="E901" s="12" t="n">
        <v>24</v>
      </c>
      <c r="F901" s="12" t="n">
        <v>2160</v>
      </c>
      <c r="G901" s="12" t="n">
        <v>8</v>
      </c>
      <c r="H901" s="12" t="n">
        <v>262</v>
      </c>
    </row>
    <row r="902">
      <c r="A902" s="1" t="n">
        <v>942</v>
      </c>
      <c r="B902" s="2" t="inlineStr">
        <is>
          <t>Mexico</t>
        </is>
      </c>
      <c r="C902" s="2" t="inlineStr">
        <is>
          <t>Julián Quiñones</t>
        </is>
      </c>
      <c r="D902" s="2" t="inlineStr">
        <is>
          <t>Avançado</t>
        </is>
      </c>
      <c r="E902" s="12" t="n">
        <v>24</v>
      </c>
      <c r="F902" s="12" t="n">
        <v>2160</v>
      </c>
      <c r="G902" s="12" t="n">
        <v>7</v>
      </c>
      <c r="H902" s="12" t="n">
        <v>379</v>
      </c>
    </row>
    <row r="903">
      <c r="A903" s="1" t="n">
        <v>943</v>
      </c>
      <c r="B903" s="2" t="inlineStr">
        <is>
          <t>Mexico</t>
        </is>
      </c>
      <c r="C903" s="2" t="inlineStr">
        <is>
          <t>Guillermo Martínez</t>
        </is>
      </c>
      <c r="D903" s="2" t="inlineStr">
        <is>
          <t>Avançado</t>
        </is>
      </c>
      <c r="E903" s="12" t="n">
        <v>24</v>
      </c>
      <c r="F903" s="12" t="n">
        <v>2160</v>
      </c>
      <c r="G903" s="12" t="n">
        <v>4</v>
      </c>
      <c r="H903" s="12" t="n">
        <v>146</v>
      </c>
    </row>
    <row r="904">
      <c r="A904" s="1" t="n">
        <v>944</v>
      </c>
      <c r="B904" s="2" t="inlineStr">
        <is>
          <t>Mexico</t>
        </is>
      </c>
      <c r="C904" s="2" t="inlineStr">
        <is>
          <t>Alexis Vega</t>
        </is>
      </c>
      <c r="D904" s="2" t="inlineStr">
        <is>
          <t>Avançado</t>
        </is>
      </c>
      <c r="E904" s="12" t="n">
        <v>24</v>
      </c>
      <c r="F904" s="12" t="n">
        <v>2160</v>
      </c>
      <c r="G904" s="12" t="n">
        <v>9</v>
      </c>
      <c r="H904" s="12" t="n">
        <v>355</v>
      </c>
    </row>
    <row r="905">
      <c r="A905" s="1" t="n">
        <v>945</v>
      </c>
      <c r="B905" s="2" t="inlineStr">
        <is>
          <t>Mexico</t>
        </is>
      </c>
      <c r="C905" s="2" t="inlineStr">
        <is>
          <t>César Huerta</t>
        </is>
      </c>
      <c r="D905" s="2" t="inlineStr">
        <is>
          <t>Avançado</t>
        </is>
      </c>
      <c r="E905" s="12" t="n">
        <v>24</v>
      </c>
      <c r="F905" s="12" t="n">
        <v>2160</v>
      </c>
      <c r="G905" s="12" t="n">
        <v>2</v>
      </c>
      <c r="H905" s="12" t="n">
        <v>75</v>
      </c>
    </row>
    <row r="906">
      <c r="A906" s="1" t="n">
        <v>946</v>
      </c>
      <c r="B906" s="2" t="inlineStr">
        <is>
          <t>Mexico</t>
        </is>
      </c>
      <c r="C906" s="2" t="inlineStr">
        <is>
          <t>Brian Gutiérrez</t>
        </is>
      </c>
      <c r="D906" s="2" t="inlineStr">
        <is>
          <t>Avançado</t>
        </is>
      </c>
      <c r="E906" s="12" t="n">
        <v>24</v>
      </c>
      <c r="F906" s="12" t="n">
        <v>2160</v>
      </c>
      <c r="G906" s="12" t="n">
        <v>8</v>
      </c>
      <c r="H906" s="12" t="n">
        <v>487</v>
      </c>
    </row>
    <row r="907">
      <c r="A907" s="1" t="n">
        <v>947</v>
      </c>
      <c r="B907" s="2" t="inlineStr">
        <is>
          <t>Norway</t>
        </is>
      </c>
      <c r="C907" s="2" t="inlineStr">
        <is>
          <t>Orjan Nyland</t>
        </is>
      </c>
      <c r="D907" s="2" t="inlineStr">
        <is>
          <t>Guarda Redes</t>
        </is>
      </c>
      <c r="E907" s="12" t="n">
        <v>10</v>
      </c>
      <c r="F907" s="12" t="n">
        <v>900</v>
      </c>
      <c r="G907" s="12" t="n">
        <v>5</v>
      </c>
      <c r="H907" s="12" t="n">
        <v>387</v>
      </c>
    </row>
    <row r="908">
      <c r="A908" s="1" t="n">
        <v>948</v>
      </c>
      <c r="B908" s="2" t="inlineStr">
        <is>
          <t>Norway</t>
        </is>
      </c>
      <c r="C908" s="2" t="inlineStr">
        <is>
          <t>Sander Tangvik</t>
        </is>
      </c>
      <c r="D908" s="2" t="inlineStr">
        <is>
          <t>Guarda Redes</t>
        </is>
      </c>
      <c r="E908" s="12" t="n">
        <v>10</v>
      </c>
      <c r="F908" s="12" t="n">
        <v>900</v>
      </c>
      <c r="G908" s="12" t="n">
        <v>0</v>
      </c>
      <c r="H908" s="12" t="n">
        <v>0</v>
      </c>
    </row>
    <row r="909">
      <c r="A909" s="1" t="n">
        <v>949</v>
      </c>
      <c r="B909" s="2" t="inlineStr">
        <is>
          <t>Norway</t>
        </is>
      </c>
      <c r="C909" s="2" t="inlineStr">
        <is>
          <t>Egil Selvik</t>
        </is>
      </c>
      <c r="D909" s="2" t="inlineStr">
        <is>
          <t>Guarda Redes</t>
        </is>
      </c>
      <c r="E909" s="12" t="n">
        <v>10</v>
      </c>
      <c r="F909" s="12" t="n">
        <v>900</v>
      </c>
      <c r="G909" s="12" t="n">
        <v>3</v>
      </c>
      <c r="H909" s="12" t="n">
        <v>153</v>
      </c>
    </row>
    <row r="910">
      <c r="A910" s="1" t="n">
        <v>950</v>
      </c>
      <c r="B910" s="2" t="inlineStr">
        <is>
          <t>Norway</t>
        </is>
      </c>
      <c r="C910" s="2" t="inlineStr">
        <is>
          <t>Marcus Pedersen</t>
        </is>
      </c>
      <c r="D910" s="2" t="inlineStr">
        <is>
          <t>Defesa</t>
        </is>
      </c>
      <c r="E910" s="12" t="n">
        <v>10</v>
      </c>
      <c r="F910" s="12" t="n">
        <v>900</v>
      </c>
      <c r="G910" s="12" t="n">
        <v>3</v>
      </c>
      <c r="H910" s="12" t="n">
        <v>136</v>
      </c>
    </row>
    <row r="911">
      <c r="A911" s="1" t="n">
        <v>951</v>
      </c>
      <c r="B911" s="2" t="inlineStr">
        <is>
          <t>Norway</t>
        </is>
      </c>
      <c r="C911" s="2" t="inlineStr">
        <is>
          <t>Julian Ryerson</t>
        </is>
      </c>
      <c r="D911" s="2" t="inlineStr">
        <is>
          <t>Defesa</t>
        </is>
      </c>
      <c r="E911" s="12" t="n">
        <v>10</v>
      </c>
      <c r="F911" s="12" t="n">
        <v>900</v>
      </c>
      <c r="G911" s="12" t="n">
        <v>5</v>
      </c>
      <c r="H911" s="12" t="n">
        <v>378</v>
      </c>
    </row>
    <row r="912">
      <c r="A912" s="1" t="n">
        <v>952</v>
      </c>
      <c r="B912" s="2" t="inlineStr">
        <is>
          <t>Norway</t>
        </is>
      </c>
      <c r="C912" s="2" t="inlineStr">
        <is>
          <t>Kristoffer Ajer</t>
        </is>
      </c>
      <c r="D912" s="2" t="inlineStr">
        <is>
          <t>Defesa</t>
        </is>
      </c>
      <c r="E912" s="12" t="n">
        <v>10</v>
      </c>
      <c r="F912" s="12" t="n">
        <v>900</v>
      </c>
      <c r="G912" s="12" t="n">
        <v>5</v>
      </c>
      <c r="H912" s="12" t="n">
        <v>390</v>
      </c>
    </row>
    <row r="913">
      <c r="A913" s="1" t="n">
        <v>953</v>
      </c>
      <c r="B913" s="2" t="inlineStr">
        <is>
          <t>Norway</t>
        </is>
      </c>
      <c r="C913" s="2" t="inlineStr">
        <is>
          <t>Leo Ostigard</t>
        </is>
      </c>
      <c r="D913" s="2" t="inlineStr">
        <is>
          <t>Defesa</t>
        </is>
      </c>
      <c r="E913" s="12" t="n">
        <v>10</v>
      </c>
      <c r="F913" s="12" t="n">
        <v>900</v>
      </c>
      <c r="G913" s="12" t="n">
        <v>5</v>
      </c>
      <c r="H913" s="12" t="n">
        <v>236</v>
      </c>
    </row>
    <row r="914">
      <c r="A914" s="1" t="n">
        <v>954</v>
      </c>
      <c r="B914" s="2" t="inlineStr">
        <is>
          <t>Norway</t>
        </is>
      </c>
      <c r="C914" s="2" t="inlineStr">
        <is>
          <t>Torbjorn Heggem</t>
        </is>
      </c>
      <c r="D914" s="2" t="inlineStr">
        <is>
          <t>Defesa</t>
        </is>
      </c>
      <c r="E914" s="12" t="n">
        <v>10</v>
      </c>
      <c r="F914" s="12" t="n">
        <v>900</v>
      </c>
      <c r="G914" s="12" t="n">
        <v>4</v>
      </c>
      <c r="H914" s="12" t="n">
        <v>246</v>
      </c>
    </row>
    <row r="915">
      <c r="A915" s="1" t="n">
        <v>955</v>
      </c>
      <c r="B915" s="2" t="inlineStr">
        <is>
          <t>Norway</t>
        </is>
      </c>
      <c r="C915" s="2" t="inlineStr">
        <is>
          <t>Sondre Langas</t>
        </is>
      </c>
      <c r="D915" s="2" t="inlineStr">
        <is>
          <t>Defesa</t>
        </is>
      </c>
      <c r="E915" s="12" t="n">
        <v>10</v>
      </c>
      <c r="F915" s="12" t="n">
        <v>900</v>
      </c>
      <c r="G915" s="12" t="n">
        <v>1</v>
      </c>
      <c r="H915" s="12" t="n">
        <v>27</v>
      </c>
    </row>
    <row r="916">
      <c r="A916" s="1" t="n">
        <v>956</v>
      </c>
      <c r="B916" s="2" t="inlineStr">
        <is>
          <t>Norway</t>
        </is>
      </c>
      <c r="C916" s="2" t="inlineStr">
        <is>
          <t>Henrik Falchener</t>
        </is>
      </c>
      <c r="D916" s="2" t="inlineStr">
        <is>
          <t>Defesa</t>
        </is>
      </c>
      <c r="E916" s="12" t="n">
        <v>10</v>
      </c>
      <c r="F916" s="12" t="n">
        <v>900</v>
      </c>
      <c r="G916" s="12" t="n">
        <v>1</v>
      </c>
      <c r="H916" s="12" t="n">
        <v>15</v>
      </c>
    </row>
    <row r="917">
      <c r="A917" s="1" t="n">
        <v>957</v>
      </c>
      <c r="B917" s="2" t="inlineStr">
        <is>
          <t>Norway</t>
        </is>
      </c>
      <c r="C917" s="2" t="inlineStr">
        <is>
          <t>David Wolfe</t>
        </is>
      </c>
      <c r="D917" s="2" t="inlineStr">
        <is>
          <t>Defesa</t>
        </is>
      </c>
      <c r="E917" s="12" t="n">
        <v>10</v>
      </c>
      <c r="F917" s="12" t="n">
        <v>900</v>
      </c>
      <c r="G917" s="12" t="n">
        <v>6</v>
      </c>
      <c r="H917" s="12" t="n">
        <v>379</v>
      </c>
    </row>
    <row r="918">
      <c r="A918" s="1" t="n">
        <v>958</v>
      </c>
      <c r="B918" s="2" t="inlineStr">
        <is>
          <t>Norway</t>
        </is>
      </c>
      <c r="C918" s="2" t="inlineStr">
        <is>
          <t>Fredrik Bjorkan</t>
        </is>
      </c>
      <c r="D918" s="2" t="inlineStr">
        <is>
          <t>Defesa</t>
        </is>
      </c>
      <c r="E918" s="12" t="n">
        <v>10</v>
      </c>
      <c r="F918" s="12" t="n">
        <v>900</v>
      </c>
      <c r="G918" s="12" t="n">
        <v>5</v>
      </c>
      <c r="H918" s="12" t="n">
        <v>132</v>
      </c>
    </row>
    <row r="919">
      <c r="A919" s="1" t="n">
        <v>959</v>
      </c>
      <c r="B919" s="2" t="inlineStr">
        <is>
          <t>Norway</t>
        </is>
      </c>
      <c r="C919" s="2" t="inlineStr">
        <is>
          <t>Morten Thorsby</t>
        </is>
      </c>
      <c r="D919" s="2" t="inlineStr">
        <is>
          <t>Médio</t>
        </is>
      </c>
      <c r="E919" s="12" t="n">
        <v>10</v>
      </c>
      <c r="F919" s="12" t="n">
        <v>900</v>
      </c>
      <c r="G919" s="12" t="n">
        <v>3</v>
      </c>
      <c r="H919" s="12" t="n">
        <v>147</v>
      </c>
    </row>
    <row r="920">
      <c r="A920" s="1" t="n">
        <v>960</v>
      </c>
      <c r="B920" s="2" t="inlineStr">
        <is>
          <t>Norway</t>
        </is>
      </c>
      <c r="C920" s="2" t="inlineStr">
        <is>
          <t>Patrick Berg</t>
        </is>
      </c>
      <c r="D920" s="2" t="inlineStr">
        <is>
          <t>Médio</t>
        </is>
      </c>
      <c r="E920" s="12" t="n">
        <v>10</v>
      </c>
      <c r="F920" s="12" t="n">
        <v>900</v>
      </c>
      <c r="G920" s="12" t="n">
        <v>6</v>
      </c>
      <c r="H920" s="12" t="n">
        <v>215</v>
      </c>
    </row>
    <row r="921">
      <c r="A921" s="1" t="n">
        <v>961</v>
      </c>
      <c r="B921" s="2" t="inlineStr">
        <is>
          <t>Norway</t>
        </is>
      </c>
      <c r="C921" s="2" t="inlineStr">
        <is>
          <t>Sander Berge</t>
        </is>
      </c>
      <c r="D921" s="2" t="inlineStr">
        <is>
          <t>Médio</t>
        </is>
      </c>
      <c r="E921" s="12" t="n">
        <v>10</v>
      </c>
      <c r="F921" s="12" t="n">
        <v>900</v>
      </c>
      <c r="G921" s="12" t="n">
        <v>6</v>
      </c>
      <c r="H921" s="12" t="n">
        <v>405</v>
      </c>
    </row>
    <row r="922">
      <c r="A922" s="1" t="n">
        <v>962</v>
      </c>
      <c r="B922" s="2" t="inlineStr">
        <is>
          <t>Norway</t>
        </is>
      </c>
      <c r="C922" s="2" t="inlineStr">
        <is>
          <t>Fredrik Aursnes</t>
        </is>
      </c>
      <c r="D922" s="2" t="inlineStr">
        <is>
          <t>Médio</t>
        </is>
      </c>
      <c r="E922" s="12" t="n">
        <v>10</v>
      </c>
      <c r="F922" s="12" t="n">
        <v>900</v>
      </c>
      <c r="G922" s="12" t="n">
        <v>2</v>
      </c>
      <c r="H922" s="12" t="n">
        <v>135</v>
      </c>
    </row>
    <row r="923">
      <c r="A923" s="1" t="n">
        <v>963</v>
      </c>
      <c r="B923" s="2" t="inlineStr">
        <is>
          <t>Norway</t>
        </is>
      </c>
      <c r="C923" s="2" t="inlineStr">
        <is>
          <t>Martin Odegaard</t>
        </is>
      </c>
      <c r="D923" s="2" t="inlineStr">
        <is>
          <t>Médio</t>
        </is>
      </c>
      <c r="E923" s="12" t="n">
        <v>10</v>
      </c>
      <c r="F923" s="12" t="n">
        <v>900</v>
      </c>
      <c r="G923" s="12" t="n">
        <v>2</v>
      </c>
      <c r="H923" s="12" t="n">
        <v>125</v>
      </c>
    </row>
    <row r="924">
      <c r="A924" s="1" t="n">
        <v>964</v>
      </c>
      <c r="B924" s="2" t="inlineStr">
        <is>
          <t>Norway</t>
        </is>
      </c>
      <c r="C924" s="2" t="inlineStr">
        <is>
          <t>Kristian Thorstvedt</t>
        </is>
      </c>
      <c r="D924" s="2" t="inlineStr">
        <is>
          <t>Médio</t>
        </is>
      </c>
      <c r="E924" s="12" t="n">
        <v>10</v>
      </c>
      <c r="F924" s="12" t="n">
        <v>900</v>
      </c>
      <c r="G924" s="12" t="n">
        <v>4</v>
      </c>
      <c r="H924" s="12" t="n">
        <v>108</v>
      </c>
    </row>
    <row r="925">
      <c r="A925" s="1" t="n">
        <v>965</v>
      </c>
      <c r="B925" s="2" t="inlineStr">
        <is>
          <t>Norway</t>
        </is>
      </c>
      <c r="C925" s="2" t="inlineStr">
        <is>
          <t>Thelo Aasgaard</t>
        </is>
      </c>
      <c r="D925" s="2" t="inlineStr">
        <is>
          <t>Médio</t>
        </is>
      </c>
      <c r="E925" s="12" t="n">
        <v>10</v>
      </c>
      <c r="F925" s="12" t="n">
        <v>900</v>
      </c>
      <c r="G925" s="12" t="n">
        <v>4</v>
      </c>
      <c r="H925" s="12" t="n">
        <v>154</v>
      </c>
    </row>
    <row r="926">
      <c r="A926" s="1" t="n">
        <v>966</v>
      </c>
      <c r="B926" s="2" t="inlineStr">
        <is>
          <t>Norway</t>
        </is>
      </c>
      <c r="C926" s="2" t="inlineStr">
        <is>
          <t>Oscar Bobb</t>
        </is>
      </c>
      <c r="D926" s="2" t="inlineStr">
        <is>
          <t>Avançado</t>
        </is>
      </c>
      <c r="E926" s="12" t="n">
        <v>10</v>
      </c>
      <c r="F926" s="12" t="n">
        <v>900</v>
      </c>
      <c r="G926" s="12" t="n">
        <v>6</v>
      </c>
      <c r="H926" s="12" t="n">
        <v>370</v>
      </c>
    </row>
    <row r="927">
      <c r="A927" s="1" t="n">
        <v>967</v>
      </c>
      <c r="B927" s="2" t="inlineStr">
        <is>
          <t>Norway</t>
        </is>
      </c>
      <c r="C927" s="2" t="inlineStr">
        <is>
          <t>Alexander Sorloth</t>
        </is>
      </c>
      <c r="D927" s="2" t="inlineStr">
        <is>
          <t>Avançado</t>
        </is>
      </c>
      <c r="E927" s="12" t="n">
        <v>10</v>
      </c>
      <c r="F927" s="12" t="n">
        <v>900</v>
      </c>
      <c r="G927" s="12" t="n">
        <v>5</v>
      </c>
      <c r="H927" s="12" t="n">
        <v>313</v>
      </c>
    </row>
    <row r="928">
      <c r="A928" s="1" t="n">
        <v>968</v>
      </c>
      <c r="B928" s="2" t="inlineStr">
        <is>
          <t>Norway</t>
        </is>
      </c>
      <c r="C928" s="2" t="inlineStr">
        <is>
          <t>Erling Haaland</t>
        </is>
      </c>
      <c r="D928" s="2" t="inlineStr">
        <is>
          <t>Avançado</t>
        </is>
      </c>
      <c r="E928" s="12" t="n">
        <v>10</v>
      </c>
      <c r="F928" s="12" t="n">
        <v>900</v>
      </c>
      <c r="G928" s="12" t="n">
        <v>3</v>
      </c>
      <c r="H928" s="12" t="n">
        <v>180</v>
      </c>
    </row>
    <row r="929">
      <c r="A929" s="1" t="n">
        <v>969</v>
      </c>
      <c r="B929" s="2" t="inlineStr">
        <is>
          <t>Norway</t>
        </is>
      </c>
      <c r="C929" s="2" t="inlineStr">
        <is>
          <t>Strand Larsen</t>
        </is>
      </c>
      <c r="D929" s="2" t="inlineStr">
        <is>
          <t>Avançado</t>
        </is>
      </c>
      <c r="E929" s="12" t="n">
        <v>10</v>
      </c>
      <c r="F929" s="12" t="n">
        <v>900</v>
      </c>
      <c r="G929" s="12" t="n">
        <v>5</v>
      </c>
      <c r="H929" s="12" t="n">
        <v>262</v>
      </c>
    </row>
    <row r="930">
      <c r="A930" s="1" t="n">
        <v>970</v>
      </c>
      <c r="B930" s="2" t="inlineStr">
        <is>
          <t>Norway</t>
        </is>
      </c>
      <c r="C930" s="2" t="inlineStr">
        <is>
          <t>Antonio Nusa</t>
        </is>
      </c>
      <c r="D930" s="2" t="inlineStr">
        <is>
          <t>Avançado</t>
        </is>
      </c>
      <c r="E930" s="12" t="n">
        <v>10</v>
      </c>
      <c r="F930" s="12" t="n">
        <v>900</v>
      </c>
      <c r="G930" s="12" t="n">
        <v>5</v>
      </c>
      <c r="H930" s="12" t="n">
        <v>241</v>
      </c>
    </row>
    <row r="931">
      <c r="A931" s="1" t="n">
        <v>971</v>
      </c>
      <c r="B931" s="2" t="inlineStr">
        <is>
          <t>Norway</t>
        </is>
      </c>
      <c r="C931" s="2" t="inlineStr">
        <is>
          <t>Andreas Schjelderup</t>
        </is>
      </c>
      <c r="D931" s="2" t="inlineStr">
        <is>
          <t>Avançado</t>
        </is>
      </c>
      <c r="E931" s="12" t="n">
        <v>10</v>
      </c>
      <c r="F931" s="12" t="n">
        <v>900</v>
      </c>
      <c r="G931" s="12" t="n">
        <v>6</v>
      </c>
      <c r="H931" s="12" t="n">
        <v>308</v>
      </c>
    </row>
    <row r="932">
      <c r="A932" s="1" t="n">
        <v>972</v>
      </c>
      <c r="B932" s="2" t="inlineStr">
        <is>
          <t>Norway</t>
        </is>
      </c>
      <c r="C932" s="2" t="inlineStr">
        <is>
          <t>Jens Petter Hauge</t>
        </is>
      </c>
      <c r="D932" s="2" t="inlineStr">
        <is>
          <t>Avançado</t>
        </is>
      </c>
      <c r="E932" s="12" t="n">
        <v>10</v>
      </c>
      <c r="F932" s="12" t="n">
        <v>900</v>
      </c>
      <c r="G932" s="12" t="n">
        <v>2</v>
      </c>
      <c r="H932" s="12" t="n">
        <v>53</v>
      </c>
    </row>
    <row r="933">
      <c r="A933" s="1" t="n">
        <v>973</v>
      </c>
      <c r="B933" s="2" t="inlineStr">
        <is>
          <t>New Zealand</t>
        </is>
      </c>
      <c r="C933" s="2" t="inlineStr">
        <is>
          <t>Max Crocombe</t>
        </is>
      </c>
      <c r="D933" s="2" t="inlineStr">
        <is>
          <t>Guarda Redes</t>
        </is>
      </c>
      <c r="E933" s="11" t="n">
        <v>13</v>
      </c>
      <c r="F933" s="11" t="n">
        <v>1170</v>
      </c>
      <c r="G933" s="11" t="n">
        <v>10</v>
      </c>
      <c r="H933" s="12" t="n">
        <v>579</v>
      </c>
    </row>
    <row r="934">
      <c r="A934" s="1" t="n">
        <v>974</v>
      </c>
      <c r="B934" s="2" t="inlineStr">
        <is>
          <t>New Zealand</t>
        </is>
      </c>
      <c r="C934" s="2" t="inlineStr">
        <is>
          <t>Alex Paulsen</t>
        </is>
      </c>
      <c r="D934" s="2" t="inlineStr">
        <is>
          <t>Guarda Redes</t>
        </is>
      </c>
      <c r="E934" s="11" t="n">
        <v>13</v>
      </c>
      <c r="F934" s="11" t="n">
        <v>1170</v>
      </c>
      <c r="G934" s="11" t="n">
        <v>4</v>
      </c>
      <c r="H934" s="12" t="n">
        <v>321</v>
      </c>
    </row>
    <row r="935">
      <c r="A935" s="1" t="n">
        <v>975</v>
      </c>
      <c r="B935" s="2" t="inlineStr">
        <is>
          <t>New Zealand</t>
        </is>
      </c>
      <c r="C935" s="2" t="inlineStr">
        <is>
          <t>Michael Woud</t>
        </is>
      </c>
      <c r="D935" s="2" t="inlineStr">
        <is>
          <t>Guarda Redes</t>
        </is>
      </c>
      <c r="E935" s="11" t="n">
        <v>13</v>
      </c>
      <c r="F935" s="11" t="n">
        <v>1170</v>
      </c>
      <c r="G935" s="11" t="n">
        <v>0</v>
      </c>
      <c r="H935" s="12" t="n">
        <v>0</v>
      </c>
    </row>
    <row r="936">
      <c r="A936" s="1" t="n">
        <v>976</v>
      </c>
      <c r="B936" s="2" t="inlineStr">
        <is>
          <t>New Zealand</t>
        </is>
      </c>
      <c r="C936" s="2" t="inlineStr">
        <is>
          <t>Tim Payne</t>
        </is>
      </c>
      <c r="D936" s="2" t="inlineStr">
        <is>
          <t>Defesa</t>
        </is>
      </c>
      <c r="E936" s="11" t="n">
        <v>13</v>
      </c>
      <c r="F936" s="11" t="n">
        <v>1170</v>
      </c>
      <c r="G936" s="11" t="n">
        <v>9</v>
      </c>
      <c r="H936" s="12" t="n">
        <v>536</v>
      </c>
    </row>
    <row r="937">
      <c r="A937" s="1" t="n">
        <v>977</v>
      </c>
      <c r="B937" s="2" t="inlineStr">
        <is>
          <t>New Zealand</t>
        </is>
      </c>
      <c r="C937" s="2" t="inlineStr">
        <is>
          <t>Callan Elliot</t>
        </is>
      </c>
      <c r="D937" s="2" t="inlineStr">
        <is>
          <t>Defesa</t>
        </is>
      </c>
      <c r="E937" s="11" t="n">
        <v>13</v>
      </c>
      <c r="F937" s="11" t="n">
        <v>1170</v>
      </c>
      <c r="G937" s="11" t="n">
        <v>7</v>
      </c>
      <c r="H937" s="12" t="n">
        <v>150</v>
      </c>
    </row>
    <row r="938">
      <c r="A938" s="1" t="n">
        <v>978</v>
      </c>
      <c r="B938" s="2" t="inlineStr">
        <is>
          <t>New Zealand</t>
        </is>
      </c>
      <c r="C938" s="2" t="inlineStr">
        <is>
          <t>Tyler Bindon</t>
        </is>
      </c>
      <c r="D938" s="2" t="inlineStr">
        <is>
          <t>Defesa</t>
        </is>
      </c>
      <c r="E938" s="11" t="n">
        <v>13</v>
      </c>
      <c r="F938" s="11" t="n">
        <v>1170</v>
      </c>
      <c r="G938" s="11" t="n">
        <v>11</v>
      </c>
      <c r="H938" s="12" t="n">
        <v>527</v>
      </c>
    </row>
    <row r="939">
      <c r="A939" s="1" t="n">
        <v>979</v>
      </c>
      <c r="B939" s="2" t="inlineStr">
        <is>
          <t>New Zealand</t>
        </is>
      </c>
      <c r="C939" s="2" t="inlineStr">
        <is>
          <t>Michael Boxall</t>
        </is>
      </c>
      <c r="D939" s="2" t="inlineStr">
        <is>
          <t>Defesa</t>
        </is>
      </c>
      <c r="E939" s="11" t="n">
        <v>13</v>
      </c>
      <c r="F939" s="11" t="n">
        <v>1170</v>
      </c>
      <c r="G939" s="11" t="n">
        <v>9</v>
      </c>
      <c r="H939" s="12" t="n">
        <v>490</v>
      </c>
    </row>
    <row r="940">
      <c r="A940" s="1" t="n">
        <v>980</v>
      </c>
      <c r="B940" s="2" t="inlineStr">
        <is>
          <t>New Zealand</t>
        </is>
      </c>
      <c r="C940" s="2" t="inlineStr">
        <is>
          <t>Nando Pijnaker</t>
        </is>
      </c>
      <c r="D940" s="2" t="inlineStr">
        <is>
          <t>Defesa</t>
        </is>
      </c>
      <c r="E940" s="11" t="n">
        <v>13</v>
      </c>
      <c r="F940" s="11" t="n">
        <v>1170</v>
      </c>
      <c r="G940" s="11" t="n">
        <v>1</v>
      </c>
      <c r="H940" s="12" t="n">
        <v>31</v>
      </c>
    </row>
    <row r="941">
      <c r="A941" s="1" t="n">
        <v>981</v>
      </c>
      <c r="B941" s="2" t="inlineStr">
        <is>
          <t>New Zealand</t>
        </is>
      </c>
      <c r="C941" s="2" t="inlineStr">
        <is>
          <t>Finn Surman</t>
        </is>
      </c>
      <c r="D941" s="2" t="inlineStr">
        <is>
          <t>Defesa</t>
        </is>
      </c>
      <c r="E941" s="11" t="n">
        <v>13</v>
      </c>
      <c r="F941" s="11" t="n">
        <v>1170</v>
      </c>
      <c r="G941" s="11" t="n">
        <v>11</v>
      </c>
      <c r="H941" s="12" t="n">
        <v>794</v>
      </c>
    </row>
    <row r="942">
      <c r="A942" s="1" t="n">
        <v>982</v>
      </c>
      <c r="B942" s="2" t="inlineStr">
        <is>
          <t>New Zealand</t>
        </is>
      </c>
      <c r="C942" s="2" t="inlineStr">
        <is>
          <t>Tommy Smith</t>
        </is>
      </c>
      <c r="D942" s="2" t="inlineStr">
        <is>
          <t>Defesa</t>
        </is>
      </c>
      <c r="E942" s="11" t="n">
        <v>13</v>
      </c>
      <c r="F942" s="11" t="n">
        <v>1170</v>
      </c>
      <c r="G942" s="11" t="n">
        <v>0</v>
      </c>
      <c r="H942" s="12" t="n">
        <v>0</v>
      </c>
    </row>
    <row r="943">
      <c r="A943" s="1" t="n">
        <v>983</v>
      </c>
      <c r="B943" s="2" t="inlineStr">
        <is>
          <t>New Zealand</t>
        </is>
      </c>
      <c r="C943" s="2" t="inlineStr">
        <is>
          <t>Francis De Vries</t>
        </is>
      </c>
      <c r="D943" s="2" t="inlineStr">
        <is>
          <t>Defesa</t>
        </is>
      </c>
      <c r="E943" s="11" t="n">
        <v>13</v>
      </c>
      <c r="F943" s="11" t="n">
        <v>1170</v>
      </c>
      <c r="G943" s="11" t="n">
        <v>11</v>
      </c>
      <c r="H943" s="12" t="n">
        <v>586</v>
      </c>
    </row>
    <row r="944">
      <c r="A944" s="1" t="n">
        <v>984</v>
      </c>
      <c r="B944" s="2" t="inlineStr">
        <is>
          <t>New Zealand</t>
        </is>
      </c>
      <c r="C944" s="2" t="inlineStr">
        <is>
          <t>Liberato Cacace</t>
        </is>
      </c>
      <c r="D944" s="2" t="inlineStr">
        <is>
          <t>Defesa</t>
        </is>
      </c>
      <c r="E944" s="11" t="n">
        <v>13</v>
      </c>
      <c r="F944" s="11" t="n">
        <v>1170</v>
      </c>
      <c r="G944" s="11" t="n">
        <v>5</v>
      </c>
      <c r="H944" s="12" t="n">
        <v>106</v>
      </c>
    </row>
    <row r="945">
      <c r="A945" s="1" t="n">
        <v>985</v>
      </c>
      <c r="B945" s="2" t="inlineStr">
        <is>
          <t>New Zealand</t>
        </is>
      </c>
      <c r="C945" s="2" t="inlineStr">
        <is>
          <t>Joe Bell</t>
        </is>
      </c>
      <c r="D945" s="2" t="inlineStr">
        <is>
          <t>Médio</t>
        </is>
      </c>
      <c r="E945" s="11" t="n">
        <v>13</v>
      </c>
      <c r="F945" s="11" t="n">
        <v>1170</v>
      </c>
      <c r="G945" s="11" t="n">
        <v>9</v>
      </c>
      <c r="H945" s="12" t="n">
        <v>397</v>
      </c>
    </row>
    <row r="946">
      <c r="A946" s="1" t="n">
        <v>986</v>
      </c>
      <c r="B946" s="2" t="inlineStr">
        <is>
          <t>New Zealand</t>
        </is>
      </c>
      <c r="C946" s="2" t="inlineStr">
        <is>
          <t>Marko Stamenic</t>
        </is>
      </c>
      <c r="D946" s="2" t="inlineStr">
        <is>
          <t>Médio</t>
        </is>
      </c>
      <c r="E946" s="11" t="n">
        <v>13</v>
      </c>
      <c r="F946" s="11" t="n">
        <v>1170</v>
      </c>
      <c r="G946" s="11" t="n">
        <v>11</v>
      </c>
      <c r="H946" s="12" t="n">
        <v>665</v>
      </c>
    </row>
    <row r="947">
      <c r="A947" s="1" t="n">
        <v>987</v>
      </c>
      <c r="B947" s="2" t="inlineStr">
        <is>
          <t>New Zealand</t>
        </is>
      </c>
      <c r="C947" s="2" t="inlineStr">
        <is>
          <t>Alex Rufer</t>
        </is>
      </c>
      <c r="D947" s="2" t="inlineStr">
        <is>
          <t>Médio</t>
        </is>
      </c>
      <c r="E947" s="11" t="n">
        <v>13</v>
      </c>
      <c r="F947" s="11" t="n">
        <v>1170</v>
      </c>
      <c r="G947" s="11" t="n">
        <v>7</v>
      </c>
      <c r="H947" s="12" t="n">
        <v>247</v>
      </c>
    </row>
    <row r="948">
      <c r="A948" s="1" t="n">
        <v>988</v>
      </c>
      <c r="B948" s="2" t="inlineStr">
        <is>
          <t>New Zealand</t>
        </is>
      </c>
      <c r="C948" s="2" t="inlineStr">
        <is>
          <t>Ryan Thomas</t>
        </is>
      </c>
      <c r="D948" s="2" t="inlineStr">
        <is>
          <t>Médio</t>
        </is>
      </c>
      <c r="E948" s="11" t="n">
        <v>13</v>
      </c>
      <c r="F948" s="11" t="n">
        <v>1170</v>
      </c>
      <c r="G948" s="11" t="n">
        <v>6</v>
      </c>
      <c r="H948" s="12" t="n">
        <v>371</v>
      </c>
    </row>
    <row r="949">
      <c r="A949" s="1" t="n">
        <v>989</v>
      </c>
      <c r="B949" s="2" t="inlineStr">
        <is>
          <t>New Zealand</t>
        </is>
      </c>
      <c r="C949" s="2" t="inlineStr">
        <is>
          <t>Lachlan Bayliss</t>
        </is>
      </c>
      <c r="D949" s="2" t="inlineStr">
        <is>
          <t>Médio</t>
        </is>
      </c>
      <c r="E949" s="11" t="n">
        <v>13</v>
      </c>
      <c r="F949" s="11" t="n">
        <v>1170</v>
      </c>
      <c r="G949" s="11" t="n">
        <v>3</v>
      </c>
      <c r="H949" s="12" t="n">
        <v>75</v>
      </c>
    </row>
    <row r="950">
      <c r="A950" s="1" t="n">
        <v>990</v>
      </c>
      <c r="B950" s="2" t="inlineStr">
        <is>
          <t>New Zealand</t>
        </is>
      </c>
      <c r="C950" s="2" t="inlineStr">
        <is>
          <t>Matthew Garbett</t>
        </is>
      </c>
      <c r="D950" s="2" t="inlineStr">
        <is>
          <t>Médio</t>
        </is>
      </c>
      <c r="E950" s="11" t="n">
        <v>13</v>
      </c>
      <c r="F950" s="11" t="n">
        <v>1170</v>
      </c>
      <c r="G950" s="11" t="n">
        <v>9</v>
      </c>
      <c r="H950" s="12" t="n">
        <v>335</v>
      </c>
    </row>
    <row r="951">
      <c r="A951" s="1" t="n">
        <v>991</v>
      </c>
      <c r="B951" s="2" t="inlineStr">
        <is>
          <t>New Zealand</t>
        </is>
      </c>
      <c r="C951" s="2" t="inlineStr">
        <is>
          <t>Sarpreet Singh</t>
        </is>
      </c>
      <c r="D951" s="2" t="inlineStr">
        <is>
          <t>Médio</t>
        </is>
      </c>
      <c r="E951" s="11" t="n">
        <v>13</v>
      </c>
      <c r="F951" s="11" t="n">
        <v>1170</v>
      </c>
      <c r="G951" s="11" t="n">
        <v>11</v>
      </c>
      <c r="H951" s="12" t="n">
        <v>643</v>
      </c>
    </row>
    <row r="952">
      <c r="A952" s="1" t="n">
        <v>992</v>
      </c>
      <c r="B952" s="2" t="inlineStr">
        <is>
          <t>New Zealand</t>
        </is>
      </c>
      <c r="C952" s="2" t="inlineStr">
        <is>
          <t>Elijah Just</t>
        </is>
      </c>
      <c r="D952" s="2" t="inlineStr">
        <is>
          <t>Avançado</t>
        </is>
      </c>
      <c r="E952" s="11" t="n">
        <v>13</v>
      </c>
      <c r="F952" s="11" t="n">
        <v>1170</v>
      </c>
      <c r="G952" s="11" t="n">
        <v>11</v>
      </c>
      <c r="H952" s="12" t="n">
        <v>593</v>
      </c>
    </row>
    <row r="953">
      <c r="A953" s="1" t="n">
        <v>993</v>
      </c>
      <c r="B953" s="2" t="inlineStr">
        <is>
          <t>New Zealand</t>
        </is>
      </c>
      <c r="C953" s="2" t="inlineStr">
        <is>
          <t>Ben Old</t>
        </is>
      </c>
      <c r="D953" s="2" t="inlineStr">
        <is>
          <t>Avançado</t>
        </is>
      </c>
      <c r="E953" s="11" t="n">
        <v>13</v>
      </c>
      <c r="F953" s="11" t="n">
        <v>1170</v>
      </c>
      <c r="G953" s="11" t="n">
        <v>11</v>
      </c>
      <c r="H953" s="12" t="n">
        <v>484</v>
      </c>
    </row>
    <row r="954">
      <c r="A954" s="1" t="n">
        <v>994</v>
      </c>
      <c r="B954" s="2" t="inlineStr">
        <is>
          <t>New Zealand</t>
        </is>
      </c>
      <c r="C954" s="2" t="inlineStr">
        <is>
          <t>Callum Mccowatt</t>
        </is>
      </c>
      <c r="D954" s="2" t="inlineStr">
        <is>
          <t>Avançado</t>
        </is>
      </c>
      <c r="E954" s="11" t="n">
        <v>13</v>
      </c>
      <c r="F954" s="11" t="n">
        <v>1170</v>
      </c>
      <c r="G954" s="11" t="n">
        <v>10</v>
      </c>
      <c r="H954" s="12" t="n">
        <v>380</v>
      </c>
    </row>
    <row r="955">
      <c r="A955" s="1" t="n">
        <v>995</v>
      </c>
      <c r="B955" s="2" t="inlineStr">
        <is>
          <t>New Zealand</t>
        </is>
      </c>
      <c r="C955" s="2" t="inlineStr">
        <is>
          <t>Chris Wood</t>
        </is>
      </c>
      <c r="D955" s="2" t="inlineStr">
        <is>
          <t>Avançado</t>
        </is>
      </c>
      <c r="E955" s="11" t="n">
        <v>13</v>
      </c>
      <c r="F955" s="11" t="n">
        <v>1170</v>
      </c>
      <c r="G955" s="11" t="n">
        <v>9</v>
      </c>
      <c r="H955" s="12" t="n">
        <v>340</v>
      </c>
    </row>
    <row r="956">
      <c r="A956" s="1" t="n">
        <v>996</v>
      </c>
      <c r="B956" s="2" t="inlineStr">
        <is>
          <t>New Zealand</t>
        </is>
      </c>
      <c r="C956" s="2" t="inlineStr">
        <is>
          <t>Kosta Barbarouses</t>
        </is>
      </c>
      <c r="D956" s="2" t="inlineStr">
        <is>
          <t>Avançado</t>
        </is>
      </c>
      <c r="E956" s="11" t="n">
        <v>13</v>
      </c>
      <c r="F956" s="11" t="n">
        <v>1170</v>
      </c>
      <c r="G956" s="11" t="n">
        <v>10</v>
      </c>
      <c r="H956" s="12" t="n">
        <v>256</v>
      </c>
    </row>
    <row r="957">
      <c r="A957" s="1" t="n">
        <v>997</v>
      </c>
      <c r="B957" s="2" t="inlineStr">
        <is>
          <t>New Zealand</t>
        </is>
      </c>
      <c r="C957" s="2" t="inlineStr">
        <is>
          <t>Ben Waine</t>
        </is>
      </c>
      <c r="D957" s="2" t="inlineStr">
        <is>
          <t>Avançado</t>
        </is>
      </c>
      <c r="E957" s="11" t="n">
        <v>13</v>
      </c>
      <c r="F957" s="11" t="n">
        <v>1170</v>
      </c>
      <c r="G957" s="11" t="n">
        <v>9</v>
      </c>
      <c r="H957" s="12" t="n">
        <v>297</v>
      </c>
    </row>
    <row r="958">
      <c r="A958" s="1" t="n">
        <v>998</v>
      </c>
      <c r="B958" s="2" t="inlineStr">
        <is>
          <t>New Zealand</t>
        </is>
      </c>
      <c r="C958" s="2" t="inlineStr">
        <is>
          <t>Jesse Randall</t>
        </is>
      </c>
      <c r="D958" s="2" t="inlineStr">
        <is>
          <t>Avançado</t>
        </is>
      </c>
      <c r="E958" s="11" t="n">
        <v>13</v>
      </c>
      <c r="F958" s="11" t="n">
        <v>1170</v>
      </c>
      <c r="G958" s="11" t="n">
        <v>6</v>
      </c>
      <c r="H958" s="12" t="n">
        <v>263</v>
      </c>
    </row>
    <row r="959">
      <c r="A959" s="1" t="n">
        <v>999</v>
      </c>
      <c r="B959" s="2" t="inlineStr">
        <is>
          <t>Netherlands</t>
        </is>
      </c>
      <c r="C959" s="2" t="inlineStr">
        <is>
          <t>Bart Verbruggen</t>
        </is>
      </c>
      <c r="D959" s="2" t="inlineStr">
        <is>
          <t>Guarda Redes</t>
        </is>
      </c>
      <c r="E959" s="11" t="n">
        <v>13</v>
      </c>
      <c r="F959" s="11" t="n">
        <v>1170</v>
      </c>
      <c r="G959" s="11" t="n">
        <v>10</v>
      </c>
      <c r="H959" s="11" t="n">
        <v>202</v>
      </c>
    </row>
    <row r="960">
      <c r="A960" s="1" t="n">
        <v>1000</v>
      </c>
      <c r="B960" s="2" t="inlineStr">
        <is>
          <t>Netherlands</t>
        </is>
      </c>
      <c r="C960" s="2" t="inlineStr">
        <is>
          <t>Robin Roefs</t>
        </is>
      </c>
      <c r="D960" s="2" t="inlineStr">
        <is>
          <t>Guarda Redes</t>
        </is>
      </c>
      <c r="E960" s="11" t="n">
        <v>13</v>
      </c>
      <c r="F960" s="11" t="n">
        <v>1170</v>
      </c>
      <c r="G960" s="11" t="n">
        <v>1</v>
      </c>
      <c r="H960" s="11" t="n">
        <v>45</v>
      </c>
    </row>
    <row r="961">
      <c r="A961" s="1" t="n">
        <v>1001</v>
      </c>
      <c r="B961" s="2" t="inlineStr">
        <is>
          <t>Netherlands</t>
        </is>
      </c>
      <c r="C961" s="2" t="inlineStr">
        <is>
          <t>Mark Flekken</t>
        </is>
      </c>
      <c r="D961" s="2" t="inlineStr">
        <is>
          <t>Guarda Redes</t>
        </is>
      </c>
      <c r="E961" s="11" t="n">
        <v>13</v>
      </c>
      <c r="F961" s="11" t="n">
        <v>1170</v>
      </c>
      <c r="G961" s="11" t="n">
        <v>3</v>
      </c>
      <c r="H961" s="11" t="n">
        <v>113</v>
      </c>
    </row>
    <row r="962">
      <c r="A962" s="1" t="n">
        <v>1002</v>
      </c>
      <c r="B962" s="2" t="inlineStr">
        <is>
          <t>Netherlands</t>
        </is>
      </c>
      <c r="C962" s="2" t="inlineStr">
        <is>
          <t>Lutsharel Geertruida</t>
        </is>
      </c>
      <c r="D962" s="2" t="inlineStr">
        <is>
          <t>Defesa</t>
        </is>
      </c>
      <c r="E962" s="11" t="n">
        <v>13</v>
      </c>
      <c r="F962" s="11" t="n">
        <v>1170</v>
      </c>
      <c r="G962" s="11" t="n">
        <v>7</v>
      </c>
      <c r="H962" s="11" t="n">
        <v>94</v>
      </c>
    </row>
    <row r="963">
      <c r="A963" s="1" t="n">
        <v>1003</v>
      </c>
      <c r="B963" s="2" t="inlineStr">
        <is>
          <t>Netherlands</t>
        </is>
      </c>
      <c r="C963" s="2" t="inlineStr">
        <is>
          <t>Jurrien Timber</t>
        </is>
      </c>
      <c r="D963" s="2" t="inlineStr">
        <is>
          <t>Defesa</t>
        </is>
      </c>
      <c r="E963" s="11" t="n">
        <v>13</v>
      </c>
      <c r="F963" s="11" t="n">
        <v>1170</v>
      </c>
      <c r="G963" s="11" t="n">
        <v>5</v>
      </c>
      <c r="H963" s="11" t="n">
        <v>0</v>
      </c>
    </row>
    <row r="964">
      <c r="A964" s="1" t="n">
        <v>1004</v>
      </c>
      <c r="B964" s="2" t="inlineStr">
        <is>
          <t>Netherlands</t>
        </is>
      </c>
      <c r="C964" s="2" t="inlineStr">
        <is>
          <t>Virgil Van Dijk</t>
        </is>
      </c>
      <c r="D964" s="2" t="inlineStr">
        <is>
          <t>Defesa</t>
        </is>
      </c>
      <c r="E964" s="11" t="n">
        <v>13</v>
      </c>
      <c r="F964" s="11" t="n">
        <v>1170</v>
      </c>
      <c r="G964" s="11" t="n">
        <v>13</v>
      </c>
      <c r="H964" s="11" t="n">
        <v>270</v>
      </c>
    </row>
    <row r="965">
      <c r="A965" s="1" t="n">
        <v>1005</v>
      </c>
      <c r="B965" s="2" t="inlineStr">
        <is>
          <t>Netherlands</t>
        </is>
      </c>
      <c r="C965" s="2" t="inlineStr">
        <is>
          <t>Nathan Aké</t>
        </is>
      </c>
      <c r="D965" s="2" t="inlineStr">
        <is>
          <t>Defesa</t>
        </is>
      </c>
      <c r="E965" s="11" t="n">
        <v>13</v>
      </c>
      <c r="F965" s="11" t="n">
        <v>1170</v>
      </c>
      <c r="G965" s="11" t="n">
        <v>6</v>
      </c>
      <c r="H965" s="11" t="n">
        <v>122</v>
      </c>
    </row>
    <row r="966">
      <c r="A966" s="1" t="n">
        <v>1006</v>
      </c>
      <c r="B966" s="2" t="inlineStr">
        <is>
          <t>Netherlands</t>
        </is>
      </c>
      <c r="C966" s="2" t="inlineStr">
        <is>
          <t>Jan Paul van Hecke</t>
        </is>
      </c>
      <c r="D966" s="2" t="inlineStr">
        <is>
          <t>Defesa</t>
        </is>
      </c>
      <c r="E966" s="11" t="n">
        <v>13</v>
      </c>
      <c r="F966" s="11" t="n">
        <v>1170</v>
      </c>
      <c r="G966" s="11" t="n">
        <v>9</v>
      </c>
      <c r="H966" s="11" t="n">
        <v>292</v>
      </c>
    </row>
    <row r="967">
      <c r="A967" s="1" t="n">
        <v>1007</v>
      </c>
      <c r="B967" s="2" t="inlineStr">
        <is>
          <t>Netherlands</t>
        </is>
      </c>
      <c r="C967" s="2" t="inlineStr">
        <is>
          <t>Micky van de Ven</t>
        </is>
      </c>
      <c r="D967" s="2" t="inlineStr">
        <is>
          <t>Defesa</t>
        </is>
      </c>
      <c r="E967" s="11" t="n">
        <v>13</v>
      </c>
      <c r="F967" s="11" t="n">
        <v>1170</v>
      </c>
      <c r="G967" s="11" t="n">
        <v>10</v>
      </c>
      <c r="H967" s="11" t="n">
        <v>270</v>
      </c>
    </row>
    <row r="968">
      <c r="A968" s="1" t="n">
        <v>1008</v>
      </c>
      <c r="B968" s="2" t="inlineStr">
        <is>
          <t>Netherlands</t>
        </is>
      </c>
      <c r="C968" s="2" t="inlineStr">
        <is>
          <t>Denzel Dumfries</t>
        </is>
      </c>
      <c r="D968" s="2" t="inlineStr">
        <is>
          <t>Defesa</t>
        </is>
      </c>
      <c r="E968" s="11" t="n">
        <v>13</v>
      </c>
      <c r="F968" s="11" t="n">
        <v>1170</v>
      </c>
      <c r="G968" s="11" t="n">
        <v>8</v>
      </c>
      <c r="H968" s="11" t="n">
        <v>192</v>
      </c>
    </row>
    <row r="969">
      <c r="A969" s="1" t="n">
        <v>1009</v>
      </c>
      <c r="B969" s="2" t="inlineStr">
        <is>
          <t>Netherlands</t>
        </is>
      </c>
      <c r="C969" s="2" t="inlineStr">
        <is>
          <t>Jorrel Hato</t>
        </is>
      </c>
      <c r="D969" s="2" t="inlineStr">
        <is>
          <t>Defesa</t>
        </is>
      </c>
      <c r="E969" s="11" t="n">
        <v>13</v>
      </c>
      <c r="F969" s="11" t="n">
        <v>1170</v>
      </c>
      <c r="G969" s="11" t="n">
        <v>3</v>
      </c>
      <c r="H969" s="11" t="n">
        <v>58</v>
      </c>
    </row>
    <row r="970">
      <c r="A970" s="1" t="n">
        <v>1010</v>
      </c>
      <c r="B970" s="2" t="inlineStr">
        <is>
          <t>Netherlands</t>
        </is>
      </c>
      <c r="C970" s="2" t="inlineStr">
        <is>
          <t>Marten de Roon</t>
        </is>
      </c>
      <c r="D970" s="2" t="inlineStr">
        <is>
          <t>Médio</t>
        </is>
      </c>
      <c r="E970" s="11" t="n">
        <v>13</v>
      </c>
      <c r="F970" s="11" t="n">
        <v>1170</v>
      </c>
      <c r="G970" s="11" t="n">
        <v>1</v>
      </c>
      <c r="H970" s="11" t="n">
        <v>21</v>
      </c>
    </row>
    <row r="971">
      <c r="A971" s="1" t="n">
        <v>1011</v>
      </c>
      <c r="B971" s="2" t="inlineStr">
        <is>
          <t>Netherlands</t>
        </is>
      </c>
      <c r="C971" s="2" t="inlineStr">
        <is>
          <t>Ryan Gravenberch</t>
        </is>
      </c>
      <c r="D971" s="2" t="inlineStr">
        <is>
          <t>Médio</t>
        </is>
      </c>
      <c r="E971" s="11" t="n">
        <v>13</v>
      </c>
      <c r="F971" s="11" t="n">
        <v>1170</v>
      </c>
      <c r="G971" s="11" t="n">
        <v>8</v>
      </c>
      <c r="H971" s="11" t="n">
        <v>217</v>
      </c>
    </row>
    <row r="972">
      <c r="A972" s="1" t="n">
        <v>1012</v>
      </c>
      <c r="B972" s="2" t="inlineStr">
        <is>
          <t>Netherlands</t>
        </is>
      </c>
      <c r="C972" s="2" t="inlineStr">
        <is>
          <t>Mats Wieffer</t>
        </is>
      </c>
      <c r="D972" s="2" t="inlineStr">
        <is>
          <t>Médio</t>
        </is>
      </c>
      <c r="E972" s="11" t="n">
        <v>13</v>
      </c>
      <c r="F972" s="11" t="n">
        <v>1170</v>
      </c>
      <c r="G972" s="11" t="n">
        <v>3</v>
      </c>
      <c r="H972" s="11" t="n">
        <v>69</v>
      </c>
    </row>
    <row r="973">
      <c r="A973" s="1" t="n">
        <v>1013</v>
      </c>
      <c r="B973" s="2" t="inlineStr">
        <is>
          <t>Netherlands</t>
        </is>
      </c>
      <c r="C973" s="2" t="inlineStr">
        <is>
          <t>Tijjani Reijnders</t>
        </is>
      </c>
      <c r="D973" s="2" t="inlineStr">
        <is>
          <t>Médio</t>
        </is>
      </c>
      <c r="E973" s="11" t="n">
        <v>13</v>
      </c>
      <c r="F973" s="11" t="n">
        <v>1170</v>
      </c>
      <c r="G973" s="11" t="n">
        <v>11</v>
      </c>
      <c r="H973" s="11" t="n">
        <v>229</v>
      </c>
    </row>
    <row r="974">
      <c r="A974" s="1" t="n">
        <v>1014</v>
      </c>
      <c r="B974" s="2" t="inlineStr">
        <is>
          <t>Netherlands</t>
        </is>
      </c>
      <c r="C974" s="2" t="inlineStr">
        <is>
          <t>Guus Til</t>
        </is>
      </c>
      <c r="D974" s="2" t="inlineStr">
        <is>
          <t>Médio</t>
        </is>
      </c>
      <c r="E974" s="11" t="n">
        <v>13</v>
      </c>
      <c r="F974" s="11" t="n">
        <v>1170</v>
      </c>
      <c r="G974" s="11" t="n">
        <v>0</v>
      </c>
      <c r="H974" s="11" t="n">
        <v>15</v>
      </c>
    </row>
    <row r="975">
      <c r="A975" s="1" t="n">
        <v>1015</v>
      </c>
      <c r="B975" s="2" t="inlineStr">
        <is>
          <t>Netherlands</t>
        </is>
      </c>
      <c r="C975" s="2" t="inlineStr">
        <is>
          <t>Teun Koopmeiners</t>
        </is>
      </c>
      <c r="D975" s="2" t="inlineStr">
        <is>
          <t>Médio</t>
        </is>
      </c>
      <c r="E975" s="11" t="n">
        <v>13</v>
      </c>
      <c r="F975" s="11" t="n">
        <v>1170</v>
      </c>
      <c r="G975" s="11" t="n">
        <v>5</v>
      </c>
      <c r="H975" s="11" t="n">
        <v>124</v>
      </c>
    </row>
    <row r="976">
      <c r="A976" s="1" t="n">
        <v>1016</v>
      </c>
      <c r="B976" s="2" t="inlineStr">
        <is>
          <t>Netherlands</t>
        </is>
      </c>
      <c r="C976" s="2" t="inlineStr">
        <is>
          <t>Frenkie de Jong</t>
        </is>
      </c>
      <c r="D976" s="2" t="inlineStr">
        <is>
          <t>Médio</t>
        </is>
      </c>
      <c r="E976" s="11" t="n">
        <v>13</v>
      </c>
      <c r="F976" s="11" t="n">
        <v>1170</v>
      </c>
      <c r="G976" s="11" t="n">
        <v>10</v>
      </c>
      <c r="H976" s="11" t="n">
        <v>141</v>
      </c>
    </row>
    <row r="977">
      <c r="A977" s="1" t="n">
        <v>1017</v>
      </c>
      <c r="B977" s="2" t="inlineStr">
        <is>
          <t>Netherlands</t>
        </is>
      </c>
      <c r="C977" s="2" t="inlineStr">
        <is>
          <t>Quinten Timber</t>
        </is>
      </c>
      <c r="D977" s="2" t="inlineStr">
        <is>
          <t>Médio</t>
        </is>
      </c>
      <c r="E977" s="11" t="n">
        <v>13</v>
      </c>
      <c r="F977" s="11" t="n">
        <v>1170</v>
      </c>
      <c r="G977" s="11" t="n">
        <v>6</v>
      </c>
      <c r="H977" s="11" t="n">
        <v>118</v>
      </c>
    </row>
    <row r="978">
      <c r="A978" s="1" t="n">
        <v>1018</v>
      </c>
      <c r="B978" s="2" t="inlineStr">
        <is>
          <t>Netherlands</t>
        </is>
      </c>
      <c r="C978" s="2" t="inlineStr">
        <is>
          <t>Justin Kluivert</t>
        </is>
      </c>
      <c r="D978" s="2" t="inlineStr">
        <is>
          <t>Avançado</t>
        </is>
      </c>
      <c r="E978" s="11" t="n">
        <v>13</v>
      </c>
      <c r="F978" s="11" t="n">
        <v>1170</v>
      </c>
      <c r="G978" s="11" t="n">
        <v>9</v>
      </c>
      <c r="H978" s="11" t="n">
        <v>45</v>
      </c>
    </row>
    <row r="979">
      <c r="A979" s="1" t="n">
        <v>1019</v>
      </c>
      <c r="B979" s="2" t="inlineStr">
        <is>
          <t>Netherlands</t>
        </is>
      </c>
      <c r="C979" s="2" t="inlineStr">
        <is>
          <t>Wout Weghorst</t>
        </is>
      </c>
      <c r="D979" s="2" t="inlineStr">
        <is>
          <t>Avançado</t>
        </is>
      </c>
      <c r="E979" s="11" t="n">
        <v>13</v>
      </c>
      <c r="F979" s="11" t="n">
        <v>1170</v>
      </c>
      <c r="G979" s="11" t="n">
        <v>9</v>
      </c>
      <c r="H979" s="11" t="n">
        <v>30</v>
      </c>
    </row>
    <row r="980">
      <c r="A980" s="1" t="n">
        <v>1020</v>
      </c>
      <c r="B980" s="2" t="inlineStr">
        <is>
          <t>Netherlands</t>
        </is>
      </c>
      <c r="C980" s="2" t="inlineStr">
        <is>
          <t>Memphis Depay</t>
        </is>
      </c>
      <c r="D980" s="2" t="inlineStr">
        <is>
          <t>Avançado</t>
        </is>
      </c>
      <c r="E980" s="11" t="n">
        <v>13</v>
      </c>
      <c r="F980" s="11" t="n">
        <v>1170</v>
      </c>
      <c r="G980" s="11" t="n">
        <v>11</v>
      </c>
      <c r="H980" s="11" t="n">
        <v>45</v>
      </c>
    </row>
    <row r="981">
      <c r="A981" s="1" t="n">
        <v>1021</v>
      </c>
      <c r="B981" s="2" t="inlineStr">
        <is>
          <t>Netherlands</t>
        </is>
      </c>
      <c r="C981" s="2" t="inlineStr">
        <is>
          <t>Cody Gakpo</t>
        </is>
      </c>
      <c r="D981" s="2" t="inlineStr">
        <is>
          <t>Avançado</t>
        </is>
      </c>
      <c r="E981" s="11" t="n">
        <v>13</v>
      </c>
      <c r="F981" s="11" t="n">
        <v>1170</v>
      </c>
      <c r="G981" s="11" t="n">
        <v>13</v>
      </c>
      <c r="H981" s="11" t="n">
        <v>298</v>
      </c>
    </row>
    <row r="982">
      <c r="A982" s="1" t="n">
        <v>1022</v>
      </c>
      <c r="B982" s="2" t="inlineStr">
        <is>
          <t>Netherlands</t>
        </is>
      </c>
      <c r="C982" s="2" t="inlineStr">
        <is>
          <t>Noa Lang</t>
        </is>
      </c>
      <c r="D982" s="2" t="inlineStr">
        <is>
          <t>Avançado</t>
        </is>
      </c>
      <c r="E982" s="11" t="n">
        <v>13</v>
      </c>
      <c r="F982" s="11" t="n">
        <v>1170</v>
      </c>
      <c r="G982" s="11" t="n">
        <v>3</v>
      </c>
      <c r="H982" s="11" t="n">
        <v>0</v>
      </c>
    </row>
    <row r="983">
      <c r="A983" s="1" t="n">
        <v>1023</v>
      </c>
      <c r="B983" s="2" t="inlineStr">
        <is>
          <t>Netherlands</t>
        </is>
      </c>
      <c r="C983" s="2" t="inlineStr">
        <is>
          <t>Donyell Malen</t>
        </is>
      </c>
      <c r="D983" s="2" t="inlineStr">
        <is>
          <t>Avançado</t>
        </is>
      </c>
      <c r="E983" s="11" t="n">
        <v>13</v>
      </c>
      <c r="F983" s="11" t="n">
        <v>1170</v>
      </c>
      <c r="G983" s="11" t="n">
        <v>11</v>
      </c>
      <c r="H983" s="11" t="n">
        <v>220</v>
      </c>
    </row>
    <row r="984">
      <c r="A984" s="1" t="n">
        <v>1024</v>
      </c>
      <c r="B984" s="2" t="inlineStr">
        <is>
          <t>Netherlands</t>
        </is>
      </c>
      <c r="C984" s="2" t="inlineStr">
        <is>
          <t>Brian Brobbey</t>
        </is>
      </c>
      <c r="D984" s="2" t="inlineStr">
        <is>
          <t>Avançado</t>
        </is>
      </c>
      <c r="E984" s="11" t="n">
        <v>13</v>
      </c>
      <c r="F984" s="11" t="n">
        <v>1170</v>
      </c>
      <c r="G984" s="11" t="n">
        <v>4</v>
      </c>
      <c r="H984" s="11" t="n">
        <v>125</v>
      </c>
    </row>
    <row r="985">
      <c r="A985" s="1" t="n">
        <v>1025</v>
      </c>
      <c r="B985" s="2" t="inlineStr">
        <is>
          <t>Netherlands</t>
        </is>
      </c>
      <c r="C985" s="2" t="inlineStr">
        <is>
          <t>Crys Summerville</t>
        </is>
      </c>
      <c r="D985" s="2" t="inlineStr">
        <is>
          <t>Avançado</t>
        </is>
      </c>
      <c r="E985" s="11" t="n">
        <v>13</v>
      </c>
      <c r="F985" s="11" t="n">
        <v>1170</v>
      </c>
      <c r="G985" s="11" t="n">
        <v>1</v>
      </c>
      <c r="H985" s="11" t="n">
        <v>135</v>
      </c>
    </row>
    <row r="986">
      <c r="A986" s="1" t="n">
        <v>1052</v>
      </c>
      <c r="B986" s="2" t="inlineStr">
        <is>
          <t>Paraguay</t>
        </is>
      </c>
      <c r="C986" s="2" t="inlineStr">
        <is>
          <t>Gatito Fernández</t>
        </is>
      </c>
      <c r="D986" s="2" t="inlineStr">
        <is>
          <t>Guarda Redes</t>
        </is>
      </c>
      <c r="E986" s="12" t="n">
        <v>12</v>
      </c>
      <c r="F986" s="12" t="n">
        <v>1080</v>
      </c>
      <c r="G986" s="12" t="n">
        <v>6</v>
      </c>
      <c r="H986" t="n">
        <v>135</v>
      </c>
    </row>
    <row r="987">
      <c r="A987" s="1" t="n">
        <v>1053</v>
      </c>
      <c r="B987" s="2" t="inlineStr">
        <is>
          <t>Paraguay</t>
        </is>
      </c>
      <c r="C987" s="2" t="inlineStr">
        <is>
          <t>Orlando Gill</t>
        </is>
      </c>
      <c r="D987" s="2" t="inlineStr">
        <is>
          <t>Guarda Redes</t>
        </is>
      </c>
      <c r="E987" s="12" t="n">
        <v>12</v>
      </c>
      <c r="F987" s="12" t="n">
        <v>1080</v>
      </c>
      <c r="G987" s="12" t="n">
        <v>5</v>
      </c>
      <c r="H987" t="n">
        <v>405</v>
      </c>
    </row>
    <row r="988">
      <c r="A988" s="1" t="n">
        <v>1054</v>
      </c>
      <c r="B988" s="2" t="inlineStr">
        <is>
          <t>Paraguay</t>
        </is>
      </c>
      <c r="C988" s="2" t="inlineStr">
        <is>
          <t>Gastón Olveira</t>
        </is>
      </c>
      <c r="D988" s="2" t="inlineStr">
        <is>
          <t>Guarda Redes</t>
        </is>
      </c>
      <c r="E988" s="12" t="n">
        <v>12</v>
      </c>
      <c r="F988" s="12" t="n">
        <v>1080</v>
      </c>
      <c r="G988" s="12" t="n">
        <v>1</v>
      </c>
      <c r="H988" t="n">
        <v>90</v>
      </c>
    </row>
    <row r="989">
      <c r="A989" s="1" t="n">
        <v>1055</v>
      </c>
      <c r="B989" s="2" t="inlineStr">
        <is>
          <t>Paraguay</t>
        </is>
      </c>
      <c r="C989" s="2" t="inlineStr">
        <is>
          <t>Gustavo Velázquez</t>
        </is>
      </c>
      <c r="D989" s="2" t="inlineStr">
        <is>
          <t>Defesa</t>
        </is>
      </c>
      <c r="E989" s="12" t="n">
        <v>12</v>
      </c>
      <c r="F989" s="12" t="n">
        <v>1080</v>
      </c>
      <c r="G989" s="12" t="n">
        <v>4</v>
      </c>
      <c r="H989" t="n">
        <v>136</v>
      </c>
    </row>
    <row r="990">
      <c r="A990" s="1" t="n">
        <v>1056</v>
      </c>
      <c r="B990" s="2" t="inlineStr">
        <is>
          <t>Paraguay</t>
        </is>
      </c>
      <c r="C990" s="2" t="inlineStr">
        <is>
          <t>Juan José Cáceres</t>
        </is>
      </c>
      <c r="D990" s="2" t="inlineStr">
        <is>
          <t>Defesa</t>
        </is>
      </c>
      <c r="E990" s="12" t="n">
        <v>12</v>
      </c>
      <c r="F990" s="12" t="n">
        <v>1080</v>
      </c>
      <c r="G990" s="12" t="n">
        <v>9</v>
      </c>
      <c r="H990" t="n">
        <v>315</v>
      </c>
    </row>
    <row r="991">
      <c r="A991" s="1" t="n">
        <v>1057</v>
      </c>
      <c r="B991" s="2" t="inlineStr">
        <is>
          <t>Paraguay</t>
        </is>
      </c>
      <c r="C991" s="2" t="inlineStr">
        <is>
          <t>Omar Alderete</t>
        </is>
      </c>
      <c r="D991" s="2" t="inlineStr">
        <is>
          <t>Defesa</t>
        </is>
      </c>
      <c r="E991" s="12" t="n">
        <v>12</v>
      </c>
      <c r="F991" s="12" t="n">
        <v>1080</v>
      </c>
      <c r="G991" s="12" t="n">
        <v>10</v>
      </c>
      <c r="H991" t="n">
        <v>368</v>
      </c>
    </row>
    <row r="992">
      <c r="A992" s="1" t="n">
        <v>1058</v>
      </c>
      <c r="B992" s="2" t="inlineStr">
        <is>
          <t>Paraguay</t>
        </is>
      </c>
      <c r="C992" s="2" t="inlineStr">
        <is>
          <t>Fabián Balbuena</t>
        </is>
      </c>
      <c r="D992" s="2" t="inlineStr">
        <is>
          <t>Defesa</t>
        </is>
      </c>
      <c r="E992" s="12" t="n">
        <v>12</v>
      </c>
      <c r="F992" s="12" t="n">
        <v>1080</v>
      </c>
      <c r="G992" s="12" t="n">
        <v>2</v>
      </c>
      <c r="H992" t="n">
        <v>45</v>
      </c>
    </row>
    <row r="993">
      <c r="A993" s="1" t="n">
        <v>1059</v>
      </c>
      <c r="B993" s="2" t="inlineStr">
        <is>
          <t>Paraguay</t>
        </is>
      </c>
      <c r="C993" s="2" t="inlineStr">
        <is>
          <t>Júnior Alonso</t>
        </is>
      </c>
      <c r="D993" s="2" t="inlineStr">
        <is>
          <t>Defesa</t>
        </is>
      </c>
      <c r="E993" s="12" t="n">
        <v>12</v>
      </c>
      <c r="F993" s="12" t="n">
        <v>1080</v>
      </c>
      <c r="G993" s="12" t="n">
        <v>11</v>
      </c>
      <c r="H993" t="n">
        <v>491</v>
      </c>
    </row>
    <row r="994">
      <c r="A994" s="1" t="n">
        <v>1060</v>
      </c>
      <c r="B994" s="2" t="inlineStr">
        <is>
          <t>Paraguay</t>
        </is>
      </c>
      <c r="C994" s="2" t="inlineStr">
        <is>
          <t>José María Canale</t>
        </is>
      </c>
      <c r="D994" s="2" t="inlineStr">
        <is>
          <t>Defesa</t>
        </is>
      </c>
      <c r="E994" s="12" t="n">
        <v>12</v>
      </c>
      <c r="F994" s="12" t="n">
        <v>1080</v>
      </c>
      <c r="G994" s="12" t="n">
        <v>1</v>
      </c>
      <c r="H994" t="n">
        <v>74</v>
      </c>
    </row>
    <row r="995">
      <c r="A995" s="1" t="n">
        <v>1061</v>
      </c>
      <c r="B995" s="2" t="inlineStr">
        <is>
          <t>Paraguay</t>
        </is>
      </c>
      <c r="C995" s="2" t="inlineStr">
        <is>
          <t>Gustavo Gómez</t>
        </is>
      </c>
      <c r="D995" s="2" t="inlineStr">
        <is>
          <t>Defesa</t>
        </is>
      </c>
      <c r="E995" s="12" t="n">
        <v>12</v>
      </c>
      <c r="F995" s="12" t="n">
        <v>1080</v>
      </c>
      <c r="G995" s="12" t="n">
        <v>9</v>
      </c>
      <c r="H995" t="n">
        <v>495</v>
      </c>
    </row>
    <row r="996">
      <c r="A996" s="1" t="n">
        <v>1062</v>
      </c>
      <c r="B996" s="2" t="inlineStr">
        <is>
          <t>Paraguay</t>
        </is>
      </c>
      <c r="C996" s="2" t="inlineStr">
        <is>
          <t>Alexandro Maidana</t>
        </is>
      </c>
      <c r="D996" s="2" t="inlineStr">
        <is>
          <t>Defesa</t>
        </is>
      </c>
      <c r="E996" s="12" t="n">
        <v>12</v>
      </c>
      <c r="F996" s="12" t="n">
        <v>1080</v>
      </c>
      <c r="G996" s="12" t="n">
        <v>1</v>
      </c>
      <c r="H996" t="n">
        <v>56</v>
      </c>
    </row>
    <row r="997">
      <c r="A997" s="1" t="n">
        <v>1063</v>
      </c>
      <c r="B997" s="2" t="inlineStr">
        <is>
          <t>Paraguay</t>
        </is>
      </c>
      <c r="C997" s="2" t="inlineStr">
        <is>
          <t>Andrés Cubas</t>
        </is>
      </c>
      <c r="D997" s="2" t="inlineStr">
        <is>
          <t>Médio</t>
        </is>
      </c>
      <c r="E997" s="12" t="n">
        <v>12</v>
      </c>
      <c r="F997" s="12" t="n">
        <v>1080</v>
      </c>
      <c r="G997" s="12" t="n">
        <v>6</v>
      </c>
      <c r="H997" t="n">
        <v>135</v>
      </c>
    </row>
    <row r="998">
      <c r="A998" s="1" t="n">
        <v>1064</v>
      </c>
      <c r="B998" s="2" t="inlineStr">
        <is>
          <t>Paraguay</t>
        </is>
      </c>
      <c r="C998" s="2" t="inlineStr">
        <is>
          <t>Damián Bobadilla</t>
        </is>
      </c>
      <c r="D998" s="2" t="inlineStr">
        <is>
          <t>Médio</t>
        </is>
      </c>
      <c r="E998" s="12" t="n">
        <v>12</v>
      </c>
      <c r="F998" s="12" t="n">
        <v>1080</v>
      </c>
      <c r="G998" s="12" t="n">
        <v>10</v>
      </c>
      <c r="H998" t="n">
        <v>421</v>
      </c>
    </row>
    <row r="999">
      <c r="A999" s="1" t="n">
        <v>1065</v>
      </c>
      <c r="B999" s="2" t="inlineStr">
        <is>
          <t>Paraguay</t>
        </is>
      </c>
      <c r="C999" s="2" t="inlineStr">
        <is>
          <t>Braian Ojeda</t>
        </is>
      </c>
      <c r="D999" s="2" t="inlineStr">
        <is>
          <t>Médio</t>
        </is>
      </c>
      <c r="E999" s="12" t="n">
        <v>12</v>
      </c>
      <c r="F999" s="12" t="n">
        <v>1080</v>
      </c>
      <c r="G999" s="12" t="n">
        <v>7</v>
      </c>
      <c r="H999" t="n">
        <v>311</v>
      </c>
    </row>
    <row r="1000">
      <c r="A1000" s="1" t="n">
        <v>1066</v>
      </c>
      <c r="B1000" s="2" t="inlineStr">
        <is>
          <t>Paraguay</t>
        </is>
      </c>
      <c r="C1000" s="2" t="inlineStr">
        <is>
          <t>Matías Galarza</t>
        </is>
      </c>
      <c r="D1000" s="2" t="inlineStr">
        <is>
          <t>Médio</t>
        </is>
      </c>
      <c r="E1000" s="12" t="n">
        <v>12</v>
      </c>
      <c r="F1000" s="12" t="n">
        <v>1080</v>
      </c>
      <c r="G1000" s="12" t="n">
        <v>9</v>
      </c>
      <c r="H1000" t="n">
        <v>222</v>
      </c>
    </row>
    <row r="1001">
      <c r="A1001" s="1" t="n">
        <v>1067</v>
      </c>
      <c r="B1001" s="2" t="inlineStr">
        <is>
          <t>Paraguay</t>
        </is>
      </c>
      <c r="C1001" s="2" t="inlineStr">
        <is>
          <t>Diego Gómez</t>
        </is>
      </c>
      <c r="D1001" s="2" t="inlineStr">
        <is>
          <t>Médio</t>
        </is>
      </c>
      <c r="E1001" s="12" t="n">
        <v>12</v>
      </c>
      <c r="F1001" s="12" t="n">
        <v>1080</v>
      </c>
      <c r="G1001" s="12" t="n">
        <v>11</v>
      </c>
      <c r="H1001" t="n">
        <v>443</v>
      </c>
    </row>
    <row r="1002">
      <c r="A1002" s="1" t="n">
        <v>1068</v>
      </c>
      <c r="B1002" s="2" t="inlineStr">
        <is>
          <t>Paraguay</t>
        </is>
      </c>
      <c r="C1002" s="2" t="inlineStr">
        <is>
          <t>Maurício</t>
        </is>
      </c>
      <c r="D1002" s="2" t="inlineStr">
        <is>
          <t>Médio</t>
        </is>
      </c>
      <c r="E1002" s="12" t="n">
        <v>12</v>
      </c>
      <c r="F1002" s="12" t="n">
        <v>1080</v>
      </c>
      <c r="G1002" s="12" t="n">
        <v>2</v>
      </c>
      <c r="H1002" t="n">
        <v>128</v>
      </c>
    </row>
    <row r="1003">
      <c r="A1003" s="1" t="n">
        <v>1069</v>
      </c>
      <c r="B1003" s="2" t="inlineStr">
        <is>
          <t>Paraguay</t>
        </is>
      </c>
      <c r="C1003" s="2" t="inlineStr">
        <is>
          <t>Kaku Gamarra</t>
        </is>
      </c>
      <c r="D1003" s="2" t="inlineStr">
        <is>
          <t>Médio</t>
        </is>
      </c>
      <c r="E1003" s="12" t="n">
        <v>12</v>
      </c>
      <c r="F1003" s="12" t="n">
        <v>1080</v>
      </c>
      <c r="G1003" s="12" t="n">
        <v>7</v>
      </c>
      <c r="H1003" t="n">
        <v>92</v>
      </c>
    </row>
    <row r="1004">
      <c r="A1004" s="1" t="n">
        <v>1070</v>
      </c>
      <c r="B1004" s="2" t="inlineStr">
        <is>
          <t>Paraguay</t>
        </is>
      </c>
      <c r="C1004" s="2" t="inlineStr">
        <is>
          <t>Miguel Almirón</t>
        </is>
      </c>
      <c r="D1004" s="2" t="inlineStr">
        <is>
          <t>Avançado</t>
        </is>
      </c>
      <c r="E1004" s="12" t="n">
        <v>12</v>
      </c>
      <c r="F1004" s="12" t="n">
        <v>1080</v>
      </c>
      <c r="G1004" s="12" t="n">
        <v>11</v>
      </c>
      <c r="H1004" t="n">
        <v>489</v>
      </c>
    </row>
    <row r="1005">
      <c r="A1005" s="1" t="n">
        <v>1071</v>
      </c>
      <c r="B1005" s="2" t="inlineStr">
        <is>
          <t>Paraguay</t>
        </is>
      </c>
      <c r="C1005" s="2" t="inlineStr">
        <is>
          <t>Tonny Sanabria</t>
        </is>
      </c>
      <c r="D1005" s="2" t="inlineStr">
        <is>
          <t>Avançado</t>
        </is>
      </c>
      <c r="E1005" s="12" t="n">
        <v>12</v>
      </c>
      <c r="F1005" s="12" t="n">
        <v>1080</v>
      </c>
      <c r="G1005" s="12" t="n">
        <v>12</v>
      </c>
      <c r="H1005" t="n">
        <v>338</v>
      </c>
    </row>
    <row r="1006">
      <c r="A1006" s="1" t="n">
        <v>1072</v>
      </c>
      <c r="B1006" s="2" t="inlineStr">
        <is>
          <t>Paraguay</t>
        </is>
      </c>
      <c r="C1006" s="2" t="inlineStr">
        <is>
          <t>Álex Arce</t>
        </is>
      </c>
      <c r="D1006" s="2" t="inlineStr">
        <is>
          <t>Avançado</t>
        </is>
      </c>
      <c r="E1006" s="12" t="n">
        <v>12</v>
      </c>
      <c r="F1006" s="12" t="n">
        <v>1080</v>
      </c>
      <c r="G1006" s="12" t="n">
        <v>5</v>
      </c>
      <c r="H1006" t="n">
        <v>151</v>
      </c>
    </row>
    <row r="1007">
      <c r="A1007" s="1" t="n">
        <v>1073</v>
      </c>
      <c r="B1007" s="2" t="inlineStr">
        <is>
          <t>Paraguay</t>
        </is>
      </c>
      <c r="C1007" s="2" t="inlineStr">
        <is>
          <t>Gabriel Ávalos</t>
        </is>
      </c>
      <c r="D1007" s="2" t="inlineStr">
        <is>
          <t>Avançado</t>
        </is>
      </c>
      <c r="E1007" s="12" t="n">
        <v>12</v>
      </c>
      <c r="F1007" s="12" t="n">
        <v>1080</v>
      </c>
      <c r="G1007" s="12" t="n">
        <v>6</v>
      </c>
      <c r="H1007" t="n">
        <v>114</v>
      </c>
    </row>
    <row r="1008">
      <c r="A1008" s="1" t="n">
        <v>1074</v>
      </c>
      <c r="B1008" s="2" t="inlineStr">
        <is>
          <t>Paraguay</t>
        </is>
      </c>
      <c r="C1008" s="2" t="inlineStr">
        <is>
          <t>Isidro Pitta</t>
        </is>
      </c>
      <c r="D1008" s="2" t="inlineStr">
        <is>
          <t>Avançado</t>
        </is>
      </c>
      <c r="E1008" s="12" t="n">
        <v>12</v>
      </c>
      <c r="F1008" s="12" t="n">
        <v>1080</v>
      </c>
      <c r="G1008" s="12" t="n">
        <v>0</v>
      </c>
      <c r="H1008" t="n">
        <v>0</v>
      </c>
    </row>
    <row r="1009">
      <c r="A1009" s="1" t="n">
        <v>1075</v>
      </c>
      <c r="B1009" s="2" t="inlineStr">
        <is>
          <t>Paraguay</t>
        </is>
      </c>
      <c r="C1009" s="2" t="inlineStr">
        <is>
          <t>Ramón Sosa</t>
        </is>
      </c>
      <c r="D1009" s="2" t="inlineStr">
        <is>
          <t>Avançado</t>
        </is>
      </c>
      <c r="E1009" s="12" t="n">
        <v>12</v>
      </c>
      <c r="F1009" s="12" t="n">
        <v>1080</v>
      </c>
      <c r="G1009" s="12" t="n">
        <v>8</v>
      </c>
      <c r="H1009" t="n">
        <v>163</v>
      </c>
    </row>
    <row r="1010">
      <c r="A1010" s="1" t="n">
        <v>1076</v>
      </c>
      <c r="B1010" s="2" t="inlineStr">
        <is>
          <t>Paraguay</t>
        </is>
      </c>
      <c r="C1010" s="2" t="inlineStr">
        <is>
          <t>Julio Enciso</t>
        </is>
      </c>
      <c r="D1010" s="2" t="inlineStr">
        <is>
          <t>Avançado</t>
        </is>
      </c>
      <c r="E1010" s="12" t="n">
        <v>12</v>
      </c>
      <c r="F1010" s="12" t="n">
        <v>1080</v>
      </c>
      <c r="G1010" s="12" t="n">
        <v>8</v>
      </c>
      <c r="H1010" t="n">
        <v>301</v>
      </c>
    </row>
    <row r="1011">
      <c r="A1011" s="1" t="n">
        <v>1077</v>
      </c>
      <c r="B1011" s="2" t="inlineStr">
        <is>
          <t>Paraguay</t>
        </is>
      </c>
      <c r="C1011" s="2" t="inlineStr">
        <is>
          <t>Gustavo Caballero</t>
        </is>
      </c>
      <c r="D1011" s="2" t="inlineStr">
        <is>
          <t>Avançado</t>
        </is>
      </c>
      <c r="E1011" s="12" t="n">
        <v>12</v>
      </c>
      <c r="F1011" s="12" t="n">
        <v>1080</v>
      </c>
      <c r="G1011" s="12" t="n">
        <v>2</v>
      </c>
      <c r="H1011" t="n">
        <v>42</v>
      </c>
    </row>
    <row r="1012">
      <c r="A1012" s="1" t="n">
        <v>1078</v>
      </c>
      <c r="B1012" s="2" t="inlineStr">
        <is>
          <t>Portugal</t>
        </is>
      </c>
      <c r="C1012" s="2" t="inlineStr">
        <is>
          <t>Diogo Costa</t>
        </is>
      </c>
      <c r="D1012" s="2" t="inlineStr">
        <is>
          <t>Guarda Redes</t>
        </is>
      </c>
      <c r="E1012" s="12" t="n">
        <v>12</v>
      </c>
      <c r="F1012" s="12" t="n">
        <v>1080</v>
      </c>
      <c r="G1012" s="12" t="n">
        <v>10</v>
      </c>
      <c r="H1012" s="12" t="n">
        <v>900</v>
      </c>
    </row>
    <row r="1013">
      <c r="A1013" s="1" t="n">
        <v>1079</v>
      </c>
      <c r="B1013" s="2" t="inlineStr">
        <is>
          <t>Portugal</t>
        </is>
      </c>
      <c r="C1013" s="2" t="inlineStr">
        <is>
          <t>Ricardo Velho</t>
        </is>
      </c>
      <c r="D1013" s="2" t="inlineStr">
        <is>
          <t>Guarda Redes</t>
        </is>
      </c>
      <c r="E1013" s="12" t="n">
        <v>12</v>
      </c>
      <c r="F1013" s="12" t="n">
        <v>1080</v>
      </c>
      <c r="G1013" s="12" t="n">
        <v>1</v>
      </c>
      <c r="H1013" s="12" t="n">
        <v>5</v>
      </c>
    </row>
    <row r="1014">
      <c r="A1014" s="1" t="n">
        <v>1080</v>
      </c>
      <c r="B1014" s="2" t="inlineStr">
        <is>
          <t>Portugal</t>
        </is>
      </c>
      <c r="C1014" s="2" t="inlineStr">
        <is>
          <t>José Sá</t>
        </is>
      </c>
      <c r="D1014" s="2" t="inlineStr">
        <is>
          <t>Guarda Redes</t>
        </is>
      </c>
      <c r="E1014" s="12" t="n">
        <v>12</v>
      </c>
      <c r="F1014" s="12" t="n">
        <v>1080</v>
      </c>
      <c r="G1014" s="12" t="n">
        <v>1</v>
      </c>
      <c r="H1014" s="12" t="n">
        <v>85</v>
      </c>
    </row>
    <row r="1015">
      <c r="A1015" s="1" t="n">
        <v>1081</v>
      </c>
      <c r="B1015" s="2" t="inlineStr">
        <is>
          <t>Portugal</t>
        </is>
      </c>
      <c r="C1015" s="2" t="inlineStr">
        <is>
          <t>Rui Silva</t>
        </is>
      </c>
      <c r="D1015" s="2" t="inlineStr">
        <is>
          <t>Guarda Redes</t>
        </is>
      </c>
      <c r="E1015" s="12" t="n">
        <v>12</v>
      </c>
      <c r="F1015" s="12" t="n">
        <v>1080</v>
      </c>
      <c r="G1015" s="12" t="n">
        <v>1</v>
      </c>
      <c r="H1015" s="12" t="n">
        <v>90</v>
      </c>
    </row>
    <row r="1016">
      <c r="A1016" s="1" t="n">
        <v>1082</v>
      </c>
      <c r="B1016" s="2" t="inlineStr">
        <is>
          <t>Portugal</t>
        </is>
      </c>
      <c r="C1016" s="2" t="inlineStr">
        <is>
          <t>Nélson Semedo</t>
        </is>
      </c>
      <c r="D1016" s="2" t="inlineStr">
        <is>
          <t>Defesa</t>
        </is>
      </c>
      <c r="E1016" s="12" t="n">
        <v>12</v>
      </c>
      <c r="F1016" s="12" t="n">
        <v>1080</v>
      </c>
      <c r="G1016" s="12" t="n">
        <v>8</v>
      </c>
      <c r="H1016" s="12" t="n">
        <v>363</v>
      </c>
    </row>
    <row r="1017">
      <c r="A1017" s="1" t="n">
        <v>1083</v>
      </c>
      <c r="B1017" s="2" t="inlineStr">
        <is>
          <t>Portugal</t>
        </is>
      </c>
      <c r="C1017" s="2" t="inlineStr">
        <is>
          <t>Rúben Dias</t>
        </is>
      </c>
      <c r="D1017" s="2" t="inlineStr">
        <is>
          <t>Defesa</t>
        </is>
      </c>
      <c r="E1017" s="12" t="n">
        <v>12</v>
      </c>
      <c r="F1017" s="12" t="n">
        <v>1080</v>
      </c>
      <c r="G1017" s="12" t="n">
        <v>10</v>
      </c>
      <c r="H1017" s="12" t="n">
        <v>883</v>
      </c>
    </row>
    <row r="1018">
      <c r="A1018" s="1" t="n">
        <v>1084</v>
      </c>
      <c r="B1018" s="2" t="inlineStr">
        <is>
          <t>Portugal</t>
        </is>
      </c>
      <c r="C1018" s="2" t="inlineStr">
        <is>
          <t>Diogo Dalot</t>
        </is>
      </c>
      <c r="D1018" s="2" t="inlineStr">
        <is>
          <t>Defesa</t>
        </is>
      </c>
      <c r="E1018" s="12" t="n">
        <v>12</v>
      </c>
      <c r="F1018" s="12" t="n">
        <v>1080</v>
      </c>
      <c r="G1018" s="12" t="n">
        <v>6</v>
      </c>
      <c r="H1018" s="12" t="n">
        <v>389</v>
      </c>
    </row>
    <row r="1019">
      <c r="A1019" s="1" t="n">
        <v>1085</v>
      </c>
      <c r="B1019" s="2" t="inlineStr">
        <is>
          <t>Portugal</t>
        </is>
      </c>
      <c r="C1019" s="2" t="inlineStr">
        <is>
          <t>Tomás Araújo</t>
        </is>
      </c>
      <c r="D1019" s="2" t="inlineStr">
        <is>
          <t>Defesa</t>
        </is>
      </c>
      <c r="E1019" s="12" t="n">
        <v>12</v>
      </c>
      <c r="F1019" s="12" t="n">
        <v>1080</v>
      </c>
      <c r="G1019" s="12" t="n">
        <v>2</v>
      </c>
      <c r="H1019" s="12" t="n">
        <v>90</v>
      </c>
    </row>
    <row r="1020">
      <c r="A1020" s="1" t="n">
        <v>1086</v>
      </c>
      <c r="B1020" s="2" t="inlineStr">
        <is>
          <t>Portugal</t>
        </is>
      </c>
      <c r="C1020" s="2" t="inlineStr">
        <is>
          <t>António Silva</t>
        </is>
      </c>
      <c r="D1020" s="2" t="inlineStr">
        <is>
          <t>Defesa</t>
        </is>
      </c>
      <c r="E1020" s="12" t="n">
        <v>12</v>
      </c>
      <c r="F1020" s="12" t="n">
        <v>1080</v>
      </c>
      <c r="G1020" s="12" t="n">
        <v>3</v>
      </c>
      <c r="H1020" s="12" t="n">
        <v>93</v>
      </c>
    </row>
    <row r="1021">
      <c r="A1021" s="1" t="n">
        <v>1087</v>
      </c>
      <c r="B1021" s="2" t="inlineStr">
        <is>
          <t>Portugal</t>
        </is>
      </c>
      <c r="C1021" s="2" t="inlineStr">
        <is>
          <t>Renato Veiga</t>
        </is>
      </c>
      <c r="D1021" s="2" t="inlineStr">
        <is>
          <t>Defesa</t>
        </is>
      </c>
      <c r="E1021" s="12" t="n">
        <v>12</v>
      </c>
      <c r="F1021" s="12" t="n">
        <v>1080</v>
      </c>
      <c r="G1021" s="12" t="n">
        <v>8</v>
      </c>
      <c r="H1021" s="12" t="n">
        <v>470</v>
      </c>
    </row>
    <row r="1022">
      <c r="A1022" s="1" t="n">
        <v>1088</v>
      </c>
      <c r="B1022" s="2" t="inlineStr">
        <is>
          <t>Portugal</t>
        </is>
      </c>
      <c r="C1022" s="2" t="inlineStr">
        <is>
          <t>Gonçalo Inácio</t>
        </is>
      </c>
      <c r="D1022" s="2" t="inlineStr">
        <is>
          <t>Defesa</t>
        </is>
      </c>
      <c r="E1022" s="12" t="n">
        <v>12</v>
      </c>
      <c r="F1022" s="12" t="n">
        <v>1080</v>
      </c>
      <c r="G1022" s="12" t="n">
        <v>8</v>
      </c>
      <c r="H1022" s="12" t="n">
        <v>520</v>
      </c>
    </row>
    <row r="1023">
      <c r="A1023" s="1" t="n">
        <v>1089</v>
      </c>
      <c r="B1023" s="2" t="inlineStr">
        <is>
          <t>Portugal</t>
        </is>
      </c>
      <c r="C1023" s="2" t="inlineStr">
        <is>
          <t>João Cancelo</t>
        </is>
      </c>
      <c r="D1023" s="2" t="inlineStr">
        <is>
          <t>Defesa</t>
        </is>
      </c>
      <c r="E1023" s="12" t="n">
        <v>12</v>
      </c>
      <c r="F1023" s="12" t="n">
        <v>1080</v>
      </c>
      <c r="G1023" s="12" t="n">
        <v>6</v>
      </c>
      <c r="H1023" s="12" t="n">
        <v>378</v>
      </c>
    </row>
    <row r="1024">
      <c r="A1024" s="1" t="n">
        <v>1090</v>
      </c>
      <c r="B1024" s="2" t="inlineStr">
        <is>
          <t>Portugal</t>
        </is>
      </c>
      <c r="C1024" s="2" t="inlineStr">
        <is>
          <t>Nuno Mendes</t>
        </is>
      </c>
      <c r="D1024" s="2" t="inlineStr">
        <is>
          <t>Defesa</t>
        </is>
      </c>
      <c r="E1024" s="12" t="n">
        <v>12</v>
      </c>
      <c r="F1024" s="12" t="n">
        <v>1080</v>
      </c>
      <c r="G1024" s="12" t="n">
        <v>10</v>
      </c>
      <c r="H1024" s="12" t="n">
        <v>771</v>
      </c>
    </row>
    <row r="1025">
      <c r="A1025" s="1" t="n">
        <v>1091</v>
      </c>
      <c r="B1025" s="2" t="inlineStr">
        <is>
          <t>Portugal</t>
        </is>
      </c>
      <c r="C1025" s="2" t="inlineStr">
        <is>
          <t>Rodrigo Mora</t>
        </is>
      </c>
      <c r="D1025" s="2" t="inlineStr">
        <is>
          <t>Médio</t>
        </is>
      </c>
      <c r="E1025" s="12" t="n">
        <v>12</v>
      </c>
      <c r="F1025" s="12" t="n">
        <v>1080</v>
      </c>
      <c r="G1025" s="12" t="n">
        <v>0</v>
      </c>
      <c r="H1025" s="12" t="n">
        <v>0</v>
      </c>
    </row>
    <row r="1026">
      <c r="A1026" s="1" t="n">
        <v>1092</v>
      </c>
      <c r="B1026" s="2" t="inlineStr">
        <is>
          <t>Portugal</t>
        </is>
      </c>
      <c r="C1026" s="2" t="inlineStr">
        <is>
          <t>Bernardo Silva</t>
        </is>
      </c>
      <c r="D1026" s="2" t="inlineStr">
        <is>
          <t>Médio</t>
        </is>
      </c>
      <c r="E1026" s="12" t="n">
        <v>12</v>
      </c>
      <c r="F1026" s="12" t="n">
        <v>1080</v>
      </c>
      <c r="G1026" s="12" t="n">
        <v>9</v>
      </c>
      <c r="H1026" s="12" t="n">
        <v>646</v>
      </c>
    </row>
    <row r="1027">
      <c r="A1027" s="1" t="n">
        <v>1093</v>
      </c>
      <c r="B1027" s="2" t="inlineStr">
        <is>
          <t>Portugal</t>
        </is>
      </c>
      <c r="C1027" s="2" t="inlineStr">
        <is>
          <t>Samú Costa</t>
        </is>
      </c>
      <c r="D1027" s="2" t="inlineStr">
        <is>
          <t>Médio</t>
        </is>
      </c>
      <c r="E1027" s="12" t="n">
        <v>12</v>
      </c>
      <c r="F1027" s="12" t="n">
        <v>1080</v>
      </c>
      <c r="G1027" s="12" t="n">
        <v>2</v>
      </c>
      <c r="H1027" s="12" t="n">
        <v>92</v>
      </c>
    </row>
    <row r="1028">
      <c r="A1028" s="1" t="n">
        <v>1094</v>
      </c>
      <c r="B1028" s="2" t="inlineStr">
        <is>
          <t>Portugal</t>
        </is>
      </c>
      <c r="C1028" s="2" t="inlineStr">
        <is>
          <t>Matheus Nunes</t>
        </is>
      </c>
      <c r="D1028" s="2" t="inlineStr">
        <is>
          <t>Médio</t>
        </is>
      </c>
      <c r="E1028" s="12" t="n">
        <v>12</v>
      </c>
      <c r="F1028" s="12" t="n">
        <v>1080</v>
      </c>
      <c r="G1028" s="12" t="n">
        <v>3</v>
      </c>
      <c r="H1028" s="12" t="n">
        <v>107</v>
      </c>
    </row>
    <row r="1029">
      <c r="A1029" s="1" t="n">
        <v>1095</v>
      </c>
      <c r="B1029" s="2" t="inlineStr">
        <is>
          <t>Portugal</t>
        </is>
      </c>
      <c r="C1029" s="2" t="inlineStr">
        <is>
          <t>Bruno Fernandes</t>
        </is>
      </c>
      <c r="D1029" s="2" t="inlineStr">
        <is>
          <t>Médio</t>
        </is>
      </c>
      <c r="E1029" s="12" t="n">
        <v>12</v>
      </c>
      <c r="F1029" s="12" t="n">
        <v>1080</v>
      </c>
      <c r="G1029" s="12" t="n">
        <v>11</v>
      </c>
      <c r="H1029" s="12" t="n">
        <v>920</v>
      </c>
    </row>
    <row r="1030">
      <c r="A1030" s="1" t="n">
        <v>1096</v>
      </c>
      <c r="B1030" s="2" t="inlineStr">
        <is>
          <t>Portugal</t>
        </is>
      </c>
      <c r="C1030" s="2" t="inlineStr">
        <is>
          <t>Mateus Fernandes</t>
        </is>
      </c>
      <c r="D1030" s="2" t="inlineStr">
        <is>
          <t>Médio</t>
        </is>
      </c>
      <c r="E1030" s="12" t="n">
        <v>12</v>
      </c>
      <c r="F1030" s="12" t="n">
        <v>1080</v>
      </c>
      <c r="G1030" s="12" t="n">
        <v>1</v>
      </c>
      <c r="H1030" s="12" t="n">
        <v>5</v>
      </c>
    </row>
    <row r="1031">
      <c r="A1031" s="1" t="n">
        <v>1097</v>
      </c>
      <c r="B1031" s="2" t="inlineStr">
        <is>
          <t>Portugal</t>
        </is>
      </c>
      <c r="C1031" s="2" t="inlineStr">
        <is>
          <t>João Neves</t>
        </is>
      </c>
      <c r="D1031" s="2" t="inlineStr">
        <is>
          <t>Médio</t>
        </is>
      </c>
      <c r="E1031" s="12" t="n">
        <v>12</v>
      </c>
      <c r="F1031" s="12" t="n">
        <v>1080</v>
      </c>
      <c r="G1031" s="12" t="n">
        <v>8</v>
      </c>
      <c r="H1031" s="12" t="n">
        <v>570</v>
      </c>
    </row>
    <row r="1032">
      <c r="A1032" s="1" t="n">
        <v>1098</v>
      </c>
      <c r="B1032" s="2" t="inlineStr">
        <is>
          <t>Portugal</t>
        </is>
      </c>
      <c r="C1032" s="2" t="inlineStr">
        <is>
          <t>Rúben Neves</t>
        </is>
      </c>
      <c r="D1032" s="2" t="inlineStr">
        <is>
          <t>Médio</t>
        </is>
      </c>
      <c r="E1032" s="12" t="n">
        <v>12</v>
      </c>
      <c r="F1032" s="12" t="n">
        <v>1080</v>
      </c>
      <c r="G1032" s="12" t="n">
        <v>11</v>
      </c>
      <c r="H1032" s="12" t="n">
        <v>556</v>
      </c>
    </row>
    <row r="1033">
      <c r="A1033" s="1" t="n">
        <v>1099</v>
      </c>
      <c r="B1033" s="2" t="inlineStr">
        <is>
          <t>Portugal</t>
        </is>
      </c>
      <c r="C1033" s="2" t="inlineStr">
        <is>
          <t>Vitinha</t>
        </is>
      </c>
      <c r="D1033" s="2" t="inlineStr">
        <is>
          <t>Médio</t>
        </is>
      </c>
      <c r="E1033" s="12" t="n">
        <v>12</v>
      </c>
      <c r="F1033" s="12" t="n">
        <v>1080</v>
      </c>
      <c r="G1033" s="12" t="n">
        <v>12</v>
      </c>
      <c r="H1033" s="12" t="n">
        <v>877</v>
      </c>
    </row>
    <row r="1034">
      <c r="A1034" s="1" t="n">
        <v>1100</v>
      </c>
      <c r="B1034" s="2" t="inlineStr">
        <is>
          <t>Portugal</t>
        </is>
      </c>
      <c r="C1034" s="2" t="inlineStr">
        <is>
          <t>Rafael Leão</t>
        </is>
      </c>
      <c r="D1034" s="2" t="inlineStr">
        <is>
          <t>Avançado</t>
        </is>
      </c>
      <c r="E1034" s="12" t="n">
        <v>12</v>
      </c>
      <c r="F1034" s="12" t="n">
        <v>1080</v>
      </c>
      <c r="G1034" s="12" t="n">
        <v>6</v>
      </c>
      <c r="H1034" s="12" t="n">
        <v>294</v>
      </c>
    </row>
    <row r="1035">
      <c r="A1035" s="1" t="n">
        <v>1101</v>
      </c>
      <c r="B1035" s="2" t="inlineStr">
        <is>
          <t>Portugal</t>
        </is>
      </c>
      <c r="C1035" s="2" t="inlineStr">
        <is>
          <t>Cristiano Ronaldo</t>
        </is>
      </c>
      <c r="D1035" s="2" t="inlineStr">
        <is>
          <t>Avançado</t>
        </is>
      </c>
      <c r="E1035" s="12" t="n">
        <v>12</v>
      </c>
      <c r="F1035" s="12" t="n">
        <v>1080</v>
      </c>
      <c r="G1035" s="12" t="n">
        <v>9</v>
      </c>
      <c r="H1035" s="12" t="n">
        <v>731</v>
      </c>
    </row>
    <row r="1036">
      <c r="A1036" s="1" t="n">
        <v>1102</v>
      </c>
      <c r="B1036" s="2" t="inlineStr">
        <is>
          <t>Portugal</t>
        </is>
      </c>
      <c r="C1036" s="2" t="inlineStr">
        <is>
          <t>Gonçalo Guedes</t>
        </is>
      </c>
      <c r="D1036" s="2" t="inlineStr">
        <is>
          <t>Avançado</t>
        </is>
      </c>
      <c r="E1036" s="12" t="n">
        <v>12</v>
      </c>
      <c r="F1036" s="12" t="n">
        <v>1080</v>
      </c>
      <c r="G1036" s="12" t="n">
        <v>1</v>
      </c>
      <c r="H1036" s="12" t="n">
        <v>44</v>
      </c>
    </row>
    <row r="1037">
      <c r="A1037" s="1" t="n">
        <v>1103</v>
      </c>
      <c r="B1037" s="2" t="inlineStr">
        <is>
          <t>Portugal</t>
        </is>
      </c>
      <c r="C1037" s="2" t="inlineStr">
        <is>
          <t>Gonçalo Ramos</t>
        </is>
      </c>
      <c r="D1037" s="2" t="inlineStr">
        <is>
          <t>Avançado</t>
        </is>
      </c>
      <c r="E1037" s="12" t="n">
        <v>12</v>
      </c>
      <c r="F1037" s="12" t="n">
        <v>1080</v>
      </c>
      <c r="G1037" s="12" t="n">
        <v>10</v>
      </c>
      <c r="H1037" s="12" t="n">
        <v>281</v>
      </c>
    </row>
    <row r="1038">
      <c r="A1038" s="1" t="n">
        <v>1104</v>
      </c>
      <c r="B1038" s="2" t="inlineStr">
        <is>
          <t>Portugal</t>
        </is>
      </c>
      <c r="C1038" s="2" t="inlineStr">
        <is>
          <t>João Félix</t>
        </is>
      </c>
      <c r="D1038" s="2" t="inlineStr">
        <is>
          <t>Avançado</t>
        </is>
      </c>
      <c r="E1038" s="12" t="n">
        <v>12</v>
      </c>
      <c r="F1038" s="12" t="n">
        <v>1080</v>
      </c>
      <c r="G1038" s="12" t="n">
        <v>7</v>
      </c>
      <c r="H1038" s="12" t="n">
        <v>281</v>
      </c>
    </row>
    <row r="1039">
      <c r="A1039" s="1" t="n">
        <v>1105</v>
      </c>
      <c r="B1039" s="2" t="inlineStr">
        <is>
          <t>Portugal</t>
        </is>
      </c>
      <c r="C1039" s="2" t="inlineStr">
        <is>
          <t>Francisco Trincão</t>
        </is>
      </c>
      <c r="D1039" s="2" t="inlineStr">
        <is>
          <t>Avançado</t>
        </is>
      </c>
      <c r="E1039" s="12" t="n">
        <v>12</v>
      </c>
      <c r="F1039" s="12" t="n">
        <v>1080</v>
      </c>
      <c r="G1039" s="12" t="n">
        <v>8</v>
      </c>
      <c r="H1039" s="12" t="n">
        <v>245</v>
      </c>
    </row>
    <row r="1040">
      <c r="A1040" s="1" t="n">
        <v>1106</v>
      </c>
      <c r="B1040" s="2" t="inlineStr">
        <is>
          <t>Portugal</t>
        </is>
      </c>
      <c r="C1040" s="2" t="inlineStr">
        <is>
          <t>Paulinho</t>
        </is>
      </c>
      <c r="D1040" s="2" t="inlineStr">
        <is>
          <t>Avançado</t>
        </is>
      </c>
      <c r="E1040" s="12" t="n">
        <v>12</v>
      </c>
      <c r="F1040" s="12" t="n">
        <v>1080</v>
      </c>
      <c r="G1040" s="12" t="n">
        <v>2</v>
      </c>
      <c r="H1040" s="12" t="n">
        <v>55</v>
      </c>
    </row>
    <row r="1041">
      <c r="A1041" s="1" t="n">
        <v>1107</v>
      </c>
      <c r="B1041" s="2" t="inlineStr">
        <is>
          <t>Portugal</t>
        </is>
      </c>
      <c r="C1041" s="2" t="inlineStr">
        <is>
          <t>Pedro Neto</t>
        </is>
      </c>
      <c r="D1041" s="2" t="inlineStr">
        <is>
          <t>Avançado</t>
        </is>
      </c>
      <c r="E1041" s="12" t="n">
        <v>12</v>
      </c>
      <c r="F1041" s="12" t="n">
        <v>1080</v>
      </c>
      <c r="G1041" s="12" t="n">
        <v>9</v>
      </c>
      <c r="H1041" s="12" t="n">
        <v>601</v>
      </c>
    </row>
    <row r="1042">
      <c r="A1042" s="1" t="n">
        <v>1108</v>
      </c>
      <c r="B1042" s="2" t="inlineStr">
        <is>
          <t>Portugal</t>
        </is>
      </c>
      <c r="C1042" s="2" t="inlineStr">
        <is>
          <t>Pedro Gonçalves</t>
        </is>
      </c>
      <c r="D1042" s="2" t="inlineStr">
        <is>
          <t>Avançado</t>
        </is>
      </c>
      <c r="E1042" s="12" t="n">
        <v>12</v>
      </c>
      <c r="F1042" s="12" t="n">
        <v>1080</v>
      </c>
      <c r="G1042" s="12" t="n">
        <v>1</v>
      </c>
      <c r="H1042" s="12" t="n">
        <v>24</v>
      </c>
    </row>
    <row r="1043">
      <c r="A1043" s="1" t="n">
        <v>1109</v>
      </c>
      <c r="B1043" s="2" t="inlineStr">
        <is>
          <t>Portugal</t>
        </is>
      </c>
      <c r="C1043" s="2" t="inlineStr">
        <is>
          <t>Ricardo Horta</t>
        </is>
      </c>
      <c r="D1043" s="2" t="inlineStr">
        <is>
          <t>Avançado</t>
        </is>
      </c>
      <c r="E1043" s="12" t="n">
        <v>12</v>
      </c>
      <c r="F1043" s="12" t="n">
        <v>1080</v>
      </c>
      <c r="G1043" s="12" t="n">
        <v>1</v>
      </c>
      <c r="H1043" s="12" t="n">
        <v>44</v>
      </c>
    </row>
    <row r="1044">
      <c r="A1044" s="1" t="n">
        <v>1110</v>
      </c>
      <c r="B1044" s="2" t="inlineStr">
        <is>
          <t>Portugal</t>
        </is>
      </c>
      <c r="C1044" s="2" t="inlineStr">
        <is>
          <t>Francisco Conceição</t>
        </is>
      </c>
      <c r="D1044" s="2" t="inlineStr">
        <is>
          <t>Avançado</t>
        </is>
      </c>
      <c r="E1044" s="12" t="n">
        <v>12</v>
      </c>
      <c r="F1044" s="12" t="n">
        <v>1080</v>
      </c>
      <c r="G1044" s="12" t="n">
        <v>7</v>
      </c>
      <c r="H1044" s="12" t="n">
        <v>310</v>
      </c>
    </row>
    <row r="1045">
      <c r="A1045" s="1" t="n">
        <v>1111</v>
      </c>
      <c r="B1045" s="2" t="inlineStr">
        <is>
          <t>DR Congo</t>
        </is>
      </c>
      <c r="C1045" s="2" t="inlineStr">
        <is>
          <t>Lionel Mpasi</t>
        </is>
      </c>
      <c r="D1045" s="2" t="inlineStr">
        <is>
          <t>Guarda Redes</t>
        </is>
      </c>
      <c r="E1045" s="11" t="n">
        <v>22</v>
      </c>
      <c r="F1045" s="11" t="n">
        <v>2070</v>
      </c>
      <c r="G1045" s="11" t="n">
        <v>11</v>
      </c>
      <c r="H1045" s="12" t="n">
        <v>300</v>
      </c>
    </row>
    <row r="1046">
      <c r="A1046" s="1" t="n">
        <v>1112</v>
      </c>
      <c r="B1046" s="2" t="inlineStr">
        <is>
          <t>DR Congo</t>
        </is>
      </c>
      <c r="C1046" s="2" t="inlineStr">
        <is>
          <t>Timothy Fayulu</t>
        </is>
      </c>
      <c r="D1046" s="2" t="inlineStr">
        <is>
          <t>Guarda Redes</t>
        </is>
      </c>
      <c r="E1046" s="11" t="n">
        <v>22</v>
      </c>
      <c r="F1046" s="11" t="n">
        <v>2070</v>
      </c>
      <c r="G1046" s="11" t="n">
        <v>4</v>
      </c>
      <c r="H1046" s="12" t="n">
        <v>45</v>
      </c>
    </row>
    <row r="1047">
      <c r="A1047" s="1" t="n">
        <v>1113</v>
      </c>
      <c r="B1047" s="2" t="inlineStr">
        <is>
          <t>DR Congo</t>
        </is>
      </c>
      <c r="C1047" s="2" t="inlineStr">
        <is>
          <t>Matthieu Epolo</t>
        </is>
      </c>
      <c r="D1047" s="2" t="inlineStr">
        <is>
          <t>Guarda Redes</t>
        </is>
      </c>
      <c r="E1047" s="11" t="n">
        <v>22</v>
      </c>
      <c r="F1047" s="11" t="n">
        <v>2070</v>
      </c>
      <c r="G1047" s="11" t="n">
        <v>1</v>
      </c>
      <c r="H1047" s="12" t="n">
        <v>45</v>
      </c>
    </row>
    <row r="1048">
      <c r="A1048" s="1" t="n">
        <v>1114</v>
      </c>
      <c r="B1048" s="2" t="inlineStr">
        <is>
          <t>DR Congo</t>
        </is>
      </c>
      <c r="C1048" s="2" t="inlineStr">
        <is>
          <t>Aaron Wan-Bissaka</t>
        </is>
      </c>
      <c r="D1048" s="2" t="inlineStr">
        <is>
          <t>Defesa</t>
        </is>
      </c>
      <c r="E1048" s="11" t="n">
        <v>22</v>
      </c>
      <c r="F1048" s="11" t="n">
        <v>2070</v>
      </c>
      <c r="G1048" s="11" t="n">
        <v>11</v>
      </c>
      <c r="H1048" s="12" t="n">
        <v>213</v>
      </c>
    </row>
    <row r="1049">
      <c r="A1049" s="1" t="n">
        <v>1115</v>
      </c>
      <c r="B1049" s="2" t="inlineStr">
        <is>
          <t>DR Congo</t>
        </is>
      </c>
      <c r="C1049" s="2" t="inlineStr">
        <is>
          <t>Steve Kapuadi</t>
        </is>
      </c>
      <c r="D1049" s="2" t="inlineStr">
        <is>
          <t>Defesa</t>
        </is>
      </c>
      <c r="E1049" s="11" t="n">
        <v>22</v>
      </c>
      <c r="F1049" s="11" t="n">
        <v>2070</v>
      </c>
      <c r="G1049" s="11" t="n">
        <v>4</v>
      </c>
      <c r="H1049" s="12" t="n">
        <v>135</v>
      </c>
    </row>
    <row r="1050">
      <c r="A1050" s="1" t="n">
        <v>1116</v>
      </c>
      <c r="B1050" s="2" t="inlineStr">
        <is>
          <t>DR Congo</t>
        </is>
      </c>
      <c r="C1050" s="2" t="inlineStr">
        <is>
          <t>Axel Tuanzebe</t>
        </is>
      </c>
      <c r="D1050" s="2" t="inlineStr">
        <is>
          <t>Defesa</t>
        </is>
      </c>
      <c r="E1050" s="11" t="n">
        <v>22</v>
      </c>
      <c r="F1050" s="11" t="n">
        <v>2070</v>
      </c>
      <c r="G1050" s="11" t="n">
        <v>10</v>
      </c>
      <c r="H1050" s="12" t="n">
        <v>300</v>
      </c>
    </row>
    <row r="1051">
      <c r="A1051" s="1" t="n">
        <v>1117</v>
      </c>
      <c r="B1051" s="2" t="inlineStr">
        <is>
          <t>DR Congo</t>
        </is>
      </c>
      <c r="C1051" s="2" t="inlineStr">
        <is>
          <t>Dylan Batubinsika</t>
        </is>
      </c>
      <c r="D1051" s="2" t="inlineStr">
        <is>
          <t>Defesa</t>
        </is>
      </c>
      <c r="E1051" s="11" t="n">
        <v>22</v>
      </c>
      <c r="F1051" s="11" t="n">
        <v>2070</v>
      </c>
      <c r="G1051" s="11" t="n">
        <v>6</v>
      </c>
      <c r="H1051" s="12" t="n">
        <v>0</v>
      </c>
    </row>
    <row r="1052">
      <c r="A1052" s="1" t="n">
        <v>1118</v>
      </c>
      <c r="B1052" s="2" t="inlineStr">
        <is>
          <t>DR Congo</t>
        </is>
      </c>
      <c r="C1052" s="2" t="inlineStr">
        <is>
          <t>Joris Kayembe</t>
        </is>
      </c>
      <c r="D1052" s="2" t="inlineStr">
        <is>
          <t>Defesa</t>
        </is>
      </c>
      <c r="E1052" s="11" t="n">
        <v>22</v>
      </c>
      <c r="F1052" s="11" t="n">
        <v>2070</v>
      </c>
      <c r="G1052" s="11" t="n">
        <v>13</v>
      </c>
      <c r="H1052" s="12" t="n">
        <v>140</v>
      </c>
    </row>
    <row r="1053">
      <c r="A1053" s="1" t="n">
        <v>1119</v>
      </c>
      <c r="B1053" s="2" t="inlineStr">
        <is>
          <t>DR Congo</t>
        </is>
      </c>
      <c r="C1053" s="2" t="inlineStr">
        <is>
          <t>Chancel Mbemba</t>
        </is>
      </c>
      <c r="D1053" s="2" t="inlineStr">
        <is>
          <t>Defesa</t>
        </is>
      </c>
      <c r="E1053" s="11" t="n">
        <v>22</v>
      </c>
      <c r="F1053" s="11" t="n">
        <v>2070</v>
      </c>
      <c r="G1053" s="11" t="n">
        <v>17</v>
      </c>
      <c r="H1053" s="12" t="n">
        <v>345</v>
      </c>
    </row>
    <row r="1054">
      <c r="A1054" s="1" t="n">
        <v>1120</v>
      </c>
      <c r="B1054" s="2" t="inlineStr">
        <is>
          <t>DR Congo</t>
        </is>
      </c>
      <c r="C1054" s="2" t="inlineStr">
        <is>
          <t>Gédéon Kalulu</t>
        </is>
      </c>
      <c r="D1054" s="2" t="inlineStr">
        <is>
          <t>Defesa</t>
        </is>
      </c>
      <c r="E1054" s="11" t="n">
        <v>22</v>
      </c>
      <c r="F1054" s="11" t="n">
        <v>2070</v>
      </c>
      <c r="G1054" s="11" t="n">
        <v>7</v>
      </c>
      <c r="H1054" s="12" t="n">
        <v>177</v>
      </c>
    </row>
    <row r="1055">
      <c r="A1055" s="1" t="n">
        <v>1121</v>
      </c>
      <c r="B1055" s="2" t="inlineStr">
        <is>
          <t>DR Congo</t>
        </is>
      </c>
      <c r="C1055" s="2" t="inlineStr">
        <is>
          <t>Arthur Masuaku</t>
        </is>
      </c>
      <c r="D1055" s="2" t="inlineStr">
        <is>
          <t>Defesa</t>
        </is>
      </c>
      <c r="E1055" s="11" t="n">
        <v>22</v>
      </c>
      <c r="F1055" s="11" t="n">
        <v>2070</v>
      </c>
      <c r="G1055" s="11" t="n">
        <v>14</v>
      </c>
      <c r="H1055" s="12" t="n">
        <v>250</v>
      </c>
    </row>
    <row r="1056">
      <c r="A1056" s="1" t="n">
        <v>1122</v>
      </c>
      <c r="B1056" s="2" t="inlineStr">
        <is>
          <t>DR Congo</t>
        </is>
      </c>
      <c r="C1056" s="2" t="inlineStr">
        <is>
          <t>Ngal´ayel Mukau</t>
        </is>
      </c>
      <c r="D1056" s="2" t="inlineStr">
        <is>
          <t>Médio</t>
        </is>
      </c>
      <c r="E1056" s="11" t="n">
        <v>22</v>
      </c>
      <c r="F1056" s="11" t="n">
        <v>2070</v>
      </c>
      <c r="G1056" s="11" t="n">
        <v>12</v>
      </c>
      <c r="H1056" s="12" t="n">
        <v>223</v>
      </c>
    </row>
    <row r="1057">
      <c r="A1057" s="1" t="n">
        <v>1123</v>
      </c>
      <c r="B1057" s="2" t="inlineStr">
        <is>
          <t>DR Congo</t>
        </is>
      </c>
      <c r="C1057" s="2" t="inlineStr">
        <is>
          <t>Sam Moutoussamy</t>
        </is>
      </c>
      <c r="D1057" s="2" t="inlineStr">
        <is>
          <t>Médio</t>
        </is>
      </c>
      <c r="E1057" s="11" t="n">
        <v>22</v>
      </c>
      <c r="F1057" s="11" t="n">
        <v>2070</v>
      </c>
      <c r="G1057" s="11" t="n">
        <v>15</v>
      </c>
      <c r="H1057" s="12" t="n">
        <v>282</v>
      </c>
    </row>
    <row r="1058">
      <c r="A1058" s="1" t="n">
        <v>1124</v>
      </c>
      <c r="B1058" s="2" t="inlineStr">
        <is>
          <t>DR Congo</t>
        </is>
      </c>
      <c r="C1058" s="2" t="inlineStr">
        <is>
          <t>Noah Sadiki</t>
        </is>
      </c>
      <c r="D1058" s="2" t="inlineStr">
        <is>
          <t>Médio</t>
        </is>
      </c>
      <c r="E1058" s="11" t="n">
        <v>22</v>
      </c>
      <c r="F1058" s="11" t="n">
        <v>2070</v>
      </c>
      <c r="G1058" s="11" t="n">
        <v>13</v>
      </c>
      <c r="H1058" s="12" t="n">
        <v>166</v>
      </c>
    </row>
    <row r="1059">
      <c r="A1059" s="1" t="n">
        <v>1125</v>
      </c>
      <c r="B1059" s="2" t="inlineStr">
        <is>
          <t>DR Congo</t>
        </is>
      </c>
      <c r="C1059" s="2" t="inlineStr">
        <is>
          <t>Aaron Tshibola</t>
        </is>
      </c>
      <c r="D1059" s="2" t="inlineStr">
        <is>
          <t>Médio</t>
        </is>
      </c>
      <c r="E1059" s="11" t="n">
        <v>22</v>
      </c>
      <c r="F1059" s="11" t="n">
        <v>2070</v>
      </c>
      <c r="G1059" s="11" t="n">
        <v>0</v>
      </c>
      <c r="H1059" s="12" t="n">
        <v>18</v>
      </c>
    </row>
    <row r="1060">
      <c r="A1060" s="1" t="n">
        <v>1126</v>
      </c>
      <c r="B1060" s="2" t="inlineStr">
        <is>
          <t>DR Congo</t>
        </is>
      </c>
      <c r="C1060" s="2" t="inlineStr">
        <is>
          <t>Charles Pickel</t>
        </is>
      </c>
      <c r="D1060" s="2" t="inlineStr">
        <is>
          <t>Médio</t>
        </is>
      </c>
      <c r="E1060" s="11" t="n">
        <v>22</v>
      </c>
      <c r="F1060" s="11" t="n">
        <v>2070</v>
      </c>
      <c r="G1060" s="11" t="n">
        <v>15</v>
      </c>
      <c r="H1060" s="12" t="n">
        <v>110</v>
      </c>
    </row>
    <row r="1061">
      <c r="A1061" s="1" t="n">
        <v>1127</v>
      </c>
      <c r="B1061" s="2" t="inlineStr">
        <is>
          <t>DR Congo</t>
        </is>
      </c>
      <c r="C1061" s="2" t="inlineStr">
        <is>
          <t>Edo Kayembe</t>
        </is>
      </c>
      <c r="D1061" s="2" t="inlineStr">
        <is>
          <t>Médio</t>
        </is>
      </c>
      <c r="E1061" s="11" t="n">
        <v>22</v>
      </c>
      <c r="F1061" s="11" t="n">
        <v>2070</v>
      </c>
      <c r="G1061" s="11" t="n">
        <v>17</v>
      </c>
      <c r="H1061" s="12" t="n">
        <v>243</v>
      </c>
    </row>
    <row r="1062">
      <c r="A1062" s="1" t="n">
        <v>1128</v>
      </c>
      <c r="B1062" s="2" t="inlineStr">
        <is>
          <t>DR Congo</t>
        </is>
      </c>
      <c r="C1062" s="2" t="inlineStr">
        <is>
          <t>Nathanael Mbuku</t>
        </is>
      </c>
      <c r="D1062" s="2" t="inlineStr">
        <is>
          <t>Avançado</t>
        </is>
      </c>
      <c r="E1062" s="11" t="n">
        <v>22</v>
      </c>
      <c r="F1062" s="11" t="n">
        <v>2070</v>
      </c>
      <c r="G1062" s="11" t="n">
        <v>16</v>
      </c>
      <c r="H1062" s="12" t="n">
        <v>157</v>
      </c>
    </row>
    <row r="1063">
      <c r="A1063" s="1" t="n">
        <v>1129</v>
      </c>
      <c r="B1063" s="2" t="inlineStr">
        <is>
          <t>DR Congo</t>
        </is>
      </c>
      <c r="C1063" s="2" t="inlineStr">
        <is>
          <t>Brian Cipenga</t>
        </is>
      </c>
      <c r="D1063" s="2" t="inlineStr">
        <is>
          <t>Avançado</t>
        </is>
      </c>
      <c r="E1063" s="11" t="n">
        <v>22</v>
      </c>
      <c r="F1063" s="11" t="n">
        <v>2070</v>
      </c>
      <c r="G1063" s="11" t="n">
        <v>8</v>
      </c>
      <c r="H1063" s="12" t="n">
        <v>73</v>
      </c>
    </row>
    <row r="1064">
      <c r="A1064" s="1" t="n">
        <v>1130</v>
      </c>
      <c r="B1064" s="2" t="inlineStr">
        <is>
          <t>DR Congo</t>
        </is>
      </c>
      <c r="C1064" s="2" t="inlineStr">
        <is>
          <t>Theo Bongonda</t>
        </is>
      </c>
      <c r="D1064" s="2" t="inlineStr">
        <is>
          <t>Avançado</t>
        </is>
      </c>
      <c r="E1064" s="11" t="n">
        <v>22</v>
      </c>
      <c r="F1064" s="11" t="n">
        <v>2070</v>
      </c>
      <c r="G1064" s="11" t="n">
        <v>12</v>
      </c>
      <c r="H1064" s="12" t="n">
        <v>187</v>
      </c>
    </row>
    <row r="1065">
      <c r="A1065" s="1" t="n">
        <v>1131</v>
      </c>
      <c r="B1065" s="2" t="inlineStr">
        <is>
          <t>DR Congo</t>
        </is>
      </c>
      <c r="C1065" s="2" t="inlineStr">
        <is>
          <t>Gaël Kakuta</t>
        </is>
      </c>
      <c r="D1065" s="2" t="inlineStr">
        <is>
          <t>Avançado</t>
        </is>
      </c>
      <c r="E1065" s="11" t="n">
        <v>22</v>
      </c>
      <c r="F1065" s="11" t="n">
        <v>2070</v>
      </c>
      <c r="G1065" s="11" t="n">
        <v>2</v>
      </c>
      <c r="H1065" s="12" t="n">
        <v>32</v>
      </c>
    </row>
    <row r="1066">
      <c r="A1066" s="1" t="n">
        <v>1132</v>
      </c>
      <c r="B1066" s="2" t="inlineStr">
        <is>
          <t>DR Congo</t>
        </is>
      </c>
      <c r="C1066" s="2" t="inlineStr">
        <is>
          <t>Meschack Elia</t>
        </is>
      </c>
      <c r="D1066" s="2" t="inlineStr">
        <is>
          <t>Avançado</t>
        </is>
      </c>
      <c r="E1066" s="11" t="n">
        <v>22</v>
      </c>
      <c r="F1066" s="11" t="n">
        <v>2070</v>
      </c>
      <c r="G1066" s="11" t="n">
        <v>16</v>
      </c>
      <c r="H1066" s="12" t="n">
        <v>148</v>
      </c>
    </row>
    <row r="1067">
      <c r="A1067" s="1" t="n">
        <v>1133</v>
      </c>
      <c r="B1067" s="2" t="inlineStr">
        <is>
          <t>DR Congo</t>
        </is>
      </c>
      <c r="C1067" s="2" t="inlineStr">
        <is>
          <t>Cédric Bakambu</t>
        </is>
      </c>
      <c r="D1067" s="2" t="inlineStr">
        <is>
          <t>Avançado</t>
        </is>
      </c>
      <c r="E1067" s="11" t="n">
        <v>22</v>
      </c>
      <c r="F1067" s="11" t="n">
        <v>2070</v>
      </c>
      <c r="G1067" s="11" t="n">
        <v>14</v>
      </c>
      <c r="H1067" s="12" t="n">
        <v>280</v>
      </c>
    </row>
    <row r="1068">
      <c r="A1068" s="1" t="n">
        <v>1134</v>
      </c>
      <c r="B1068" s="2" t="inlineStr">
        <is>
          <t>DR Congo</t>
        </is>
      </c>
      <c r="C1068" s="2" t="inlineStr">
        <is>
          <t>Fiston Mayele</t>
        </is>
      </c>
      <c r="D1068" s="2" t="inlineStr">
        <is>
          <t>Avançado</t>
        </is>
      </c>
      <c r="E1068" s="11" t="n">
        <v>22</v>
      </c>
      <c r="F1068" s="11" t="n">
        <v>2070</v>
      </c>
      <c r="G1068" s="11" t="n">
        <v>12</v>
      </c>
      <c r="H1068" s="12" t="n">
        <v>0</v>
      </c>
    </row>
    <row r="1069">
      <c r="A1069" s="1" t="n">
        <v>1135</v>
      </c>
      <c r="B1069" s="2" t="inlineStr">
        <is>
          <t>DR Congo</t>
        </is>
      </c>
      <c r="C1069" s="2" t="inlineStr">
        <is>
          <t>Yoane Wissa</t>
        </is>
      </c>
      <c r="D1069" s="2" t="inlineStr">
        <is>
          <t>Avançado</t>
        </is>
      </c>
      <c r="E1069" s="11" t="n">
        <v>22</v>
      </c>
      <c r="F1069" s="11" t="n">
        <v>2070</v>
      </c>
      <c r="G1069" s="11" t="n">
        <v>9</v>
      </c>
      <c r="H1069" s="12" t="n">
        <v>222</v>
      </c>
    </row>
    <row r="1070">
      <c r="A1070" s="1" t="n">
        <v>1136</v>
      </c>
      <c r="B1070" s="2" t="inlineStr">
        <is>
          <t>DR Congo</t>
        </is>
      </c>
      <c r="C1070" s="2" t="inlineStr">
        <is>
          <t>Simon Banza</t>
        </is>
      </c>
      <c r="D1070" s="2" t="inlineStr">
        <is>
          <t>Avançado</t>
        </is>
      </c>
      <c r="E1070" s="11" t="n">
        <v>22</v>
      </c>
      <c r="F1070" s="11" t="n">
        <v>2070</v>
      </c>
      <c r="G1070" s="11" t="n">
        <v>4</v>
      </c>
      <c r="H1070" s="12" t="n">
        <v>20</v>
      </c>
    </row>
    <row r="1071">
      <c r="A1071" s="1" t="n">
        <v>1137</v>
      </c>
      <c r="B1071" s="2" t="inlineStr">
        <is>
          <t>Senegal</t>
        </is>
      </c>
      <c r="C1071" s="2" t="inlineStr">
        <is>
          <t>Yehvann Diouf</t>
        </is>
      </c>
      <c r="D1071" s="2" t="inlineStr">
        <is>
          <t>Guarda Redes</t>
        </is>
      </c>
      <c r="E1071" s="12" t="n">
        <v>26</v>
      </c>
      <c r="F1071" s="12" t="n">
        <v>2370</v>
      </c>
      <c r="G1071" s="12" t="n">
        <v>2</v>
      </c>
      <c r="H1071" s="12" t="n">
        <v>90</v>
      </c>
    </row>
    <row r="1072">
      <c r="A1072" s="1" t="n">
        <v>1138</v>
      </c>
      <c r="B1072" s="2" t="inlineStr">
        <is>
          <t>Senegal</t>
        </is>
      </c>
      <c r="C1072" s="2" t="inlineStr">
        <is>
          <t>Édouard Mendy</t>
        </is>
      </c>
      <c r="D1072" s="2" t="inlineStr">
        <is>
          <t>Guarda Redes</t>
        </is>
      </c>
      <c r="E1072" s="12" t="n">
        <v>26</v>
      </c>
      <c r="F1072" s="12" t="n">
        <v>2370</v>
      </c>
      <c r="G1072" s="12" t="n">
        <v>15</v>
      </c>
      <c r="H1072" s="12" t="n">
        <v>270</v>
      </c>
    </row>
    <row r="1073">
      <c r="A1073" s="1" t="n">
        <v>1139</v>
      </c>
      <c r="B1073" s="2" t="inlineStr">
        <is>
          <t>Senegal</t>
        </is>
      </c>
      <c r="C1073" s="2" t="inlineStr">
        <is>
          <t>Mory Diaw</t>
        </is>
      </c>
      <c r="D1073" s="2" t="inlineStr">
        <is>
          <t>Guarda Redes</t>
        </is>
      </c>
      <c r="E1073" s="12" t="n">
        <v>26</v>
      </c>
      <c r="F1073" s="12" t="n">
        <v>2370</v>
      </c>
      <c r="G1073" s="12" t="n">
        <v>3</v>
      </c>
      <c r="H1073" s="12" t="n">
        <v>180</v>
      </c>
    </row>
    <row r="1074">
      <c r="A1074" s="1" t="n">
        <v>1140</v>
      </c>
      <c r="B1074" s="2" t="inlineStr">
        <is>
          <t>Senegal</t>
        </is>
      </c>
      <c r="C1074" s="2" t="inlineStr">
        <is>
          <t>Krépin Diatta</t>
        </is>
      </c>
      <c r="D1074" s="2" t="inlineStr">
        <is>
          <t>Defesa</t>
        </is>
      </c>
      <c r="E1074" s="12" t="n">
        <v>26</v>
      </c>
      <c r="F1074" s="12" t="n">
        <v>2370</v>
      </c>
      <c r="G1074" s="12" t="n">
        <v>17</v>
      </c>
      <c r="H1074" s="12" t="n">
        <v>308</v>
      </c>
    </row>
    <row r="1075">
      <c r="A1075" s="1" t="n">
        <v>1141</v>
      </c>
      <c r="B1075" s="2" t="inlineStr">
        <is>
          <t>Senegal</t>
        </is>
      </c>
      <c r="C1075" s="2" t="inlineStr">
        <is>
          <t>Mamadou Sarr</t>
        </is>
      </c>
      <c r="D1075" s="2" t="inlineStr">
        <is>
          <t>Defesa</t>
        </is>
      </c>
      <c r="E1075" s="12" t="n">
        <v>26</v>
      </c>
      <c r="F1075" s="12" t="n">
        <v>2370</v>
      </c>
      <c r="G1075" s="12" t="n">
        <v>7</v>
      </c>
      <c r="H1075" s="12" t="n">
        <v>378</v>
      </c>
    </row>
    <row r="1076">
      <c r="A1076" s="1" t="n">
        <v>1142</v>
      </c>
      <c r="B1076" s="2" t="inlineStr">
        <is>
          <t>Senegal</t>
        </is>
      </c>
      <c r="C1076" s="2" t="inlineStr">
        <is>
          <t>Kalidou Koulibaly</t>
        </is>
      </c>
      <c r="D1076" s="2" t="inlineStr">
        <is>
          <t>Defesa</t>
        </is>
      </c>
      <c r="E1076" s="12" t="n">
        <v>26</v>
      </c>
      <c r="F1076" s="12" t="n">
        <v>2370</v>
      </c>
      <c r="G1076" s="12" t="n">
        <v>14</v>
      </c>
      <c r="H1076" s="12" t="n">
        <v>161</v>
      </c>
    </row>
    <row r="1077">
      <c r="A1077" s="1" t="n">
        <v>1143</v>
      </c>
      <c r="B1077" s="2" t="inlineStr">
        <is>
          <t>Senegal</t>
        </is>
      </c>
      <c r="C1077" s="2" t="inlineStr">
        <is>
          <t>Abdoulaye Seck</t>
        </is>
      </c>
      <c r="D1077" s="2" t="inlineStr">
        <is>
          <t>Defesa</t>
        </is>
      </c>
      <c r="E1077" s="12" t="n">
        <v>26</v>
      </c>
      <c r="F1077" s="12" t="n">
        <v>2370</v>
      </c>
      <c r="G1077" s="12" t="n">
        <v>9</v>
      </c>
      <c r="H1077" s="12" t="n">
        <v>225</v>
      </c>
    </row>
    <row r="1078">
      <c r="A1078" s="1" t="n">
        <v>1144</v>
      </c>
      <c r="B1078" s="2" t="inlineStr">
        <is>
          <t>Senegal</t>
        </is>
      </c>
      <c r="C1078" s="2" t="inlineStr">
        <is>
          <t>Pathé Ciss</t>
        </is>
      </c>
      <c r="D1078" s="2" t="inlineStr">
        <is>
          <t>Defesa</t>
        </is>
      </c>
      <c r="E1078" s="12" t="n">
        <v>26</v>
      </c>
      <c r="F1078" s="12" t="n">
        <v>2370</v>
      </c>
      <c r="G1078" s="12" t="n">
        <v>12</v>
      </c>
      <c r="H1078" s="12" t="n">
        <v>275</v>
      </c>
    </row>
    <row r="1079">
      <c r="A1079" s="1" t="n">
        <v>1145</v>
      </c>
      <c r="B1079" s="2" t="inlineStr">
        <is>
          <t>Senegal</t>
        </is>
      </c>
      <c r="C1079" s="2" t="inlineStr">
        <is>
          <t>Moussa Niakhaté</t>
        </is>
      </c>
      <c r="D1079" s="2" t="inlineStr">
        <is>
          <t>Defesa</t>
        </is>
      </c>
      <c r="E1079" s="12" t="n">
        <v>26</v>
      </c>
      <c r="F1079" s="12" t="n">
        <v>2370</v>
      </c>
      <c r="G1079" s="12" t="n">
        <v>15</v>
      </c>
      <c r="H1079" s="12" t="n">
        <v>289</v>
      </c>
    </row>
    <row r="1080">
      <c r="A1080" s="1" t="n">
        <v>1146</v>
      </c>
      <c r="B1080" s="2" t="inlineStr">
        <is>
          <t>Senegal</t>
        </is>
      </c>
      <c r="C1080" s="2" t="inlineStr">
        <is>
          <t>Antoine Mendy</t>
        </is>
      </c>
      <c r="D1080" s="2" t="inlineStr">
        <is>
          <t>Defesa</t>
        </is>
      </c>
      <c r="E1080" s="12" t="n">
        <v>26</v>
      </c>
      <c r="F1080" s="12" t="n">
        <v>2370</v>
      </c>
      <c r="G1080" s="12" t="n">
        <v>6</v>
      </c>
      <c r="H1080" s="12" t="n">
        <v>142</v>
      </c>
    </row>
    <row r="1081">
      <c r="A1081" s="1" t="n">
        <v>1147</v>
      </c>
      <c r="B1081" s="2" t="inlineStr">
        <is>
          <t>Senegal</t>
        </is>
      </c>
      <c r="C1081" s="2" t="inlineStr">
        <is>
          <t>Ismail Jakobs</t>
        </is>
      </c>
      <c r="D1081" s="2" t="inlineStr">
        <is>
          <t>Defesa</t>
        </is>
      </c>
      <c r="E1081" s="12" t="n">
        <v>26</v>
      </c>
      <c r="F1081" s="12" t="n">
        <v>2370</v>
      </c>
      <c r="G1081" s="12" t="n">
        <v>8</v>
      </c>
      <c r="H1081" s="12" t="n">
        <v>256</v>
      </c>
    </row>
    <row r="1082">
      <c r="A1082" s="1" t="n">
        <v>1148</v>
      </c>
      <c r="B1082" s="2" t="inlineStr">
        <is>
          <t>Senegal</t>
        </is>
      </c>
      <c r="C1082" s="2" t="inlineStr">
        <is>
          <t>El Hadji Diouf</t>
        </is>
      </c>
      <c r="D1082" s="2" t="inlineStr">
        <is>
          <t>Defesa</t>
        </is>
      </c>
      <c r="E1082" s="12" t="n">
        <v>26</v>
      </c>
      <c r="F1082" s="12" t="n">
        <v>2370</v>
      </c>
      <c r="G1082" s="12" t="n">
        <v>15</v>
      </c>
      <c r="H1082" s="12" t="n">
        <v>284</v>
      </c>
    </row>
    <row r="1083">
      <c r="A1083" s="1" t="n">
        <v>1149</v>
      </c>
      <c r="B1083" s="2" t="inlineStr">
        <is>
          <t>Senegal</t>
        </is>
      </c>
      <c r="C1083" s="2" t="inlineStr">
        <is>
          <t>Gana Gueye</t>
        </is>
      </c>
      <c r="D1083" s="2" t="inlineStr">
        <is>
          <t>Médio</t>
        </is>
      </c>
      <c r="E1083" s="12" t="n">
        <v>26</v>
      </c>
      <c r="F1083" s="12" t="n">
        <v>2370</v>
      </c>
      <c r="G1083" s="12" t="n">
        <v>17</v>
      </c>
      <c r="H1083" s="12" t="n">
        <v>219</v>
      </c>
    </row>
    <row r="1084">
      <c r="A1084" s="1" t="n">
        <v>1150</v>
      </c>
      <c r="B1084" s="2" t="inlineStr">
        <is>
          <t>Senegal</t>
        </is>
      </c>
      <c r="C1084" s="2" t="inlineStr">
        <is>
          <t>Pape Gueye</t>
        </is>
      </c>
      <c r="D1084" s="2" t="inlineStr">
        <is>
          <t>Médio</t>
        </is>
      </c>
      <c r="E1084" s="12" t="n">
        <v>26</v>
      </c>
      <c r="F1084" s="12" t="n">
        <v>2370</v>
      </c>
      <c r="G1084" s="12" t="n">
        <v>15</v>
      </c>
      <c r="H1084" s="12" t="n">
        <v>233</v>
      </c>
    </row>
    <row r="1085">
      <c r="A1085" s="1" t="n">
        <v>1151</v>
      </c>
      <c r="B1085" s="2" t="inlineStr">
        <is>
          <t>Senegal</t>
        </is>
      </c>
      <c r="C1085" s="2" t="inlineStr">
        <is>
          <t>Lamine Camara</t>
        </is>
      </c>
      <c r="D1085" s="2" t="inlineStr">
        <is>
          <t>Médio</t>
        </is>
      </c>
      <c r="E1085" s="12" t="n">
        <v>26</v>
      </c>
      <c r="F1085" s="12" t="n">
        <v>2370</v>
      </c>
      <c r="G1085" s="12" t="n">
        <v>16</v>
      </c>
      <c r="H1085" s="12" t="n">
        <v>255</v>
      </c>
    </row>
    <row r="1086">
      <c r="A1086" s="1" t="n">
        <v>1152</v>
      </c>
      <c r="B1086" s="2" t="inlineStr">
        <is>
          <t>Senegal</t>
        </is>
      </c>
      <c r="C1086" s="2" t="inlineStr">
        <is>
          <t>Pape Sarr</t>
        </is>
      </c>
      <c r="D1086" s="2" t="inlineStr">
        <is>
          <t>Médio</t>
        </is>
      </c>
      <c r="E1086" s="12" t="n">
        <v>26</v>
      </c>
      <c r="F1086" s="12" t="n">
        <v>2370</v>
      </c>
      <c r="G1086" s="12" t="n">
        <v>10</v>
      </c>
      <c r="H1086" s="12" t="n">
        <v>106</v>
      </c>
    </row>
    <row r="1087">
      <c r="A1087" s="1" t="n">
        <v>1153</v>
      </c>
      <c r="B1087" s="2" t="inlineStr">
        <is>
          <t>Senegal</t>
        </is>
      </c>
      <c r="C1087" s="2" t="inlineStr">
        <is>
          <t>Habib Diarra</t>
        </is>
      </c>
      <c r="D1087" s="2" t="inlineStr">
        <is>
          <t>Médio</t>
        </is>
      </c>
      <c r="E1087" s="12" t="n">
        <v>26</v>
      </c>
      <c r="F1087" s="12" t="n">
        <v>2370</v>
      </c>
      <c r="G1087" s="12" t="n">
        <v>11</v>
      </c>
      <c r="H1087" s="12" t="n">
        <v>240</v>
      </c>
    </row>
    <row r="1088">
      <c r="A1088" s="1" t="n">
        <v>1154</v>
      </c>
      <c r="B1088" s="2" t="inlineStr">
        <is>
          <t>Senegal</t>
        </is>
      </c>
      <c r="C1088" s="2" t="inlineStr">
        <is>
          <t>Bara Ndiaye</t>
        </is>
      </c>
      <c r="D1088" s="2" t="inlineStr">
        <is>
          <t>Médio</t>
        </is>
      </c>
      <c r="E1088" s="12" t="n">
        <v>26</v>
      </c>
      <c r="F1088" s="12" t="n">
        <v>2370</v>
      </c>
      <c r="G1088" s="12" t="n">
        <v>1</v>
      </c>
      <c r="H1088" s="12" t="n">
        <v>90</v>
      </c>
    </row>
    <row r="1089">
      <c r="A1089" s="1" t="n">
        <v>1155</v>
      </c>
      <c r="B1089" s="2" t="inlineStr">
        <is>
          <t>Senegal</t>
        </is>
      </c>
      <c r="C1089" s="2" t="inlineStr">
        <is>
          <t>Iliman Ndiaye</t>
        </is>
      </c>
      <c r="D1089" s="2" t="inlineStr">
        <is>
          <t>Avançado</t>
        </is>
      </c>
      <c r="E1089" s="12" t="n">
        <v>26</v>
      </c>
      <c r="F1089" s="12" t="n">
        <v>2370</v>
      </c>
      <c r="G1089" s="12" t="n">
        <v>14</v>
      </c>
      <c r="H1089" s="12" t="n">
        <v>214</v>
      </c>
    </row>
    <row r="1090">
      <c r="A1090" s="1" t="n">
        <v>1156</v>
      </c>
      <c r="B1090" s="2" t="inlineStr">
        <is>
          <t>Senegal</t>
        </is>
      </c>
      <c r="C1090" s="2" t="inlineStr">
        <is>
          <t>Ismaila Sarr</t>
        </is>
      </c>
      <c r="D1090" s="2" t="inlineStr">
        <is>
          <t>Avançado</t>
        </is>
      </c>
      <c r="E1090" s="12" t="n">
        <v>26</v>
      </c>
      <c r="F1090" s="12" t="n">
        <v>2370</v>
      </c>
      <c r="G1090" s="12" t="n">
        <v>14</v>
      </c>
      <c r="H1090" s="12" t="n">
        <v>254</v>
      </c>
    </row>
    <row r="1091">
      <c r="A1091" s="1" t="n">
        <v>1157</v>
      </c>
      <c r="B1091" s="2" t="inlineStr">
        <is>
          <t>Senegal</t>
        </is>
      </c>
      <c r="C1091" s="2" t="inlineStr">
        <is>
          <t>Ibrahim Mbaye</t>
        </is>
      </c>
      <c r="D1091" s="2" t="inlineStr">
        <is>
          <t>Avançado</t>
        </is>
      </c>
      <c r="E1091" s="12" t="n">
        <v>26</v>
      </c>
      <c r="F1091" s="12" t="n">
        <v>2370</v>
      </c>
      <c r="G1091" s="12" t="n">
        <v>10</v>
      </c>
      <c r="H1091" s="12" t="n">
        <v>197</v>
      </c>
    </row>
    <row r="1092">
      <c r="A1092" s="1" t="n">
        <v>1158</v>
      </c>
      <c r="B1092" s="2" t="inlineStr">
        <is>
          <t>Senegal</t>
        </is>
      </c>
      <c r="C1092" s="2" t="inlineStr">
        <is>
          <t>Bamba Dieng</t>
        </is>
      </c>
      <c r="D1092" s="2" t="inlineStr">
        <is>
          <t>Avançado</t>
        </is>
      </c>
      <c r="E1092" s="12" t="n">
        <v>26</v>
      </c>
      <c r="F1092" s="12" t="n">
        <v>2370</v>
      </c>
      <c r="G1092" s="12" t="n">
        <v>2</v>
      </c>
      <c r="H1092" s="12" t="n">
        <v>69</v>
      </c>
    </row>
    <row r="1093">
      <c r="A1093" s="1" t="n">
        <v>1159</v>
      </c>
      <c r="B1093" s="2" t="inlineStr">
        <is>
          <t>Senegal</t>
        </is>
      </c>
      <c r="C1093" s="2" t="inlineStr">
        <is>
          <t>Nicolas Jackson</t>
        </is>
      </c>
      <c r="D1093" s="2" t="inlineStr">
        <is>
          <t>Avançado</t>
        </is>
      </c>
      <c r="E1093" s="12" t="n">
        <v>26</v>
      </c>
      <c r="F1093" s="12" t="n">
        <v>2370</v>
      </c>
      <c r="G1093" s="12" t="n">
        <v>14</v>
      </c>
      <c r="H1093" s="12" t="n">
        <v>252</v>
      </c>
    </row>
    <row r="1094">
      <c r="A1094" s="1" t="n">
        <v>1160</v>
      </c>
      <c r="B1094" s="2" t="inlineStr">
        <is>
          <t>Senegal</t>
        </is>
      </c>
      <c r="C1094" s="2" t="inlineStr">
        <is>
          <t>Cherif Ndiaye</t>
        </is>
      </c>
      <c r="D1094" s="2" t="inlineStr">
        <is>
          <t>Avançado</t>
        </is>
      </c>
      <c r="E1094" s="12" t="n">
        <v>26</v>
      </c>
      <c r="F1094" s="12" t="n">
        <v>2370</v>
      </c>
      <c r="G1094" s="12" t="n">
        <v>14</v>
      </c>
      <c r="H1094" s="12" t="n">
        <v>183</v>
      </c>
    </row>
    <row r="1095">
      <c r="A1095" s="1" t="n">
        <v>1161</v>
      </c>
      <c r="B1095" s="2" t="inlineStr">
        <is>
          <t>Senegal</t>
        </is>
      </c>
      <c r="C1095" s="2" t="inlineStr">
        <is>
          <t>Assane Diao</t>
        </is>
      </c>
      <c r="D1095" s="2" t="inlineStr">
        <is>
          <t>Avançado</t>
        </is>
      </c>
      <c r="E1095" s="12" t="n">
        <v>26</v>
      </c>
      <c r="F1095" s="12" t="n">
        <v>2370</v>
      </c>
      <c r="G1095" s="12" t="n">
        <v>5</v>
      </c>
      <c r="H1095" s="12" t="n">
        <v>98</v>
      </c>
    </row>
    <row r="1096">
      <c r="A1096" s="1" t="n">
        <v>1162</v>
      </c>
      <c r="B1096" s="2" t="inlineStr">
        <is>
          <t>Senegal</t>
        </is>
      </c>
      <c r="C1096" s="2" t="inlineStr">
        <is>
          <t>Sadio Mané</t>
        </is>
      </c>
      <c r="D1096" s="2" t="inlineStr">
        <is>
          <t>Avançado</t>
        </is>
      </c>
      <c r="E1096" s="12" t="n">
        <v>26</v>
      </c>
      <c r="F1096" s="12" t="n">
        <v>2370</v>
      </c>
      <c r="G1096" s="12" t="n">
        <v>16</v>
      </c>
      <c r="H1096" s="12" t="n">
        <v>263</v>
      </c>
    </row>
    <row r="1097">
      <c r="A1097" s="1" t="n">
        <v>1163</v>
      </c>
      <c r="B1097" s="2" t="inlineStr">
        <is>
          <t>Sweden</t>
        </is>
      </c>
      <c r="C1097" s="2" t="inlineStr">
        <is>
          <t>Jacob Zetterström</t>
        </is>
      </c>
      <c r="D1097" s="2" t="inlineStr">
        <is>
          <t>Guarda Redes</t>
        </is>
      </c>
      <c r="E1097" s="15" t="n">
        <v>14</v>
      </c>
      <c r="F1097" s="15" t="n">
        <v>1260</v>
      </c>
      <c r="G1097" s="15" t="n">
        <v>2</v>
      </c>
      <c r="H1097" s="12" t="n">
        <v>90</v>
      </c>
    </row>
    <row r="1098">
      <c r="A1098" s="1" t="n">
        <v>1164</v>
      </c>
      <c r="B1098" s="2" t="inlineStr">
        <is>
          <t>Sweden</t>
        </is>
      </c>
      <c r="C1098" s="2" t="inlineStr">
        <is>
          <t>Viktor Johansson</t>
        </is>
      </c>
      <c r="D1098" s="2" t="inlineStr">
        <is>
          <t>Guarda Redes</t>
        </is>
      </c>
      <c r="E1098" s="15" t="n">
        <v>14</v>
      </c>
      <c r="F1098" s="15" t="n">
        <v>1260</v>
      </c>
      <c r="G1098" s="15" t="n">
        <v>5</v>
      </c>
      <c r="H1098" s="12" t="n">
        <v>0</v>
      </c>
    </row>
    <row r="1099">
      <c r="A1099" s="1" t="n">
        <v>1165</v>
      </c>
      <c r="B1099" s="2" t="inlineStr">
        <is>
          <t>Sweden</t>
        </is>
      </c>
      <c r="C1099" s="2" t="inlineStr">
        <is>
          <t>Kristoffer Nordfeldt</t>
        </is>
      </c>
      <c r="D1099" s="2" t="inlineStr">
        <is>
          <t>Guarda Redes</t>
        </is>
      </c>
      <c r="E1099" s="15" t="n">
        <v>14</v>
      </c>
      <c r="F1099" s="15" t="n">
        <v>1260</v>
      </c>
      <c r="G1099" s="15" t="n">
        <v>3</v>
      </c>
      <c r="H1099" s="12" t="n">
        <v>270</v>
      </c>
    </row>
    <row r="1100">
      <c r="A1100" s="1" t="n">
        <v>1166</v>
      </c>
      <c r="B1100" s="2" t="inlineStr">
        <is>
          <t>Sweden</t>
        </is>
      </c>
      <c r="C1100" s="2" t="inlineStr">
        <is>
          <t>Herman Johansson</t>
        </is>
      </c>
      <c r="D1100" s="2" t="inlineStr">
        <is>
          <t>Defesa</t>
        </is>
      </c>
      <c r="E1100" s="15" t="n">
        <v>14</v>
      </c>
      <c r="F1100" s="15" t="n">
        <v>1260</v>
      </c>
      <c r="G1100" s="15" t="n">
        <v>3</v>
      </c>
      <c r="H1100" s="12" t="n">
        <v>153</v>
      </c>
    </row>
    <row r="1101">
      <c r="A1101" s="1" t="n">
        <v>1167</v>
      </c>
      <c r="B1101" s="2" t="inlineStr">
        <is>
          <t>Sweden</t>
        </is>
      </c>
      <c r="C1101" s="2" t="inlineStr">
        <is>
          <t>Elliot Stroud</t>
        </is>
      </c>
      <c r="D1101" s="2" t="inlineStr">
        <is>
          <t>Defesa</t>
        </is>
      </c>
      <c r="E1101" s="15" t="n">
        <v>14</v>
      </c>
      <c r="F1101" s="15" t="n">
        <v>1260</v>
      </c>
      <c r="G1101" s="15" t="n">
        <v>1</v>
      </c>
      <c r="H1101" s="12" t="n">
        <v>26</v>
      </c>
    </row>
    <row r="1102">
      <c r="A1102" s="1" t="n">
        <v>1168</v>
      </c>
      <c r="B1102" s="2" t="inlineStr">
        <is>
          <t>Sweden</t>
        </is>
      </c>
      <c r="C1102" s="2" t="inlineStr">
        <is>
          <t>Gustaf Lagerbielke</t>
        </is>
      </c>
      <c r="D1102" s="2" t="inlineStr">
        <is>
          <t>Defesa</t>
        </is>
      </c>
      <c r="E1102" s="15" t="n">
        <v>14</v>
      </c>
      <c r="F1102" s="15" t="n">
        <v>1260</v>
      </c>
      <c r="G1102" s="15" t="n">
        <v>9</v>
      </c>
      <c r="H1102" s="12" t="n">
        <v>289</v>
      </c>
    </row>
    <row r="1103">
      <c r="A1103" s="1" t="n">
        <v>1169</v>
      </c>
      <c r="B1103" s="2" t="inlineStr">
        <is>
          <t>Sweden</t>
        </is>
      </c>
      <c r="C1103" s="2" t="inlineStr">
        <is>
          <t>Victor Lindelöf</t>
        </is>
      </c>
      <c r="D1103" s="2" t="inlineStr">
        <is>
          <t>Defesa</t>
        </is>
      </c>
      <c r="E1103" s="15" t="n">
        <v>14</v>
      </c>
      <c r="F1103" s="15" t="n">
        <v>1260</v>
      </c>
      <c r="G1103" s="15" t="n">
        <v>6</v>
      </c>
      <c r="H1103" s="12" t="n">
        <v>207</v>
      </c>
    </row>
    <row r="1104">
      <c r="A1104" s="1" t="n">
        <v>1170</v>
      </c>
      <c r="B1104" s="2" t="inlineStr">
        <is>
          <t>Sweden</t>
        </is>
      </c>
      <c r="C1104" s="2" t="inlineStr">
        <is>
          <t>Isak Hien</t>
        </is>
      </c>
      <c r="D1104" s="2" t="inlineStr">
        <is>
          <t>Defesa</t>
        </is>
      </c>
      <c r="E1104" s="15" t="n">
        <v>14</v>
      </c>
      <c r="F1104" s="15" t="n">
        <v>1260</v>
      </c>
      <c r="G1104" s="15" t="n">
        <v>12</v>
      </c>
      <c r="H1104" s="12" t="n">
        <v>146</v>
      </c>
    </row>
    <row r="1105">
      <c r="A1105" s="1" t="n">
        <v>1171</v>
      </c>
      <c r="B1105" s="2" t="inlineStr">
        <is>
          <t>Sweden</t>
        </is>
      </c>
      <c r="C1105" s="2" t="inlineStr">
        <is>
          <t>Hjalmar Ekdal</t>
        </is>
      </c>
      <c r="D1105" s="2" t="inlineStr">
        <is>
          <t>Defesa</t>
        </is>
      </c>
      <c r="E1105" s="15" t="n">
        <v>14</v>
      </c>
      <c r="F1105" s="15" t="n">
        <v>1260</v>
      </c>
      <c r="G1105" s="15" t="n">
        <v>6</v>
      </c>
      <c r="H1105" s="12" t="n">
        <v>55</v>
      </c>
    </row>
    <row r="1106">
      <c r="A1106" s="1" t="n">
        <v>1172</v>
      </c>
      <c r="B1106" s="2" t="inlineStr">
        <is>
          <t>Sweden</t>
        </is>
      </c>
      <c r="C1106" s="2" t="inlineStr">
        <is>
          <t>Carl Starfelt</t>
        </is>
      </c>
      <c r="D1106" s="2" t="inlineStr">
        <is>
          <t>Defesa</t>
        </is>
      </c>
      <c r="E1106" s="15" t="n">
        <v>14</v>
      </c>
      <c r="F1106" s="15" t="n">
        <v>1260</v>
      </c>
      <c r="G1106" s="15" t="n">
        <v>5</v>
      </c>
      <c r="H1106" s="12" t="n">
        <v>169</v>
      </c>
    </row>
    <row r="1107">
      <c r="A1107" s="1" t="n">
        <v>1173</v>
      </c>
      <c r="B1107" s="2" t="inlineStr">
        <is>
          <t>Sweden</t>
        </is>
      </c>
      <c r="C1107" s="2" t="inlineStr">
        <is>
          <t>Eric Smith</t>
        </is>
      </c>
      <c r="D1107" s="2" t="inlineStr">
        <is>
          <t>Defesa</t>
        </is>
      </c>
      <c r="E1107" s="15" t="n">
        <v>14</v>
      </c>
      <c r="F1107" s="15" t="n">
        <v>1260</v>
      </c>
      <c r="G1107" s="15" t="n">
        <v>2</v>
      </c>
      <c r="H1107" s="12" t="n">
        <v>71</v>
      </c>
    </row>
    <row r="1108">
      <c r="A1108" s="1" t="n">
        <v>1174</v>
      </c>
      <c r="B1108" s="2" t="inlineStr">
        <is>
          <t>Sweden</t>
        </is>
      </c>
      <c r="C1108" s="2" t="inlineStr">
        <is>
          <t>Gabriel Gudmundsson</t>
        </is>
      </c>
      <c r="D1108" s="2" t="inlineStr">
        <is>
          <t>Defesa</t>
        </is>
      </c>
      <c r="E1108" s="15" t="n">
        <v>14</v>
      </c>
      <c r="F1108" s="15" t="n">
        <v>1260</v>
      </c>
      <c r="G1108" s="15" t="n">
        <v>12</v>
      </c>
      <c r="H1108" s="12" t="n">
        <v>231</v>
      </c>
    </row>
    <row r="1109">
      <c r="A1109" s="1" t="n">
        <v>1175</v>
      </c>
      <c r="B1109" s="2" t="inlineStr">
        <is>
          <t>Sweden</t>
        </is>
      </c>
      <c r="C1109" s="2" t="inlineStr">
        <is>
          <t>Daniel Svensson</t>
        </is>
      </c>
      <c r="D1109" s="2" t="inlineStr">
        <is>
          <t>Defesa</t>
        </is>
      </c>
      <c r="E1109" s="15" t="n">
        <v>14</v>
      </c>
      <c r="F1109" s="15" t="n">
        <v>1260</v>
      </c>
      <c r="G1109" s="15" t="n">
        <v>12</v>
      </c>
      <c r="H1109" s="12" t="n">
        <v>273</v>
      </c>
    </row>
    <row r="1110">
      <c r="A1110" s="1" t="n">
        <v>1176</v>
      </c>
      <c r="B1110" s="2" t="inlineStr">
        <is>
          <t>Sweden</t>
        </is>
      </c>
      <c r="C1110" s="2" t="inlineStr">
        <is>
          <t>Jesper Karlstrom</t>
        </is>
      </c>
      <c r="D1110" s="2" t="inlineStr">
        <is>
          <t>Médio</t>
        </is>
      </c>
      <c r="E1110" s="15" t="n">
        <v>14</v>
      </c>
      <c r="F1110" s="15" t="n">
        <v>1260</v>
      </c>
      <c r="G1110" s="15" t="n">
        <v>9</v>
      </c>
      <c r="H1110" s="12" t="n">
        <v>229</v>
      </c>
    </row>
    <row r="1111">
      <c r="A1111" s="1" t="n">
        <v>1177</v>
      </c>
      <c r="B1111" s="2" t="inlineStr">
        <is>
          <t>Sweden</t>
        </is>
      </c>
      <c r="C1111" s="2" t="inlineStr">
        <is>
          <t>Lucas Bergvall</t>
        </is>
      </c>
      <c r="D1111" s="2" t="inlineStr">
        <is>
          <t>Médio</t>
        </is>
      </c>
      <c r="E1111" s="15" t="n">
        <v>14</v>
      </c>
      <c r="F1111" s="15" t="n">
        <v>1260</v>
      </c>
      <c r="G1111" s="15" t="n">
        <v>6</v>
      </c>
      <c r="H1111" s="12" t="n">
        <v>106</v>
      </c>
    </row>
    <row r="1112">
      <c r="A1112" s="1" t="n">
        <v>1178</v>
      </c>
      <c r="B1112" s="2" t="inlineStr">
        <is>
          <t>Sweden</t>
        </is>
      </c>
      <c r="C1112" s="2" t="inlineStr">
        <is>
          <t>Mattias Svanberg</t>
        </is>
      </c>
      <c r="D1112" s="2" t="inlineStr">
        <is>
          <t>Médio</t>
        </is>
      </c>
      <c r="E1112" s="15" t="n">
        <v>14</v>
      </c>
      <c r="F1112" s="15" t="n">
        <v>1260</v>
      </c>
      <c r="G1112" s="15" t="n">
        <v>6</v>
      </c>
      <c r="H1112" s="12" t="n">
        <v>112</v>
      </c>
    </row>
    <row r="1113">
      <c r="A1113" s="1" t="n">
        <v>1179</v>
      </c>
      <c r="B1113" s="2" t="inlineStr">
        <is>
          <t>Sweden</t>
        </is>
      </c>
      <c r="C1113" s="2" t="inlineStr">
        <is>
          <t>Besfort Zeneli</t>
        </is>
      </c>
      <c r="D1113" s="2" t="inlineStr">
        <is>
          <t>Médio</t>
        </is>
      </c>
      <c r="E1113" s="15" t="n">
        <v>14</v>
      </c>
      <c r="F1113" s="15" t="n">
        <v>1260</v>
      </c>
      <c r="G1113" s="15" t="n">
        <v>8</v>
      </c>
      <c r="H1113" s="12" t="n">
        <v>92</v>
      </c>
    </row>
    <row r="1114">
      <c r="A1114" s="1" t="n">
        <v>1180</v>
      </c>
      <c r="B1114" s="2" t="inlineStr">
        <is>
          <t>Sweden</t>
        </is>
      </c>
      <c r="C1114" s="2" t="inlineStr">
        <is>
          <t>Yasin Ayari</t>
        </is>
      </c>
      <c r="D1114" s="2" t="inlineStr">
        <is>
          <t>Médio</t>
        </is>
      </c>
      <c r="E1114" s="15" t="n">
        <v>14</v>
      </c>
      <c r="F1114" s="15" t="n">
        <v>1260</v>
      </c>
      <c r="G1114" s="15" t="n">
        <v>13</v>
      </c>
      <c r="H1114" s="12" t="n">
        <v>276</v>
      </c>
    </row>
    <row r="1115">
      <c r="A1115" s="1" t="n">
        <v>1181</v>
      </c>
      <c r="B1115" s="2" t="inlineStr">
        <is>
          <t>Sweden</t>
        </is>
      </c>
      <c r="C1115" s="2" t="inlineStr">
        <is>
          <t>Alexander Bernhardsson</t>
        </is>
      </c>
      <c r="D1115" s="2" t="inlineStr">
        <is>
          <t>Avançado</t>
        </is>
      </c>
      <c r="E1115" s="15" t="n">
        <v>14</v>
      </c>
      <c r="F1115" s="15" t="n">
        <v>1260</v>
      </c>
      <c r="G1115" s="15" t="n">
        <v>10</v>
      </c>
      <c r="H1115" s="12" t="n">
        <v>109</v>
      </c>
    </row>
    <row r="1116">
      <c r="A1116" s="1" t="n">
        <v>1182</v>
      </c>
      <c r="B1116" s="2" t="inlineStr">
        <is>
          <t>Sweden</t>
        </is>
      </c>
      <c r="C1116" s="2" t="inlineStr">
        <is>
          <t>Taha Ali</t>
        </is>
      </c>
      <c r="D1116" s="2" t="inlineStr">
        <is>
          <t>Avançado</t>
        </is>
      </c>
      <c r="E1116" s="15" t="n">
        <v>14</v>
      </c>
      <c r="F1116" s="15" t="n">
        <v>1260</v>
      </c>
      <c r="G1116" s="15" t="n">
        <v>1</v>
      </c>
      <c r="H1116" s="12" t="n">
        <v>26</v>
      </c>
    </row>
    <row r="1117">
      <c r="A1117" s="1" t="n">
        <v>1183</v>
      </c>
      <c r="B1117" s="2" t="inlineStr">
        <is>
          <t>Sweden</t>
        </is>
      </c>
      <c r="C1117" s="2" t="inlineStr">
        <is>
          <t>Alexander Isak</t>
        </is>
      </c>
      <c r="D1117" s="2" t="inlineStr">
        <is>
          <t>Avançado</t>
        </is>
      </c>
      <c r="E1117" s="15" t="n">
        <v>14</v>
      </c>
      <c r="F1117" s="15" t="n">
        <v>1260</v>
      </c>
      <c r="G1117" s="15" t="n">
        <v>8</v>
      </c>
      <c r="H1117" s="12" t="n">
        <v>91</v>
      </c>
    </row>
    <row r="1118">
      <c r="A1118" s="1" t="n">
        <v>1184</v>
      </c>
      <c r="B1118" s="2" t="inlineStr">
        <is>
          <t>Sweden</t>
        </is>
      </c>
      <c r="C1118" s="2" t="inlineStr">
        <is>
          <t>Benjamin Nygren</t>
        </is>
      </c>
      <c r="D1118" s="2" t="inlineStr">
        <is>
          <t>Avançado</t>
        </is>
      </c>
      <c r="E1118" s="15" t="n">
        <v>14</v>
      </c>
      <c r="F1118" s="15" t="n">
        <v>1260</v>
      </c>
      <c r="G1118" s="15" t="n">
        <v>11</v>
      </c>
      <c r="H1118" s="12" t="n">
        <v>280</v>
      </c>
    </row>
    <row r="1119">
      <c r="A1119" s="1" t="n">
        <v>1185</v>
      </c>
      <c r="B1119" s="2" t="inlineStr">
        <is>
          <t>Sweden</t>
        </is>
      </c>
      <c r="C1119" s="2" t="inlineStr">
        <is>
          <t>Viktor Gyökeres</t>
        </is>
      </c>
      <c r="D1119" s="2" t="inlineStr">
        <is>
          <t>Avançado</t>
        </is>
      </c>
      <c r="E1119" s="15" t="n">
        <v>14</v>
      </c>
      <c r="F1119" s="15" t="n">
        <v>1260</v>
      </c>
      <c r="G1119" s="15" t="n">
        <v>7</v>
      </c>
      <c r="H1119" s="12" t="n">
        <v>243</v>
      </c>
    </row>
    <row r="1120">
      <c r="A1120" s="1" t="n">
        <v>1186</v>
      </c>
      <c r="B1120" s="2" t="inlineStr">
        <is>
          <t>Sweden</t>
        </is>
      </c>
      <c r="C1120" s="2" t="inlineStr">
        <is>
          <t>Gustaf Nilsson</t>
        </is>
      </c>
      <c r="D1120" s="2" t="inlineStr">
        <is>
          <t>Avançado</t>
        </is>
      </c>
      <c r="E1120" s="15" t="n">
        <v>14</v>
      </c>
      <c r="F1120" s="15" t="n">
        <v>1260</v>
      </c>
      <c r="G1120" s="15" t="n">
        <v>3</v>
      </c>
      <c r="H1120" s="12" t="n">
        <v>88</v>
      </c>
    </row>
    <row r="1121">
      <c r="A1121" s="1" t="n">
        <v>1187</v>
      </c>
      <c r="B1121" s="2" t="inlineStr">
        <is>
          <t>Sweden</t>
        </is>
      </c>
      <c r="C1121" s="2" t="inlineStr">
        <is>
          <t>Anthony Elanga</t>
        </is>
      </c>
      <c r="D1121" s="2" t="inlineStr">
        <is>
          <t>Avançado</t>
        </is>
      </c>
      <c r="E1121" s="15" t="n">
        <v>14</v>
      </c>
      <c r="F1121" s="15" t="n">
        <v>1260</v>
      </c>
      <c r="G1121" s="15" t="n">
        <v>11</v>
      </c>
      <c r="H1121" s="12" t="n">
        <v>231</v>
      </c>
    </row>
    <row r="1122">
      <c r="A1122" s="1" t="n">
        <v>1188</v>
      </c>
      <c r="B1122" s="2" t="inlineStr">
        <is>
          <t>Sweden</t>
        </is>
      </c>
      <c r="C1122" s="2" t="inlineStr">
        <is>
          <t>Ken Sema</t>
        </is>
      </c>
      <c r="D1122" s="2" t="inlineStr">
        <is>
          <t>Avançado</t>
        </is>
      </c>
      <c r="E1122" s="15" t="n">
        <v>14</v>
      </c>
      <c r="F1122" s="15" t="n">
        <v>1260</v>
      </c>
      <c r="G1122" s="15" t="n">
        <v>9</v>
      </c>
      <c r="H1122" s="12" t="n">
        <v>45</v>
      </c>
    </row>
    <row r="1123">
      <c r="A1123" s="1" t="n">
        <v>1189</v>
      </c>
      <c r="B1123" s="2" t="inlineStr">
        <is>
          <t>Switzerland</t>
        </is>
      </c>
      <c r="C1123" s="2" t="inlineStr">
        <is>
          <t>Gregor Kobel</t>
        </is>
      </c>
      <c r="D1123" s="2" t="inlineStr">
        <is>
          <t>Guarda Redes</t>
        </is>
      </c>
      <c r="E1123" s="12" t="n">
        <v>13</v>
      </c>
      <c r="F1123" s="12" t="n">
        <v>1170</v>
      </c>
      <c r="G1123" s="12" t="n">
        <v>10</v>
      </c>
      <c r="H1123" s="12" t="n">
        <v>180</v>
      </c>
    </row>
    <row r="1124">
      <c r="A1124" s="1" t="n">
        <v>1190</v>
      </c>
      <c r="B1124" s="2" t="inlineStr">
        <is>
          <t>Switzerland</t>
        </is>
      </c>
      <c r="C1124" s="2" t="inlineStr">
        <is>
          <t>Yvon Mvogo</t>
        </is>
      </c>
      <c r="D1124" s="2" t="inlineStr">
        <is>
          <t>Guarda Redes</t>
        </is>
      </c>
      <c r="E1124" s="12" t="n">
        <v>13</v>
      </c>
      <c r="F1124" s="12" t="n">
        <v>1170</v>
      </c>
      <c r="G1124" s="12" t="n">
        <v>3</v>
      </c>
      <c r="H1124" s="12" t="n">
        <v>135</v>
      </c>
    </row>
    <row r="1125">
      <c r="A1125" s="1" t="n">
        <v>1191</v>
      </c>
      <c r="B1125" s="2" t="inlineStr">
        <is>
          <t>Switzerland</t>
        </is>
      </c>
      <c r="C1125" s="2" t="inlineStr">
        <is>
          <t>Marvin Keller</t>
        </is>
      </c>
      <c r="D1125" s="2" t="inlineStr">
        <is>
          <t>Guarda Redes</t>
        </is>
      </c>
      <c r="E1125" s="12" t="n">
        <v>13</v>
      </c>
      <c r="F1125" s="12" t="n">
        <v>1170</v>
      </c>
      <c r="G1125" s="12" t="n">
        <v>1</v>
      </c>
      <c r="H1125" s="12" t="n">
        <v>45</v>
      </c>
    </row>
    <row r="1126">
      <c r="A1126" s="1" t="n">
        <v>1192</v>
      </c>
      <c r="B1126" s="2" t="inlineStr">
        <is>
          <t>Switzerland</t>
        </is>
      </c>
      <c r="C1126" s="2" t="inlineStr">
        <is>
          <t>Miro Muheim</t>
        </is>
      </c>
      <c r="D1126" s="2" t="inlineStr">
        <is>
          <t>Defesa</t>
        </is>
      </c>
      <c r="E1126" s="12" t="n">
        <v>13</v>
      </c>
      <c r="F1126" s="12" t="n">
        <v>1170</v>
      </c>
      <c r="G1126" s="12" t="n">
        <v>8</v>
      </c>
      <c r="H1126" s="12" t="n">
        <v>110</v>
      </c>
    </row>
    <row r="1127">
      <c r="A1127" s="1" t="n">
        <v>1193</v>
      </c>
      <c r="B1127" s="2" t="inlineStr">
        <is>
          <t>Switzerland</t>
        </is>
      </c>
      <c r="C1127" s="2" t="inlineStr">
        <is>
          <t>Silvan Widmer</t>
        </is>
      </c>
      <c r="D1127" s="2" t="inlineStr">
        <is>
          <t>Defesa</t>
        </is>
      </c>
      <c r="E1127" s="12" t="n">
        <v>13</v>
      </c>
      <c r="F1127" s="12" t="n">
        <v>1170</v>
      </c>
      <c r="G1127" s="12" t="n">
        <v>10</v>
      </c>
      <c r="H1127" s="12" t="n">
        <v>185</v>
      </c>
    </row>
    <row r="1128">
      <c r="A1128" s="1" t="n">
        <v>1194</v>
      </c>
      <c r="B1128" s="2" t="inlineStr">
        <is>
          <t>Switzerland</t>
        </is>
      </c>
      <c r="C1128" s="2" t="inlineStr">
        <is>
          <t>Nico Elvedi</t>
        </is>
      </c>
      <c r="D1128" s="2" t="inlineStr">
        <is>
          <t>Defesa</t>
        </is>
      </c>
      <c r="E1128" s="12" t="n">
        <v>13</v>
      </c>
      <c r="F1128" s="12" t="n">
        <v>1170</v>
      </c>
      <c r="G1128" s="12" t="n">
        <v>10</v>
      </c>
      <c r="H1128" s="12" t="n">
        <v>239</v>
      </c>
    </row>
    <row r="1129">
      <c r="A1129" s="1" t="n">
        <v>1195</v>
      </c>
      <c r="B1129" s="2" t="inlineStr">
        <is>
          <t>Switzerland</t>
        </is>
      </c>
      <c r="C1129" s="2" t="inlineStr">
        <is>
          <t>Manuel Akanji</t>
        </is>
      </c>
      <c r="D1129" s="2" t="inlineStr">
        <is>
          <t>Defesa</t>
        </is>
      </c>
      <c r="E1129" s="12" t="n">
        <v>13</v>
      </c>
      <c r="F1129" s="12" t="n">
        <v>1170</v>
      </c>
      <c r="G1129" s="12" t="n">
        <v>11</v>
      </c>
      <c r="H1129" s="12" t="n">
        <v>247</v>
      </c>
    </row>
    <row r="1130">
      <c r="A1130" s="1" t="n">
        <v>1196</v>
      </c>
      <c r="B1130" s="2" t="inlineStr">
        <is>
          <t>Switzerland</t>
        </is>
      </c>
      <c r="C1130" s="2" t="inlineStr">
        <is>
          <t>Ricardo Rodríguez</t>
        </is>
      </c>
      <c r="D1130" s="2" t="inlineStr">
        <is>
          <t>Defesa</t>
        </is>
      </c>
      <c r="E1130" s="12" t="n">
        <v>13</v>
      </c>
      <c r="F1130" s="12" t="n">
        <v>1170</v>
      </c>
      <c r="G1130" s="12" t="n">
        <v>12</v>
      </c>
      <c r="H1130" s="12" t="n">
        <v>161</v>
      </c>
    </row>
    <row r="1131">
      <c r="A1131" s="1" t="n">
        <v>1197</v>
      </c>
      <c r="B1131" s="2" t="inlineStr">
        <is>
          <t>Switzerland</t>
        </is>
      </c>
      <c r="C1131" s="2" t="inlineStr">
        <is>
          <t>Eray Cömert</t>
        </is>
      </c>
      <c r="D1131" s="2" t="inlineStr">
        <is>
          <t>Defesa</t>
        </is>
      </c>
      <c r="E1131" s="12" t="n">
        <v>13</v>
      </c>
      <c r="F1131" s="12" t="n">
        <v>1170</v>
      </c>
      <c r="G1131" s="12" t="n">
        <v>4</v>
      </c>
      <c r="H1131" s="12" t="n">
        <v>97</v>
      </c>
    </row>
    <row r="1132">
      <c r="A1132" s="1" t="n">
        <v>1198</v>
      </c>
      <c r="B1132" s="2" t="inlineStr">
        <is>
          <t>Switzerland</t>
        </is>
      </c>
      <c r="C1132" s="2" t="inlineStr">
        <is>
          <t>Aurèle Amenda</t>
        </is>
      </c>
      <c r="D1132" s="2" t="inlineStr">
        <is>
          <t>Defesa</t>
        </is>
      </c>
      <c r="E1132" s="12" t="n">
        <v>13</v>
      </c>
      <c r="F1132" s="12" t="n">
        <v>1170</v>
      </c>
      <c r="G1132" s="12" t="n">
        <v>5</v>
      </c>
      <c r="H1132" s="12" t="n">
        <v>92</v>
      </c>
    </row>
    <row r="1133">
      <c r="A1133" s="1" t="n">
        <v>1199</v>
      </c>
      <c r="B1133" s="2" t="inlineStr">
        <is>
          <t>Switzerland</t>
        </is>
      </c>
      <c r="C1133" s="2" t="inlineStr">
        <is>
          <t>Luca Jaquez</t>
        </is>
      </c>
      <c r="D1133" s="2" t="inlineStr">
        <is>
          <t>Defesa</t>
        </is>
      </c>
      <c r="E1133" s="12" t="n">
        <v>13</v>
      </c>
      <c r="F1133" s="12" t="n">
        <v>1170</v>
      </c>
      <c r="G1133" s="12" t="n">
        <v>3</v>
      </c>
      <c r="H1133" s="12" t="n">
        <v>90</v>
      </c>
    </row>
    <row r="1134">
      <c r="A1134" s="1" t="n">
        <v>1200</v>
      </c>
      <c r="B1134" s="2" t="inlineStr">
        <is>
          <t>Switzerland</t>
        </is>
      </c>
      <c r="C1134" s="2" t="inlineStr">
        <is>
          <t>Denis Zakaria</t>
        </is>
      </c>
      <c r="D1134" s="2" t="inlineStr">
        <is>
          <t>Médio</t>
        </is>
      </c>
      <c r="E1134" s="12" t="n">
        <v>13</v>
      </c>
      <c r="F1134" s="12" t="n">
        <v>1170</v>
      </c>
      <c r="G1134" s="12" t="n">
        <v>7</v>
      </c>
      <c r="H1134" s="12" t="n">
        <v>154</v>
      </c>
    </row>
    <row r="1135">
      <c r="A1135" s="1" t="n">
        <v>1201</v>
      </c>
      <c r="B1135" s="2" t="inlineStr">
        <is>
          <t>Switzerland</t>
        </is>
      </c>
      <c r="C1135" s="2" t="inlineStr">
        <is>
          <t>Remo Freuler</t>
        </is>
      </c>
      <c r="D1135" s="2" t="inlineStr">
        <is>
          <t>Médio</t>
        </is>
      </c>
      <c r="E1135" s="12" t="n">
        <v>13</v>
      </c>
      <c r="F1135" s="12" t="n">
        <v>1170</v>
      </c>
      <c r="G1135" s="12" t="n">
        <v>9</v>
      </c>
      <c r="H1135" s="12" t="n">
        <v>247</v>
      </c>
    </row>
    <row r="1136">
      <c r="A1136" s="1" t="n">
        <v>1202</v>
      </c>
      <c r="B1136" s="2" t="inlineStr">
        <is>
          <t>Switzerland</t>
        </is>
      </c>
      <c r="C1136" s="2" t="inlineStr">
        <is>
          <t>Johan Manzambi</t>
        </is>
      </c>
      <c r="D1136" s="2" t="inlineStr">
        <is>
          <t>Médio</t>
        </is>
      </c>
      <c r="E1136" s="12" t="n">
        <v>13</v>
      </c>
      <c r="F1136" s="12" t="n">
        <v>1170</v>
      </c>
      <c r="G1136" s="12" t="n">
        <v>11</v>
      </c>
      <c r="H1136" s="12" t="n">
        <v>206</v>
      </c>
    </row>
    <row r="1137">
      <c r="A1137" s="1" t="n">
        <v>1203</v>
      </c>
      <c r="B1137" s="2" t="inlineStr">
        <is>
          <t>Switzerland</t>
        </is>
      </c>
      <c r="C1137" s="2" t="inlineStr">
        <is>
          <t>Granit Xhaka</t>
        </is>
      </c>
      <c r="D1137" s="2" t="inlineStr">
        <is>
          <t>Médio</t>
        </is>
      </c>
      <c r="E1137" s="12" t="n">
        <v>13</v>
      </c>
      <c r="F1137" s="12" t="n">
        <v>1170</v>
      </c>
      <c r="G1137" s="12" t="n">
        <v>10</v>
      </c>
      <c r="H1137" s="12" t="n">
        <v>185</v>
      </c>
    </row>
    <row r="1138">
      <c r="A1138" s="1" t="n">
        <v>1204</v>
      </c>
      <c r="B1138" s="2" t="inlineStr">
        <is>
          <t>Switzerland</t>
        </is>
      </c>
      <c r="C1138" s="2" t="inlineStr">
        <is>
          <t>Ardon Jashari</t>
        </is>
      </c>
      <c r="D1138" s="2" t="inlineStr">
        <is>
          <t>Médio</t>
        </is>
      </c>
      <c r="E1138" s="12" t="n">
        <v>13</v>
      </c>
      <c r="F1138" s="12" t="n">
        <v>1170</v>
      </c>
      <c r="G1138" s="12" t="n">
        <v>5</v>
      </c>
      <c r="H1138" s="12" t="n">
        <v>154</v>
      </c>
    </row>
    <row r="1139">
      <c r="A1139" s="1" t="n">
        <v>1205</v>
      </c>
      <c r="B1139" s="2" t="inlineStr">
        <is>
          <t>Switzerland</t>
        </is>
      </c>
      <c r="C1139" s="2" t="inlineStr">
        <is>
          <t>Djibril Sow</t>
        </is>
      </c>
      <c r="D1139" s="2" t="inlineStr">
        <is>
          <t>Médio</t>
        </is>
      </c>
      <c r="E1139" s="12" t="n">
        <v>13</v>
      </c>
      <c r="F1139" s="12" t="n">
        <v>1170</v>
      </c>
      <c r="G1139" s="12" t="n">
        <v>10</v>
      </c>
      <c r="H1139" s="12" t="n">
        <v>119</v>
      </c>
    </row>
    <row r="1140">
      <c r="A1140" s="1" t="n">
        <v>1206</v>
      </c>
      <c r="B1140" s="2" t="inlineStr">
        <is>
          <t>Switzerland</t>
        </is>
      </c>
      <c r="C1140" s="2" t="inlineStr">
        <is>
          <t>Christian Fassnacht</t>
        </is>
      </c>
      <c r="D1140" s="2" t="inlineStr">
        <is>
          <t>Médio</t>
        </is>
      </c>
      <c r="E1140" s="12" t="n">
        <v>13</v>
      </c>
      <c r="F1140" s="12" t="n">
        <v>1170</v>
      </c>
      <c r="G1140" s="12" t="n">
        <v>3</v>
      </c>
      <c r="H1140" s="12" t="n">
        <v>56</v>
      </c>
    </row>
    <row r="1141">
      <c r="A1141" s="1" t="n">
        <v>1207</v>
      </c>
      <c r="B1141" s="2" t="inlineStr">
        <is>
          <t>Switzerland</t>
        </is>
      </c>
      <c r="C1141" s="2" t="inlineStr">
        <is>
          <t>Michel Aebischer</t>
        </is>
      </c>
      <c r="D1141" s="2" t="inlineStr">
        <is>
          <t>Médio</t>
        </is>
      </c>
      <c r="E1141" s="12" t="n">
        <v>13</v>
      </c>
      <c r="F1141" s="12" t="n">
        <v>1170</v>
      </c>
      <c r="G1141" s="12" t="n">
        <v>10</v>
      </c>
      <c r="H1141" s="12" t="n">
        <v>184</v>
      </c>
    </row>
    <row r="1142">
      <c r="A1142" s="1" t="n">
        <v>1208</v>
      </c>
      <c r="B1142" s="2" t="inlineStr">
        <is>
          <t>Switzerland</t>
        </is>
      </c>
      <c r="C1142" s="2" t="inlineStr">
        <is>
          <t>Fabian Rieder</t>
        </is>
      </c>
      <c r="D1142" s="2" t="inlineStr">
        <is>
          <t>Médio</t>
        </is>
      </c>
      <c r="E1142" s="12" t="n">
        <v>13</v>
      </c>
      <c r="F1142" s="12" t="n">
        <v>1170</v>
      </c>
      <c r="G1142" s="12" t="n">
        <v>11</v>
      </c>
      <c r="H1142" s="12" t="n">
        <v>180</v>
      </c>
    </row>
    <row r="1143">
      <c r="A1143" s="1" t="n">
        <v>1209</v>
      </c>
      <c r="B1143" s="2" t="inlineStr">
        <is>
          <t>Switzerland</t>
        </is>
      </c>
      <c r="C1143" s="2" t="inlineStr">
        <is>
          <t>Breel Embolo</t>
        </is>
      </c>
      <c r="D1143" s="2" t="inlineStr">
        <is>
          <t>Avançado</t>
        </is>
      </c>
      <c r="E1143" s="12" t="n">
        <v>13</v>
      </c>
      <c r="F1143" s="12" t="n">
        <v>1170</v>
      </c>
      <c r="G1143" s="12" t="n">
        <v>13</v>
      </c>
      <c r="H1143" s="12" t="n">
        <v>199</v>
      </c>
    </row>
    <row r="1144">
      <c r="A1144" s="1" t="n">
        <v>1210</v>
      </c>
      <c r="B1144" s="2" t="inlineStr">
        <is>
          <t>Switzerland</t>
        </is>
      </c>
      <c r="C1144" s="2" t="inlineStr">
        <is>
          <t>Dan Ndoye</t>
        </is>
      </c>
      <c r="D1144" s="2" t="inlineStr">
        <is>
          <t>Avançado</t>
        </is>
      </c>
      <c r="E1144" s="12" t="n">
        <v>13</v>
      </c>
      <c r="F1144" s="12" t="n">
        <v>1170</v>
      </c>
      <c r="G1144" s="12" t="n">
        <v>12</v>
      </c>
      <c r="H1144" s="12" t="n">
        <v>213</v>
      </c>
    </row>
    <row r="1145">
      <c r="A1145" s="1" t="n">
        <v>1211</v>
      </c>
      <c r="B1145" s="2" t="inlineStr">
        <is>
          <t>Switzerland</t>
        </is>
      </c>
      <c r="C1145" s="2" t="inlineStr">
        <is>
          <t>Rubén Vargas</t>
        </is>
      </c>
      <c r="D1145" s="2" t="inlineStr">
        <is>
          <t>Avançado</t>
        </is>
      </c>
      <c r="E1145" s="12" t="n">
        <v>13</v>
      </c>
      <c r="F1145" s="12" t="n">
        <v>1170</v>
      </c>
      <c r="G1145" s="12" t="n">
        <v>11</v>
      </c>
      <c r="H1145" s="12" t="n">
        <v>135</v>
      </c>
    </row>
    <row r="1146">
      <c r="A1146" s="1" t="n">
        <v>1212</v>
      </c>
      <c r="B1146" s="2" t="inlineStr">
        <is>
          <t>Switzerland</t>
        </is>
      </c>
      <c r="C1146" s="2" t="inlineStr">
        <is>
          <t>Noah Okafor</t>
        </is>
      </c>
      <c r="D1146" s="2" t="inlineStr">
        <is>
          <t>Avançado</t>
        </is>
      </c>
      <c r="E1146" s="12" t="n">
        <v>13</v>
      </c>
      <c r="F1146" s="12" t="n">
        <v>1170</v>
      </c>
      <c r="G1146" s="12" t="n">
        <v>0</v>
      </c>
      <c r="H1146" s="12" t="n">
        <v>11</v>
      </c>
    </row>
    <row r="1147">
      <c r="A1147" s="1" t="n">
        <v>1213</v>
      </c>
      <c r="B1147" s="2" t="inlineStr">
        <is>
          <t>Switzerland</t>
        </is>
      </c>
      <c r="C1147" s="2" t="inlineStr">
        <is>
          <t>Zeki Amdouni</t>
        </is>
      </c>
      <c r="D1147" s="2" t="inlineStr">
        <is>
          <t>Avançado</t>
        </is>
      </c>
      <c r="E1147" s="12" t="n">
        <v>13</v>
      </c>
      <c r="F1147" s="12" t="n">
        <v>1170</v>
      </c>
      <c r="G1147" s="12" t="n">
        <v>3</v>
      </c>
      <c r="H1147" s="12" t="n">
        <v>116</v>
      </c>
    </row>
    <row r="1148">
      <c r="A1148" s="1" t="n">
        <v>1214</v>
      </c>
      <c r="B1148" s="2" t="inlineStr">
        <is>
          <t>Switzerland</t>
        </is>
      </c>
      <c r="C1148" s="2" t="inlineStr">
        <is>
          <t>Cedric Itten</t>
        </is>
      </c>
      <c r="D1148" s="2" t="inlineStr">
        <is>
          <t>Avançado</t>
        </is>
      </c>
      <c r="E1148" s="12" t="n">
        <v>13</v>
      </c>
      <c r="F1148" s="12" t="n">
        <v>1170</v>
      </c>
      <c r="G1148" s="12" t="n">
        <v>2</v>
      </c>
      <c r="H1148" s="12" t="n">
        <v>38</v>
      </c>
    </row>
    <row r="1149">
      <c r="A1149" s="1" t="n">
        <v>1215</v>
      </c>
      <c r="B1149" s="2" t="inlineStr">
        <is>
          <t>Tunisia</t>
        </is>
      </c>
      <c r="C1149" s="2" t="inlineStr">
        <is>
          <t>Abdelmouhib Chamakh</t>
        </is>
      </c>
      <c r="D1149" s="2" t="inlineStr">
        <is>
          <t>Guarda Redes</t>
        </is>
      </c>
      <c r="E1149" s="12" t="n">
        <v>22</v>
      </c>
      <c r="F1149" s="12" t="n">
        <v>1980</v>
      </c>
      <c r="G1149" s="12" t="n">
        <v>3</v>
      </c>
      <c r="H1149" s="12" t="n">
        <v>270</v>
      </c>
    </row>
    <row r="1150">
      <c r="A1150" s="1" t="n">
        <v>1216</v>
      </c>
      <c r="B1150" s="2" t="inlineStr">
        <is>
          <t>Tunisia</t>
        </is>
      </c>
      <c r="C1150" s="2" t="inlineStr">
        <is>
          <t>Aymen Dahmen</t>
        </is>
      </c>
      <c r="D1150" s="2" t="inlineStr">
        <is>
          <t>Guarda Redes</t>
        </is>
      </c>
      <c r="E1150" s="12" t="n">
        <v>22</v>
      </c>
      <c r="F1150" s="12" t="n">
        <v>1980</v>
      </c>
      <c r="G1150" s="12" t="n">
        <v>3</v>
      </c>
      <c r="H1150" s="12" t="n">
        <v>225</v>
      </c>
    </row>
    <row r="1151">
      <c r="A1151" s="1" t="n">
        <v>1217</v>
      </c>
      <c r="B1151" s="2" t="inlineStr">
        <is>
          <t>Tunisia</t>
        </is>
      </c>
      <c r="C1151" s="2" t="inlineStr">
        <is>
          <t>Sabri Ben Hessen</t>
        </is>
      </c>
      <c r="D1151" s="2" t="inlineStr">
        <is>
          <t>Guarda Redes</t>
        </is>
      </c>
      <c r="E1151" s="12" t="n">
        <v>22</v>
      </c>
      <c r="F1151" s="12" t="n">
        <v>1980</v>
      </c>
      <c r="G1151" s="12" t="n">
        <v>1</v>
      </c>
      <c r="H1151" s="12" t="n">
        <v>90</v>
      </c>
    </row>
    <row r="1152">
      <c r="A1152" s="1" t="n">
        <v>1218</v>
      </c>
      <c r="B1152" s="2" t="inlineStr">
        <is>
          <t>Tunisia</t>
        </is>
      </c>
      <c r="C1152" s="2" t="inlineStr">
        <is>
          <t>Yan Valery</t>
        </is>
      </c>
      <c r="D1152" s="2" t="inlineStr">
        <is>
          <t>Defesa</t>
        </is>
      </c>
      <c r="E1152" s="12" t="n">
        <v>22</v>
      </c>
      <c r="F1152" s="12" t="n">
        <v>1980</v>
      </c>
      <c r="G1152" s="12" t="n">
        <v>4</v>
      </c>
      <c r="H1152" s="12" t="n">
        <v>315</v>
      </c>
    </row>
    <row r="1153">
      <c r="A1153" s="1" t="n">
        <v>1219</v>
      </c>
      <c r="B1153" s="2" t="inlineStr">
        <is>
          <t>Tunisia</t>
        </is>
      </c>
      <c r="C1153" s="2" t="inlineStr">
        <is>
          <t>Moutaz Neffati</t>
        </is>
      </c>
      <c r="D1153" s="2" t="inlineStr">
        <is>
          <t>Defesa</t>
        </is>
      </c>
      <c r="E1153" s="12" t="n">
        <v>22</v>
      </c>
      <c r="F1153" s="12" t="n">
        <v>1980</v>
      </c>
      <c r="G1153" s="12" t="n">
        <v>2</v>
      </c>
      <c r="H1153" s="12" t="n">
        <v>88</v>
      </c>
    </row>
    <row r="1154">
      <c r="A1154" s="1" t="n">
        <v>1220</v>
      </c>
      <c r="B1154" s="2" t="inlineStr">
        <is>
          <t>Tunisia</t>
        </is>
      </c>
      <c r="C1154" s="2" t="inlineStr">
        <is>
          <t>Montassar Talbi</t>
        </is>
      </c>
      <c r="D1154" s="2" t="inlineStr">
        <is>
          <t>Defesa</t>
        </is>
      </c>
      <c r="E1154" s="12" t="n">
        <v>22</v>
      </c>
      <c r="F1154" s="12" t="n">
        <v>1980</v>
      </c>
      <c r="G1154" s="12" t="n">
        <v>5</v>
      </c>
      <c r="H1154" s="12" t="n">
        <v>405</v>
      </c>
    </row>
    <row r="1155">
      <c r="A1155" s="1" t="n">
        <v>1221</v>
      </c>
      <c r="B1155" s="2" t="inlineStr">
        <is>
          <t>Tunisia</t>
        </is>
      </c>
      <c r="C1155" s="2" t="inlineStr">
        <is>
          <t>Omar Rekik</t>
        </is>
      </c>
      <c r="D1155" s="2" t="inlineStr">
        <is>
          <t>Defesa</t>
        </is>
      </c>
      <c r="E1155" s="12" t="n">
        <v>22</v>
      </c>
      <c r="F1155" s="12" t="n">
        <v>1980</v>
      </c>
      <c r="G1155" s="12" t="n">
        <v>3</v>
      </c>
      <c r="H1155" s="12" t="n">
        <v>270</v>
      </c>
    </row>
    <row r="1156">
      <c r="A1156" s="1" t="n">
        <v>1222</v>
      </c>
      <c r="B1156" s="2" t="inlineStr">
        <is>
          <t>Tunisia</t>
        </is>
      </c>
      <c r="C1156" s="2" t="inlineStr">
        <is>
          <t>Adem Arous</t>
        </is>
      </c>
      <c r="D1156" s="2" t="inlineStr">
        <is>
          <t>Defesa</t>
        </is>
      </c>
      <c r="E1156" s="12" t="n">
        <v>22</v>
      </c>
      <c r="F1156" s="12" t="n">
        <v>1980</v>
      </c>
      <c r="G1156" s="12" t="n">
        <v>2</v>
      </c>
      <c r="H1156" s="12" t="n">
        <v>169</v>
      </c>
    </row>
    <row r="1157">
      <c r="A1157" s="1" t="n">
        <v>1223</v>
      </c>
      <c r="B1157" s="2" t="inlineStr">
        <is>
          <t>Tunisia</t>
        </is>
      </c>
      <c r="C1157" s="2" t="inlineStr">
        <is>
          <t>Dylan Bronn</t>
        </is>
      </c>
      <c r="D1157" s="2" t="inlineStr">
        <is>
          <t>Defesa</t>
        </is>
      </c>
      <c r="E1157" s="12" t="n">
        <v>22</v>
      </c>
      <c r="F1157" s="12" t="n">
        <v>1980</v>
      </c>
      <c r="G1157" s="12" t="n">
        <v>3</v>
      </c>
      <c r="H1157" s="12" t="n">
        <v>225</v>
      </c>
    </row>
    <row r="1158">
      <c r="A1158" s="1" t="n">
        <v>1224</v>
      </c>
      <c r="B1158" s="2" t="inlineStr">
        <is>
          <t>Tunisia</t>
        </is>
      </c>
      <c r="C1158" s="2" t="inlineStr">
        <is>
          <t>Raed Chikhaoui</t>
        </is>
      </c>
      <c r="D1158" s="2" t="inlineStr">
        <is>
          <t>Defesa</t>
        </is>
      </c>
      <c r="E1158" s="12" t="n">
        <v>22</v>
      </c>
      <c r="F1158" s="12" t="n">
        <v>1980</v>
      </c>
      <c r="G1158" s="12" t="n">
        <v>0</v>
      </c>
      <c r="H1158" s="12" t="n">
        <v>0</v>
      </c>
    </row>
    <row r="1159">
      <c r="A1159" s="1" t="n">
        <v>1225</v>
      </c>
      <c r="B1159" s="2" t="inlineStr">
        <is>
          <t>Tunisia</t>
        </is>
      </c>
      <c r="C1159" s="2" t="inlineStr">
        <is>
          <t>Ali Abdi</t>
        </is>
      </c>
      <c r="D1159" s="2" t="inlineStr">
        <is>
          <t>Defesa</t>
        </is>
      </c>
      <c r="E1159" s="12" t="n">
        <v>22</v>
      </c>
      <c r="F1159" s="12" t="n">
        <v>1980</v>
      </c>
      <c r="G1159" s="12" t="n">
        <v>4</v>
      </c>
      <c r="H1159" s="12" t="n">
        <v>303</v>
      </c>
    </row>
    <row r="1160">
      <c r="A1160" s="1" t="n">
        <v>1226</v>
      </c>
      <c r="B1160" s="2" t="inlineStr">
        <is>
          <t>Tunisia</t>
        </is>
      </c>
      <c r="C1160" s="2" t="inlineStr">
        <is>
          <t>Mohamed Ben Hamida</t>
        </is>
      </c>
      <c r="D1160" s="2" t="inlineStr">
        <is>
          <t>Defesa</t>
        </is>
      </c>
      <c r="E1160" s="12" t="n">
        <v>22</v>
      </c>
      <c r="F1160" s="12" t="n">
        <v>1980</v>
      </c>
      <c r="G1160" s="12" t="n">
        <v>4</v>
      </c>
      <c r="H1160" s="12" t="n">
        <v>215</v>
      </c>
    </row>
    <row r="1161">
      <c r="A1161" s="1" t="n">
        <v>1227</v>
      </c>
      <c r="B1161" s="2" t="inlineStr">
        <is>
          <t>Tunisia</t>
        </is>
      </c>
      <c r="C1161" s="2" t="inlineStr">
        <is>
          <t>Rani Khedira</t>
        </is>
      </c>
      <c r="D1161" s="2" t="inlineStr">
        <is>
          <t>Médio</t>
        </is>
      </c>
      <c r="E1161" s="12" t="n">
        <v>22</v>
      </c>
      <c r="F1161" s="12" t="n">
        <v>1980</v>
      </c>
      <c r="G1161" s="12" t="n">
        <v>3</v>
      </c>
      <c r="H1161" s="12" t="n">
        <v>225</v>
      </c>
    </row>
    <row r="1162">
      <c r="A1162" s="1" t="n">
        <v>1228</v>
      </c>
      <c r="B1162" s="2" t="inlineStr">
        <is>
          <t>Tunisia</t>
        </is>
      </c>
      <c r="C1162" s="2" t="inlineStr">
        <is>
          <t>Hannibal Mejbri</t>
        </is>
      </c>
      <c r="D1162" s="2" t="inlineStr">
        <is>
          <t>Médio</t>
        </is>
      </c>
      <c r="E1162" s="12" t="n">
        <v>22</v>
      </c>
      <c r="F1162" s="12" t="n">
        <v>1980</v>
      </c>
      <c r="G1162" s="12" t="n">
        <v>4</v>
      </c>
      <c r="H1162" s="12" t="n">
        <v>300</v>
      </c>
    </row>
    <row r="1163">
      <c r="A1163" s="1" t="n">
        <v>1229</v>
      </c>
      <c r="B1163" s="2" t="inlineStr">
        <is>
          <t>Tunisia</t>
        </is>
      </c>
      <c r="C1163" s="2" t="inlineStr">
        <is>
          <t>Hadj Mahmoud</t>
        </is>
      </c>
      <c r="D1163" s="2" t="inlineStr">
        <is>
          <t>Médio</t>
        </is>
      </c>
      <c r="E1163" s="12" t="n">
        <v>22</v>
      </c>
      <c r="F1163" s="12" t="n">
        <v>1980</v>
      </c>
      <c r="G1163" s="12" t="n">
        <v>5</v>
      </c>
      <c r="H1163" s="12" t="n">
        <v>196</v>
      </c>
    </row>
    <row r="1164">
      <c r="A1164" s="1" t="n">
        <v>1230</v>
      </c>
      <c r="B1164" s="2" t="inlineStr">
        <is>
          <t>Tunisia</t>
        </is>
      </c>
      <c r="C1164" s="2" t="inlineStr">
        <is>
          <t>Ellyes Skhiri</t>
        </is>
      </c>
      <c r="D1164" s="2" t="inlineStr">
        <is>
          <t>Médio</t>
        </is>
      </c>
      <c r="E1164" s="12" t="n">
        <v>22</v>
      </c>
      <c r="F1164" s="12" t="n">
        <v>1980</v>
      </c>
      <c r="G1164" s="12" t="n">
        <v>7</v>
      </c>
      <c r="H1164" s="12" t="n">
        <v>585</v>
      </c>
    </row>
    <row r="1165">
      <c r="A1165" s="1" t="n">
        <v>1231</v>
      </c>
      <c r="B1165" s="2" t="inlineStr">
        <is>
          <t>Tunisia</t>
        </is>
      </c>
      <c r="C1165" s="2" t="inlineStr">
        <is>
          <t>Anis Slimane</t>
        </is>
      </c>
      <c r="D1165" s="2" t="inlineStr">
        <is>
          <t>Médio</t>
        </is>
      </c>
      <c r="E1165" s="12" t="n">
        <v>22</v>
      </c>
      <c r="F1165" s="12" t="n">
        <v>1980</v>
      </c>
      <c r="G1165" s="12" t="n">
        <v>3</v>
      </c>
      <c r="H1165" s="12" t="n">
        <v>176</v>
      </c>
    </row>
    <row r="1166">
      <c r="A1166" s="1" t="n">
        <v>1232</v>
      </c>
      <c r="B1166" s="2" t="inlineStr">
        <is>
          <t>Tunisia</t>
        </is>
      </c>
      <c r="C1166" s="2" t="inlineStr">
        <is>
          <t>Elias Achouri</t>
        </is>
      </c>
      <c r="D1166" s="2" t="inlineStr">
        <is>
          <t>Avançado</t>
        </is>
      </c>
      <c r="E1166" s="12" t="n">
        <v>22</v>
      </c>
      <c r="F1166" s="12" t="n">
        <v>1980</v>
      </c>
      <c r="G1166" s="12" t="n">
        <v>4</v>
      </c>
      <c r="H1166" s="12" t="n">
        <v>171</v>
      </c>
    </row>
    <row r="1167">
      <c r="A1167" s="1" t="n">
        <v>1233</v>
      </c>
      <c r="B1167" s="2" t="inlineStr">
        <is>
          <t>Tunisia</t>
        </is>
      </c>
      <c r="C1167" s="2" t="inlineStr">
        <is>
          <t>Hazem Mastouri</t>
        </is>
      </c>
      <c r="D1167" s="2" t="inlineStr">
        <is>
          <t>Avançado</t>
        </is>
      </c>
      <c r="E1167" s="12" t="n">
        <v>22</v>
      </c>
      <c r="F1167" s="12" t="n">
        <v>1980</v>
      </c>
      <c r="G1167" s="12" t="n">
        <v>5</v>
      </c>
      <c r="H1167" s="12" t="n">
        <v>241</v>
      </c>
    </row>
    <row r="1168">
      <c r="A1168" s="1" t="n">
        <v>1234</v>
      </c>
      <c r="B1168" s="2" t="inlineStr">
        <is>
          <t>Tunisia</t>
        </is>
      </c>
      <c r="C1168" s="2" t="inlineStr">
        <is>
          <t>Rayan Elloumi</t>
        </is>
      </c>
      <c r="D1168" s="2" t="inlineStr">
        <is>
          <t>Avançado</t>
        </is>
      </c>
      <c r="E1168" s="12" t="n">
        <v>22</v>
      </c>
      <c r="F1168" s="12" t="n">
        <v>1980</v>
      </c>
      <c r="G1168" s="12" t="n">
        <v>4</v>
      </c>
      <c r="H1168" s="12" t="n">
        <v>131</v>
      </c>
    </row>
    <row r="1169">
      <c r="A1169" s="1" t="n">
        <v>1235</v>
      </c>
      <c r="B1169" s="2" t="inlineStr">
        <is>
          <t>Tunisia</t>
        </is>
      </c>
      <c r="C1169" s="2" t="inlineStr">
        <is>
          <t>Firas Chaouat</t>
        </is>
      </c>
      <c r="D1169" s="2" t="inlineStr">
        <is>
          <t>Avançado</t>
        </is>
      </c>
      <c r="E1169" s="12" t="n">
        <v>22</v>
      </c>
      <c r="F1169" s="12" t="n">
        <v>1980</v>
      </c>
      <c r="G1169" s="12" t="n">
        <v>7</v>
      </c>
      <c r="H1169" s="12" t="n">
        <v>264</v>
      </c>
    </row>
    <row r="1170">
      <c r="A1170" s="1" t="n">
        <v>1236</v>
      </c>
      <c r="B1170" s="2" t="inlineStr">
        <is>
          <t>Tunisia</t>
        </is>
      </c>
      <c r="C1170" s="2" t="inlineStr">
        <is>
          <t>Elias Saad</t>
        </is>
      </c>
      <c r="D1170" s="2" t="inlineStr">
        <is>
          <t>Avançado</t>
        </is>
      </c>
      <c r="E1170" s="12" t="n">
        <v>22</v>
      </c>
      <c r="F1170" s="12" t="n">
        <v>1980</v>
      </c>
      <c r="G1170" s="12" t="n">
        <v>6</v>
      </c>
      <c r="H1170" s="12" t="n">
        <v>287</v>
      </c>
    </row>
    <row r="1171">
      <c r="A1171" s="1" t="n">
        <v>1237</v>
      </c>
      <c r="B1171" s="2" t="inlineStr">
        <is>
          <t>Tunisia</t>
        </is>
      </c>
      <c r="C1171" s="2" t="inlineStr">
        <is>
          <t>Ismaël Gharbi</t>
        </is>
      </c>
      <c r="D1171" s="2" t="inlineStr">
        <is>
          <t>Avançado</t>
        </is>
      </c>
      <c r="E1171" s="12" t="n">
        <v>22</v>
      </c>
      <c r="F1171" s="12" t="n">
        <v>1980</v>
      </c>
      <c r="G1171" s="12" t="n">
        <v>7</v>
      </c>
      <c r="H1171" s="12" t="n">
        <v>411</v>
      </c>
    </row>
    <row r="1172">
      <c r="A1172" s="1" t="n">
        <v>1238</v>
      </c>
      <c r="B1172" s="2" t="inlineStr">
        <is>
          <t>Tunisia</t>
        </is>
      </c>
      <c r="C1172" s="2" t="inlineStr">
        <is>
          <t>Mortadha Ben Ouanes</t>
        </is>
      </c>
      <c r="D1172" s="2" t="inlineStr">
        <is>
          <t>Avançado</t>
        </is>
      </c>
      <c r="E1172" s="12" t="n">
        <v>22</v>
      </c>
      <c r="F1172" s="12" t="n">
        <v>1980</v>
      </c>
      <c r="G1172" s="12" t="n">
        <v>5</v>
      </c>
      <c r="H1172" s="12" t="n">
        <v>184</v>
      </c>
    </row>
    <row r="1173">
      <c r="A1173" s="1" t="n">
        <v>1239</v>
      </c>
      <c r="B1173" s="2" t="inlineStr">
        <is>
          <t>Tunisia</t>
        </is>
      </c>
      <c r="C1173" s="2" t="inlineStr">
        <is>
          <t>Khalil Ayari</t>
        </is>
      </c>
      <c r="D1173" s="2" t="inlineStr">
        <is>
          <t>Avançado</t>
        </is>
      </c>
      <c r="E1173" s="12" t="n">
        <v>22</v>
      </c>
      <c r="F1173" s="12" t="n">
        <v>1980</v>
      </c>
      <c r="G1173" s="12" t="n">
        <v>4</v>
      </c>
      <c r="H1173" s="12" t="n">
        <v>178</v>
      </c>
    </row>
    <row r="1174">
      <c r="A1174" s="1" t="n">
        <v>1240</v>
      </c>
      <c r="B1174" s="2" t="inlineStr">
        <is>
          <t>Tunisia</t>
        </is>
      </c>
      <c r="C1174" s="2" t="inlineStr">
        <is>
          <t>Sebastian Tounekti</t>
        </is>
      </c>
      <c r="D1174" s="2" t="inlineStr">
        <is>
          <t>Avançado</t>
        </is>
      </c>
      <c r="E1174" s="12" t="n">
        <v>22</v>
      </c>
      <c r="F1174" s="12" t="n">
        <v>1980</v>
      </c>
      <c r="G1174" s="12" t="n">
        <v>5</v>
      </c>
      <c r="H1174" s="12" t="n">
        <v>235</v>
      </c>
    </row>
    <row r="1175">
      <c r="A1175" s="1" t="n">
        <v>1241</v>
      </c>
      <c r="B1175" s="2" t="inlineStr">
        <is>
          <t>Turkey</t>
        </is>
      </c>
      <c r="C1175" s="2" t="inlineStr">
        <is>
          <t>Mert Gunok</t>
        </is>
      </c>
      <c r="D1175" s="2" t="inlineStr">
        <is>
          <t>Guarda Redes</t>
        </is>
      </c>
      <c r="E1175" t="n">
        <v>13</v>
      </c>
      <c r="F1175" t="n">
        <v>1170</v>
      </c>
      <c r="G1175" t="n">
        <v>2</v>
      </c>
      <c r="H1175" t="n">
        <v>270</v>
      </c>
    </row>
    <row r="1176">
      <c r="A1176" s="1" t="n">
        <v>1242</v>
      </c>
      <c r="B1176" s="2" t="inlineStr">
        <is>
          <t>Turkey</t>
        </is>
      </c>
      <c r="C1176" s="2" t="inlineStr">
        <is>
          <t>Altay Bayindir</t>
        </is>
      </c>
      <c r="D1176" s="2" t="inlineStr">
        <is>
          <t>Guarda Redes</t>
        </is>
      </c>
      <c r="E1176" t="n">
        <v>13</v>
      </c>
      <c r="F1176" t="n">
        <v>1170</v>
      </c>
      <c r="G1176" t="n">
        <v>2</v>
      </c>
      <c r="H1176" t="n">
        <v>63</v>
      </c>
    </row>
    <row r="1177">
      <c r="A1177" s="1" t="n">
        <v>1243</v>
      </c>
      <c r="B1177" s="2" t="inlineStr">
        <is>
          <t>Turkey</t>
        </is>
      </c>
      <c r="C1177" s="2" t="inlineStr">
        <is>
          <t>Uğurcan Çakır</t>
        </is>
      </c>
      <c r="D1177" s="2" t="inlineStr">
        <is>
          <t>Guarda Redes</t>
        </is>
      </c>
      <c r="E1177" t="n">
        <v>13</v>
      </c>
      <c r="F1177" t="n">
        <v>1170</v>
      </c>
      <c r="G1177" t="n">
        <v>9</v>
      </c>
      <c r="H1177" t="n">
        <v>0</v>
      </c>
    </row>
    <row r="1178">
      <c r="A1178" s="1" t="n">
        <v>1244</v>
      </c>
      <c r="B1178" s="2" t="inlineStr">
        <is>
          <t>Turkey</t>
        </is>
      </c>
      <c r="C1178" s="2" t="inlineStr">
        <is>
          <t>Zeki Çelik</t>
        </is>
      </c>
      <c r="D1178" s="2" t="inlineStr">
        <is>
          <t>Defesa</t>
        </is>
      </c>
      <c r="E1178" t="n">
        <v>13</v>
      </c>
      <c r="F1178" t="n">
        <v>1170</v>
      </c>
      <c r="G1178" t="n">
        <v>7</v>
      </c>
      <c r="H1178" t="n">
        <v>180</v>
      </c>
    </row>
    <row r="1179">
      <c r="A1179" s="1" t="n">
        <v>1245</v>
      </c>
      <c r="B1179" s="2" t="inlineStr">
        <is>
          <t>Turkey</t>
        </is>
      </c>
      <c r="C1179" s="2" t="inlineStr">
        <is>
          <t>Mert Muldur</t>
        </is>
      </c>
      <c r="D1179" s="2" t="inlineStr">
        <is>
          <t>Defesa</t>
        </is>
      </c>
      <c r="E1179" t="n">
        <v>13</v>
      </c>
      <c r="F1179" t="n">
        <v>1170</v>
      </c>
      <c r="G1179" t="n">
        <v>11</v>
      </c>
      <c r="H1179" t="n">
        <v>226</v>
      </c>
    </row>
    <row r="1180">
      <c r="A1180" s="1" t="n">
        <v>1246</v>
      </c>
      <c r="B1180" s="2" t="inlineStr">
        <is>
          <t>Turkey</t>
        </is>
      </c>
      <c r="C1180" s="2" t="inlineStr">
        <is>
          <t>Kaan Ayhan</t>
        </is>
      </c>
      <c r="D1180" s="2" t="inlineStr">
        <is>
          <t>Defesa</t>
        </is>
      </c>
      <c r="E1180" t="n">
        <v>13</v>
      </c>
      <c r="F1180" t="n">
        <v>1170</v>
      </c>
      <c r="G1180" t="n">
        <v>7</v>
      </c>
      <c r="H1180" t="n">
        <v>214</v>
      </c>
    </row>
    <row r="1181">
      <c r="A1181" s="1" t="n">
        <v>1247</v>
      </c>
      <c r="B1181" s="2" t="inlineStr">
        <is>
          <t>Turkey</t>
        </is>
      </c>
      <c r="C1181" s="2" t="inlineStr">
        <is>
          <t>Merih Demiral</t>
        </is>
      </c>
      <c r="D1181" s="2" t="inlineStr">
        <is>
          <t>Defesa</t>
        </is>
      </c>
      <c r="E1181" t="n">
        <v>13</v>
      </c>
      <c r="F1181" t="n">
        <v>1170</v>
      </c>
      <c r="G1181" t="n">
        <v>9</v>
      </c>
      <c r="H1181" t="n">
        <v>72</v>
      </c>
    </row>
    <row r="1182">
      <c r="A1182" s="1" t="n">
        <v>1248</v>
      </c>
      <c r="B1182" s="2" t="inlineStr">
        <is>
          <t>Turkey</t>
        </is>
      </c>
      <c r="C1182" s="2" t="inlineStr">
        <is>
          <t>Çaglar Söyüncü</t>
        </is>
      </c>
      <c r="D1182" s="2" t="inlineStr">
        <is>
          <t>Defesa</t>
        </is>
      </c>
      <c r="E1182" t="n">
        <v>13</v>
      </c>
      <c r="F1182" t="n">
        <v>1170</v>
      </c>
      <c r="G1182" t="n">
        <v>4</v>
      </c>
      <c r="H1182" t="n">
        <v>207</v>
      </c>
    </row>
    <row r="1183">
      <c r="A1183" s="1" t="n">
        <v>1249</v>
      </c>
      <c r="B1183" s="2" t="inlineStr">
        <is>
          <t>Turkey</t>
        </is>
      </c>
      <c r="C1183" s="2" t="inlineStr">
        <is>
          <t>Abdülkerim Bardakcı</t>
        </is>
      </c>
      <c r="D1183" s="2" t="inlineStr">
        <is>
          <t>Defesa</t>
        </is>
      </c>
      <c r="E1183" t="n">
        <v>13</v>
      </c>
      <c r="F1183" t="n">
        <v>1170</v>
      </c>
      <c r="G1183" t="n">
        <v>9</v>
      </c>
      <c r="H1183" t="n">
        <v>225</v>
      </c>
    </row>
    <row r="1184">
      <c r="A1184" s="1" t="n">
        <v>1250</v>
      </c>
      <c r="B1184" s="2" t="inlineStr">
        <is>
          <t>Turkey</t>
        </is>
      </c>
      <c r="C1184" s="2" t="inlineStr">
        <is>
          <t>Ozan Kabak</t>
        </is>
      </c>
      <c r="D1184" s="2" t="inlineStr">
        <is>
          <t>Defesa</t>
        </is>
      </c>
      <c r="E1184" t="n">
        <v>13</v>
      </c>
      <c r="F1184" t="n">
        <v>1170</v>
      </c>
      <c r="G1184" t="n">
        <v>3</v>
      </c>
      <c r="H1184" t="n">
        <v>114</v>
      </c>
    </row>
    <row r="1185">
      <c r="A1185" s="1" t="n">
        <v>1251</v>
      </c>
      <c r="B1185" s="2" t="inlineStr">
        <is>
          <t>Turkey</t>
        </is>
      </c>
      <c r="C1185" s="2" t="inlineStr">
        <is>
          <t>Samet Akaydin</t>
        </is>
      </c>
      <c r="D1185" s="2" t="inlineStr">
        <is>
          <t>Defesa</t>
        </is>
      </c>
      <c r="E1185" t="n">
        <v>13</v>
      </c>
      <c r="F1185" t="n">
        <v>1170</v>
      </c>
      <c r="G1185" t="n">
        <v>7</v>
      </c>
      <c r="H1185" t="n">
        <v>63</v>
      </c>
    </row>
    <row r="1186">
      <c r="A1186" s="1" t="n">
        <v>1252</v>
      </c>
      <c r="B1186" s="2" t="inlineStr">
        <is>
          <t>Turkey</t>
        </is>
      </c>
      <c r="C1186" s="2" t="inlineStr">
        <is>
          <t>Evren Elmali</t>
        </is>
      </c>
      <c r="D1186" s="2" t="inlineStr">
        <is>
          <t>Defesa</t>
        </is>
      </c>
      <c r="E1186" t="n">
        <v>13</v>
      </c>
      <c r="F1186" t="n">
        <v>1170</v>
      </c>
      <c r="G1186" t="n">
        <v>8</v>
      </c>
      <c r="H1186" t="n">
        <v>135</v>
      </c>
    </row>
    <row r="1187">
      <c r="A1187" s="1" t="n">
        <v>1253</v>
      </c>
      <c r="B1187" s="2" t="inlineStr">
        <is>
          <t>Turkey</t>
        </is>
      </c>
      <c r="C1187" s="2" t="inlineStr">
        <is>
          <t>Ferdi Kadioglu</t>
        </is>
      </c>
      <c r="D1187" s="2" t="inlineStr">
        <is>
          <t>Defesa</t>
        </is>
      </c>
      <c r="E1187" t="n">
        <v>13</v>
      </c>
      <c r="F1187" t="n">
        <v>1170</v>
      </c>
      <c r="G1187" t="n">
        <v>1</v>
      </c>
      <c r="H1187" t="n">
        <v>263</v>
      </c>
    </row>
    <row r="1188">
      <c r="A1188" s="1" t="n">
        <v>1254</v>
      </c>
      <c r="B1188" s="2" t="inlineStr">
        <is>
          <t>Turkey</t>
        </is>
      </c>
      <c r="C1188" s="2" t="inlineStr">
        <is>
          <t>Salih Ozcan</t>
        </is>
      </c>
      <c r="D1188" s="2" t="inlineStr">
        <is>
          <t>Médio</t>
        </is>
      </c>
      <c r="E1188" t="n">
        <v>13</v>
      </c>
      <c r="F1188" t="n">
        <v>1170</v>
      </c>
      <c r="G1188" t="n">
        <v>7</v>
      </c>
      <c r="H1188" t="n">
        <v>91</v>
      </c>
    </row>
    <row r="1189">
      <c r="A1189" s="1" t="n">
        <v>1255</v>
      </c>
      <c r="B1189" s="2" t="inlineStr">
        <is>
          <t>Turkey</t>
        </is>
      </c>
      <c r="C1189" s="2" t="inlineStr">
        <is>
          <t>Orkun Kökcu</t>
        </is>
      </c>
      <c r="D1189" s="2" t="inlineStr">
        <is>
          <t>Médio</t>
        </is>
      </c>
      <c r="E1189" t="n">
        <v>13</v>
      </c>
      <c r="F1189" t="n">
        <v>1170</v>
      </c>
      <c r="G1189" t="n">
        <v>11</v>
      </c>
      <c r="H1189" t="n">
        <v>218</v>
      </c>
    </row>
    <row r="1190">
      <c r="A1190" s="1" t="n">
        <v>1256</v>
      </c>
      <c r="B1190" s="2" t="inlineStr">
        <is>
          <t>Turkey</t>
        </is>
      </c>
      <c r="C1190" s="2" t="inlineStr">
        <is>
          <t>Hakan Çalhanoglu</t>
        </is>
      </c>
      <c r="D1190" s="2" t="inlineStr">
        <is>
          <t>Médio</t>
        </is>
      </c>
      <c r="E1190" t="n">
        <v>13</v>
      </c>
      <c r="F1190" t="n">
        <v>1170</v>
      </c>
      <c r="G1190" t="n">
        <v>10</v>
      </c>
      <c r="H1190" t="n">
        <v>194</v>
      </c>
    </row>
    <row r="1191">
      <c r="A1191" s="1" t="n">
        <v>1257</v>
      </c>
      <c r="B1191" s="2" t="inlineStr">
        <is>
          <t>Turkey</t>
        </is>
      </c>
      <c r="C1191" s="2" t="inlineStr">
        <is>
          <t>Ismail Yuksek</t>
        </is>
      </c>
      <c r="D1191" s="2" t="inlineStr">
        <is>
          <t>Médio</t>
        </is>
      </c>
      <c r="E1191" t="n">
        <v>13</v>
      </c>
      <c r="F1191" t="n">
        <v>1170</v>
      </c>
      <c r="G1191" t="n">
        <v>10</v>
      </c>
      <c r="H1191" t="n">
        <v>242</v>
      </c>
    </row>
    <row r="1192">
      <c r="A1192" s="1" t="n">
        <v>1258</v>
      </c>
      <c r="B1192" s="2" t="inlineStr">
        <is>
          <t>Turkey</t>
        </is>
      </c>
      <c r="C1192" s="2" t="inlineStr">
        <is>
          <t>Arda Güler</t>
        </is>
      </c>
      <c r="D1192" s="2" t="inlineStr">
        <is>
          <t>Médio</t>
        </is>
      </c>
      <c r="E1192" t="n">
        <v>13</v>
      </c>
      <c r="F1192" t="n">
        <v>1170</v>
      </c>
      <c r="G1192" t="n">
        <v>11</v>
      </c>
      <c r="H1192" t="n">
        <v>97</v>
      </c>
    </row>
    <row r="1193">
      <c r="A1193" s="1" t="n">
        <v>1259</v>
      </c>
      <c r="B1193" s="2" t="inlineStr">
        <is>
          <t>Turkey</t>
        </is>
      </c>
      <c r="C1193" s="2" t="inlineStr">
        <is>
          <t>Irfan Kahveci</t>
        </is>
      </c>
      <c r="D1193" s="2" t="inlineStr">
        <is>
          <t>Avançado</t>
        </is>
      </c>
      <c r="E1193" t="n">
        <v>13</v>
      </c>
      <c r="F1193" t="n">
        <v>1170</v>
      </c>
      <c r="G1193" t="n">
        <v>1</v>
      </c>
      <c r="H1193" t="n">
        <v>45</v>
      </c>
    </row>
    <row r="1194">
      <c r="A1194" s="1" t="n">
        <v>1260</v>
      </c>
      <c r="B1194" s="2" t="inlineStr">
        <is>
          <t>Turkey</t>
        </is>
      </c>
      <c r="C1194" s="2" t="inlineStr">
        <is>
          <t>Yunus Akgün</t>
        </is>
      </c>
      <c r="D1194" s="2" t="inlineStr">
        <is>
          <t>Avançado</t>
        </is>
      </c>
      <c r="E1194" t="n">
        <v>13</v>
      </c>
      <c r="F1194" t="n">
        <v>1170</v>
      </c>
      <c r="G1194" t="n">
        <v>4</v>
      </c>
      <c r="H1194" t="n">
        <v>179</v>
      </c>
    </row>
    <row r="1195">
      <c r="A1195" s="1" t="n">
        <v>1261</v>
      </c>
      <c r="B1195" s="2" t="inlineStr">
        <is>
          <t>Turkey</t>
        </is>
      </c>
      <c r="C1195" s="2" t="inlineStr">
        <is>
          <t>Can Uzun</t>
        </is>
      </c>
      <c r="D1195" s="2" t="inlineStr">
        <is>
          <t>Avançado</t>
        </is>
      </c>
      <c r="E1195" t="n">
        <v>13</v>
      </c>
      <c r="F1195" t="n">
        <v>1170</v>
      </c>
      <c r="G1195" t="n">
        <v>1</v>
      </c>
      <c r="H1195" t="n">
        <v>217</v>
      </c>
    </row>
    <row r="1196">
      <c r="A1196" s="1" t="n">
        <v>1262</v>
      </c>
      <c r="B1196" s="2" t="inlineStr">
        <is>
          <t>Turkey</t>
        </is>
      </c>
      <c r="C1196" s="2" t="inlineStr">
        <is>
          <t>Deniz Gül</t>
        </is>
      </c>
      <c r="D1196" s="2" t="inlineStr">
        <is>
          <t>Avançado</t>
        </is>
      </c>
      <c r="E1196" t="n">
        <v>13</v>
      </c>
      <c r="F1196" t="n">
        <v>1170</v>
      </c>
      <c r="G1196" t="n">
        <v>7</v>
      </c>
      <c r="H1196" t="n">
        <v>187</v>
      </c>
    </row>
    <row r="1197">
      <c r="A1197" s="1" t="n">
        <v>1263</v>
      </c>
      <c r="B1197" s="2" t="inlineStr">
        <is>
          <t>Turkey</t>
        </is>
      </c>
      <c r="C1197" s="2" t="inlineStr">
        <is>
          <t>Kerem Aktürkoğlu</t>
        </is>
      </c>
      <c r="D1197" s="2" t="inlineStr">
        <is>
          <t>Avançado</t>
        </is>
      </c>
      <c r="E1197" t="n">
        <v>13</v>
      </c>
      <c r="F1197" t="n">
        <v>1170</v>
      </c>
      <c r="G1197" t="n">
        <v>11</v>
      </c>
      <c r="H1197" t="n">
        <v>90</v>
      </c>
    </row>
    <row r="1198">
      <c r="A1198" s="1" t="n">
        <v>1264</v>
      </c>
      <c r="B1198" s="2" t="inlineStr">
        <is>
          <t>Turkey</t>
        </is>
      </c>
      <c r="C1198" s="2" t="inlineStr">
        <is>
          <t>Kenan Yildiz</t>
        </is>
      </c>
      <c r="D1198" s="2" t="inlineStr">
        <is>
          <t>Avançado</t>
        </is>
      </c>
      <c r="E1198" t="n">
        <v>13</v>
      </c>
      <c r="F1198" t="n">
        <v>1170</v>
      </c>
      <c r="G1198" t="n">
        <v>11</v>
      </c>
      <c r="H1198" t="n">
        <v>72</v>
      </c>
    </row>
    <row r="1199">
      <c r="A1199" s="1" t="n">
        <v>1265</v>
      </c>
      <c r="B1199" s="2" t="inlineStr">
        <is>
          <t>Turkey</t>
        </is>
      </c>
      <c r="C1199" s="2" t="inlineStr">
        <is>
          <t>Baris Yılmaz</t>
        </is>
      </c>
      <c r="D1199" s="2" t="inlineStr">
        <is>
          <t>Avançado</t>
        </is>
      </c>
      <c r="E1199" t="n">
        <v>13</v>
      </c>
      <c r="F1199" t="n">
        <v>1170</v>
      </c>
      <c r="G1199" t="n">
        <v>11</v>
      </c>
      <c r="H1199" t="n">
        <v>125</v>
      </c>
    </row>
    <row r="1200">
      <c r="A1200" s="1" t="n">
        <v>1266</v>
      </c>
      <c r="B1200" s="2" t="inlineStr">
        <is>
          <t>Turkey</t>
        </is>
      </c>
      <c r="C1200" s="2" t="inlineStr">
        <is>
          <t>Oguz Aydin</t>
        </is>
      </c>
      <c r="D1200" s="2" t="inlineStr">
        <is>
          <t>Avançado</t>
        </is>
      </c>
      <c r="E1200" t="n">
        <v>13</v>
      </c>
      <c r="F1200" t="n">
        <v>1170</v>
      </c>
      <c r="G1200" t="n">
        <v>9</v>
      </c>
      <c r="H1200" t="n">
        <v>91</v>
      </c>
    </row>
    <row r="1201">
      <c r="A1201" s="1" t="n">
        <v>1267</v>
      </c>
      <c r="B1201" s="2" t="inlineStr">
        <is>
          <t>Uruguay</t>
        </is>
      </c>
      <c r="C1201" s="2" t="inlineStr">
        <is>
          <t>Sergio Rochet</t>
        </is>
      </c>
      <c r="D1201" s="2" t="inlineStr">
        <is>
          <t>Guarda Redes</t>
        </is>
      </c>
      <c r="E1201" s="12" t="n">
        <v>12</v>
      </c>
      <c r="F1201" s="12" t="n">
        <v>1080</v>
      </c>
      <c r="G1201" s="12" t="n">
        <v>1</v>
      </c>
      <c r="H1201" s="12" t="n">
        <v>90</v>
      </c>
    </row>
    <row r="1202">
      <c r="A1202" s="1" t="n">
        <v>1268</v>
      </c>
      <c r="B1202" s="2" t="inlineStr">
        <is>
          <t>Uruguay</t>
        </is>
      </c>
      <c r="C1202" s="2" t="inlineStr">
        <is>
          <t>Santiago Mele</t>
        </is>
      </c>
      <c r="D1202" s="2" t="inlineStr">
        <is>
          <t>Guarda Redes</t>
        </is>
      </c>
      <c r="E1202" s="12" t="n">
        <v>12</v>
      </c>
      <c r="F1202" s="12" t="n">
        <v>1080</v>
      </c>
      <c r="G1202" s="12" t="n">
        <v>1</v>
      </c>
      <c r="H1202" s="12" t="n">
        <v>90</v>
      </c>
    </row>
    <row r="1203">
      <c r="A1203" s="1" t="n">
        <v>1269</v>
      </c>
      <c r="B1203" s="2" t="inlineStr">
        <is>
          <t>Uruguay</t>
        </is>
      </c>
      <c r="C1203" s="2" t="inlineStr">
        <is>
          <t>Fernando Muslera</t>
        </is>
      </c>
      <c r="D1203" s="2" t="inlineStr">
        <is>
          <t>Guarda Redes</t>
        </is>
      </c>
      <c r="E1203" s="12" t="n">
        <v>12</v>
      </c>
      <c r="F1203" s="12" t="n">
        <v>1080</v>
      </c>
      <c r="G1203" s="12" t="n">
        <v>1</v>
      </c>
      <c r="H1203" s="12" t="n">
        <v>90</v>
      </c>
    </row>
    <row r="1204">
      <c r="A1204" s="1" t="n">
        <v>1270</v>
      </c>
      <c r="B1204" s="2" t="inlineStr">
        <is>
          <t>Uruguay</t>
        </is>
      </c>
      <c r="C1204" s="2" t="inlineStr">
        <is>
          <t>José Giménez</t>
        </is>
      </c>
      <c r="D1204" s="2" t="inlineStr">
        <is>
          <t>Defesa</t>
        </is>
      </c>
      <c r="E1204" s="12" t="n">
        <v>12</v>
      </c>
      <c r="F1204" s="12" t="n">
        <v>1080</v>
      </c>
      <c r="G1204" s="12" t="n">
        <v>3</v>
      </c>
      <c r="H1204" s="12" t="n">
        <v>254</v>
      </c>
    </row>
    <row r="1205">
      <c r="A1205" s="1" t="n">
        <v>1271</v>
      </c>
      <c r="B1205" s="2" t="inlineStr">
        <is>
          <t>Uruguay</t>
        </is>
      </c>
      <c r="C1205" s="2" t="inlineStr">
        <is>
          <t>Sebastián Cáceres</t>
        </is>
      </c>
      <c r="D1205" s="2" t="inlineStr">
        <is>
          <t>Defesa</t>
        </is>
      </c>
      <c r="E1205" s="12" t="n">
        <v>12</v>
      </c>
      <c r="F1205" s="12" t="n">
        <v>1080</v>
      </c>
      <c r="G1205" s="12" t="n">
        <v>1</v>
      </c>
      <c r="H1205" s="12" t="n">
        <v>45</v>
      </c>
    </row>
    <row r="1206">
      <c r="A1206" s="1" t="n">
        <v>1272</v>
      </c>
      <c r="B1206" s="2" t="inlineStr">
        <is>
          <t>Uruguay</t>
        </is>
      </c>
      <c r="C1206" s="2" t="inlineStr">
        <is>
          <t>Ronald Araújo</t>
        </is>
      </c>
      <c r="D1206" s="2" t="inlineStr">
        <is>
          <t>Defesa</t>
        </is>
      </c>
      <c r="E1206" s="12" t="n">
        <v>12</v>
      </c>
      <c r="F1206" s="12" t="n">
        <v>1080</v>
      </c>
      <c r="G1206" s="12" t="n">
        <v>3</v>
      </c>
      <c r="H1206" s="12" t="n">
        <v>225</v>
      </c>
    </row>
    <row r="1207">
      <c r="A1207" s="1" t="n">
        <v>1273</v>
      </c>
      <c r="B1207" s="2" t="inlineStr">
        <is>
          <t>Uruguay</t>
        </is>
      </c>
      <c r="C1207" s="2" t="inlineStr">
        <is>
          <t>Guillermo Varela</t>
        </is>
      </c>
      <c r="D1207" s="2" t="inlineStr">
        <is>
          <t>Defesa</t>
        </is>
      </c>
      <c r="E1207" s="12" t="n">
        <v>12</v>
      </c>
      <c r="F1207" s="12" t="n">
        <v>1080</v>
      </c>
      <c r="G1207" s="12" t="n">
        <v>3</v>
      </c>
      <c r="H1207" s="12" t="n">
        <v>270</v>
      </c>
    </row>
    <row r="1208">
      <c r="A1208" s="1" t="n">
        <v>1274</v>
      </c>
      <c r="B1208" s="2" t="inlineStr">
        <is>
          <t>Uruguay</t>
        </is>
      </c>
      <c r="C1208" s="2" t="inlineStr">
        <is>
          <t>Mathías Olivera</t>
        </is>
      </c>
      <c r="D1208" s="2" t="inlineStr">
        <is>
          <t>Defesa</t>
        </is>
      </c>
      <c r="E1208" s="12" t="n">
        <v>12</v>
      </c>
      <c r="F1208" s="12" t="n">
        <v>1080</v>
      </c>
      <c r="G1208" s="12" t="n">
        <v>4</v>
      </c>
      <c r="H1208" s="12" t="n">
        <v>357</v>
      </c>
    </row>
    <row r="1209">
      <c r="A1209" s="1" t="n">
        <v>1275</v>
      </c>
      <c r="B1209" s="2" t="inlineStr">
        <is>
          <t>Uruguay</t>
        </is>
      </c>
      <c r="C1209" s="2" t="inlineStr">
        <is>
          <t>Matías Viña</t>
        </is>
      </c>
      <c r="D1209" s="2" t="inlineStr">
        <is>
          <t>Defesa</t>
        </is>
      </c>
      <c r="E1209" s="12" t="n">
        <v>12</v>
      </c>
      <c r="F1209" s="12" t="n">
        <v>1080</v>
      </c>
      <c r="G1209" s="12" t="n">
        <v>1</v>
      </c>
      <c r="H1209" s="12" t="n">
        <v>45</v>
      </c>
    </row>
    <row r="1210">
      <c r="A1210" s="1" t="n">
        <v>1276</v>
      </c>
      <c r="B1210" s="2" t="inlineStr">
        <is>
          <t>Uruguay</t>
        </is>
      </c>
      <c r="C1210" s="2" t="inlineStr">
        <is>
          <t>Maxi Araújo</t>
        </is>
      </c>
      <c r="D1210" s="2" t="inlineStr">
        <is>
          <t>Defesa</t>
        </is>
      </c>
      <c r="E1210" s="12" t="n">
        <v>12</v>
      </c>
      <c r="F1210" s="12" t="n">
        <v>1080</v>
      </c>
      <c r="G1210" s="12" t="n">
        <v>4</v>
      </c>
      <c r="H1210" s="12" t="n">
        <v>239</v>
      </c>
    </row>
    <row r="1211">
      <c r="A1211" s="1" t="n">
        <v>1277</v>
      </c>
      <c r="B1211" s="2" t="inlineStr">
        <is>
          <t>Uruguay</t>
        </is>
      </c>
      <c r="C1211" s="2" t="inlineStr">
        <is>
          <t>Joaquín Piquerez</t>
        </is>
      </c>
      <c r="D1211" s="2" t="inlineStr">
        <is>
          <t>Defesa</t>
        </is>
      </c>
      <c r="E1211" s="12" t="n">
        <v>12</v>
      </c>
      <c r="F1211" s="12" t="n">
        <v>1080</v>
      </c>
      <c r="G1211" s="12" t="n">
        <v>3</v>
      </c>
      <c r="H1211" s="12" t="n">
        <v>151</v>
      </c>
    </row>
    <row r="1212">
      <c r="A1212" s="1" t="n">
        <v>1278</v>
      </c>
      <c r="B1212" s="2" t="inlineStr">
        <is>
          <t>Uruguay</t>
        </is>
      </c>
      <c r="C1212" s="2" t="inlineStr">
        <is>
          <t>Santiago Bueno</t>
        </is>
      </c>
      <c r="D1212" s="2" t="inlineStr">
        <is>
          <t>Defesa</t>
        </is>
      </c>
      <c r="E1212" s="12" t="n">
        <v>12</v>
      </c>
      <c r="F1212" s="12" t="n">
        <v>1080</v>
      </c>
      <c r="G1212" s="12" t="n">
        <v>2</v>
      </c>
      <c r="H1212" s="12" t="n">
        <v>135</v>
      </c>
    </row>
    <row r="1213">
      <c r="A1213" s="1" t="n">
        <v>1279</v>
      </c>
      <c r="B1213" s="2" t="inlineStr">
        <is>
          <t>Uruguay</t>
        </is>
      </c>
      <c r="C1213" s="2" t="inlineStr">
        <is>
          <t>Manuel Ugarte</t>
        </is>
      </c>
      <c r="D1213" s="2" t="inlineStr">
        <is>
          <t>Médio</t>
        </is>
      </c>
      <c r="E1213" s="12" t="n">
        <v>12</v>
      </c>
      <c r="F1213" s="12" t="n">
        <v>1080</v>
      </c>
      <c r="G1213" s="12" t="n">
        <v>3</v>
      </c>
      <c r="H1213" s="12" t="n">
        <v>267</v>
      </c>
    </row>
    <row r="1214">
      <c r="A1214" s="1" t="n">
        <v>1280</v>
      </c>
      <c r="B1214" s="2" t="inlineStr">
        <is>
          <t>Uruguay</t>
        </is>
      </c>
      <c r="C1214" s="2" t="inlineStr">
        <is>
          <t>Rodrigo Bentancur</t>
        </is>
      </c>
      <c r="D1214" s="2" t="inlineStr">
        <is>
          <t>Médio</t>
        </is>
      </c>
      <c r="E1214" s="12" t="n">
        <v>12</v>
      </c>
      <c r="F1214" s="12" t="n">
        <v>1080</v>
      </c>
      <c r="G1214" s="12" t="n">
        <v>2</v>
      </c>
      <c r="H1214" s="12" t="n">
        <v>154</v>
      </c>
    </row>
    <row r="1215">
      <c r="A1215" s="1" t="n">
        <v>1281</v>
      </c>
      <c r="B1215" s="2" t="inlineStr">
        <is>
          <t>Uruguay</t>
        </is>
      </c>
      <c r="C1215" s="2" t="inlineStr">
        <is>
          <t>Nicolás De la Cruz</t>
        </is>
      </c>
      <c r="D1215" s="2" t="inlineStr">
        <is>
          <t>Médio</t>
        </is>
      </c>
      <c r="E1215" s="12" t="n">
        <v>12</v>
      </c>
      <c r="F1215" s="12" t="n">
        <v>1080</v>
      </c>
      <c r="G1215" s="12" t="n">
        <v>1</v>
      </c>
      <c r="H1215" s="12" t="n">
        <v>1</v>
      </c>
    </row>
    <row r="1216">
      <c r="A1216" s="1" t="n">
        <v>1282</v>
      </c>
      <c r="B1216" s="2" t="inlineStr">
        <is>
          <t>Uruguay</t>
        </is>
      </c>
      <c r="C1216" s="2" t="inlineStr">
        <is>
          <t>Fede Valverde</t>
        </is>
      </c>
      <c r="D1216" s="2" t="inlineStr">
        <is>
          <t>Médio</t>
        </is>
      </c>
      <c r="E1216" s="12" t="n">
        <v>12</v>
      </c>
      <c r="F1216" s="12" t="n">
        <v>1080</v>
      </c>
      <c r="G1216" s="12" t="n">
        <v>2</v>
      </c>
      <c r="H1216" s="12" t="n">
        <v>180</v>
      </c>
    </row>
    <row r="1217">
      <c r="A1217" s="1" t="n">
        <v>1283</v>
      </c>
      <c r="B1217" s="2" t="inlineStr">
        <is>
          <t>Uruguay</t>
        </is>
      </c>
      <c r="C1217" s="2" t="inlineStr">
        <is>
          <t>Giorgian de Arrascaeta</t>
        </is>
      </c>
      <c r="D1217" s="2" t="inlineStr">
        <is>
          <t>Médio</t>
        </is>
      </c>
      <c r="E1217" s="12" t="n">
        <v>12</v>
      </c>
      <c r="F1217" s="12" t="n">
        <v>1080</v>
      </c>
      <c r="G1217" s="12" t="n">
        <v>3</v>
      </c>
      <c r="H1217" s="12" t="n">
        <v>244</v>
      </c>
    </row>
    <row r="1218">
      <c r="A1218" s="1" t="n">
        <v>1284</v>
      </c>
      <c r="B1218" s="2" t="inlineStr">
        <is>
          <t>Uruguay</t>
        </is>
      </c>
      <c r="C1218" s="2" t="inlineStr">
        <is>
          <t>Emiliano Martínez</t>
        </is>
      </c>
      <c r="D1218" s="2" t="inlineStr">
        <is>
          <t>Médio</t>
        </is>
      </c>
      <c r="E1218" s="12" t="n">
        <v>12</v>
      </c>
      <c r="F1218" s="12" t="n">
        <v>1080</v>
      </c>
      <c r="G1218" s="12" t="n">
        <v>6</v>
      </c>
      <c r="H1218" s="12" t="n">
        <v>252</v>
      </c>
    </row>
    <row r="1219">
      <c r="A1219" s="1" t="n">
        <v>1285</v>
      </c>
      <c r="B1219" s="2" t="inlineStr">
        <is>
          <t>Uruguay</t>
        </is>
      </c>
      <c r="C1219" s="2" t="inlineStr">
        <is>
          <t>Juan Sanabria</t>
        </is>
      </c>
      <c r="D1219" s="2" t="inlineStr">
        <is>
          <t>Médio</t>
        </is>
      </c>
      <c r="E1219" s="12" t="n">
        <v>12</v>
      </c>
      <c r="F1219" s="12" t="n">
        <v>1080</v>
      </c>
      <c r="G1219" s="12" t="n">
        <v>5</v>
      </c>
      <c r="H1219" s="12" t="n">
        <v>186</v>
      </c>
    </row>
    <row r="1220">
      <c r="A1220" s="1" t="n">
        <v>1286</v>
      </c>
      <c r="B1220" s="2" t="inlineStr">
        <is>
          <t>Uruguay</t>
        </is>
      </c>
      <c r="C1220" s="2" t="inlineStr">
        <is>
          <t>Rodrigo Zalazar</t>
        </is>
      </c>
      <c r="D1220" s="2" t="inlineStr">
        <is>
          <t>Médio</t>
        </is>
      </c>
      <c r="E1220" s="12" t="n">
        <v>12</v>
      </c>
      <c r="F1220" s="12" t="n">
        <v>1080</v>
      </c>
      <c r="G1220" s="12" t="n">
        <v>4</v>
      </c>
      <c r="H1220" s="12" t="n">
        <v>225</v>
      </c>
    </row>
    <row r="1221">
      <c r="A1221" s="1" t="n">
        <v>1287</v>
      </c>
      <c r="B1221" s="2" t="inlineStr">
        <is>
          <t>Uruguay</t>
        </is>
      </c>
      <c r="C1221" s="2" t="inlineStr">
        <is>
          <t>Darwin Núñez</t>
        </is>
      </c>
      <c r="D1221" s="2" t="inlineStr">
        <is>
          <t>Avançado</t>
        </is>
      </c>
      <c r="E1221" s="12" t="n">
        <v>12</v>
      </c>
      <c r="F1221" s="12" t="n">
        <v>1080</v>
      </c>
      <c r="G1221" s="12" t="n">
        <v>2</v>
      </c>
      <c r="H1221" s="12" t="n">
        <v>24</v>
      </c>
    </row>
    <row r="1222">
      <c r="A1222" s="1" t="n">
        <v>1288</v>
      </c>
      <c r="B1222" s="2" t="inlineStr">
        <is>
          <t>Uruguay</t>
        </is>
      </c>
      <c r="C1222" s="2" t="inlineStr">
        <is>
          <t>Facundo Pellistri</t>
        </is>
      </c>
      <c r="D1222" s="2" t="inlineStr">
        <is>
          <t>Avançado</t>
        </is>
      </c>
      <c r="E1222" s="12" t="n">
        <v>12</v>
      </c>
      <c r="F1222" s="12" t="n">
        <v>1080</v>
      </c>
      <c r="G1222" s="12" t="n">
        <v>2</v>
      </c>
      <c r="H1222" s="12" t="n">
        <v>29</v>
      </c>
    </row>
    <row r="1223">
      <c r="A1223" s="1" t="n">
        <v>1289</v>
      </c>
      <c r="B1223" s="2" t="inlineStr">
        <is>
          <t>Uruguay</t>
        </is>
      </c>
      <c r="C1223" s="2" t="inlineStr">
        <is>
          <t>Agustín Canobbio</t>
        </is>
      </c>
      <c r="D1223" s="2" t="inlineStr">
        <is>
          <t>Avançado</t>
        </is>
      </c>
      <c r="E1223" s="12" t="n">
        <v>12</v>
      </c>
      <c r="F1223" s="12" t="n">
        <v>1080</v>
      </c>
      <c r="G1223" s="12" t="n">
        <v>2</v>
      </c>
      <c r="H1223" s="12" t="n">
        <v>174</v>
      </c>
    </row>
    <row r="1224">
      <c r="A1224" s="1" t="n">
        <v>1290</v>
      </c>
      <c r="B1224" s="2" t="inlineStr">
        <is>
          <t>Uruguay</t>
        </is>
      </c>
      <c r="C1224" s="2" t="inlineStr">
        <is>
          <t>Brian Rodríguez</t>
        </is>
      </c>
      <c r="D1224" s="2" t="inlineStr">
        <is>
          <t>Avançado</t>
        </is>
      </c>
      <c r="E1224" s="12" t="n">
        <v>12</v>
      </c>
      <c r="F1224" s="12" t="n">
        <v>1080</v>
      </c>
      <c r="G1224" s="12" t="n">
        <v>3</v>
      </c>
      <c r="H1224" s="12" t="n">
        <v>122</v>
      </c>
    </row>
    <row r="1225">
      <c r="A1225" s="1" t="n">
        <v>1291</v>
      </c>
      <c r="B1225" s="2" t="inlineStr">
        <is>
          <t>Uruguay</t>
        </is>
      </c>
      <c r="C1225" s="2" t="inlineStr">
        <is>
          <t>Rodrigo Aguirre</t>
        </is>
      </c>
      <c r="D1225" s="2" t="inlineStr">
        <is>
          <t>Avançado</t>
        </is>
      </c>
      <c r="E1225" s="12" t="n">
        <v>12</v>
      </c>
      <c r="F1225" s="12" t="n">
        <v>1080</v>
      </c>
      <c r="G1225" s="12" t="n">
        <v>3</v>
      </c>
      <c r="H1225" s="12" t="n">
        <v>199</v>
      </c>
    </row>
    <row r="1226">
      <c r="A1226" s="1" t="n">
        <v>1292</v>
      </c>
      <c r="B1226" s="2" t="inlineStr">
        <is>
          <t>Uruguay</t>
        </is>
      </c>
      <c r="C1226" s="2" t="inlineStr">
        <is>
          <t>Federico Viñas</t>
        </is>
      </c>
      <c r="D1226" s="2" t="inlineStr">
        <is>
          <t>Avançado</t>
        </is>
      </c>
      <c r="E1226" s="12" t="n">
        <v>12</v>
      </c>
      <c r="F1226" s="12" t="n">
        <v>1080</v>
      </c>
      <c r="G1226" s="12" t="n">
        <v>5</v>
      </c>
      <c r="H1226" s="12" t="n">
        <v>275</v>
      </c>
    </row>
    <row r="1227">
      <c r="A1227" s="1" t="n">
        <v>1293</v>
      </c>
      <c r="B1227" s="2" t="inlineStr">
        <is>
          <t>Uzbekistan</t>
        </is>
      </c>
      <c r="C1227" s="2" t="inlineStr">
        <is>
          <t>Utkir Yusupov</t>
        </is>
      </c>
      <c r="D1227" s="2" t="inlineStr">
        <is>
          <t>Guarda Redes</t>
        </is>
      </c>
      <c r="E1227" s="11" t="n">
        <v>16</v>
      </c>
      <c r="F1227" s="11" t="n">
        <v>1470</v>
      </c>
      <c r="G1227" s="11" t="n">
        <v>7</v>
      </c>
      <c r="H1227" s="12" t="n">
        <v>180</v>
      </c>
    </row>
    <row r="1228">
      <c r="A1228" s="1" t="n">
        <v>1294</v>
      </c>
      <c r="B1228" s="2" t="inlineStr">
        <is>
          <t>Uzbekistan</t>
        </is>
      </c>
      <c r="C1228" s="2" t="inlineStr">
        <is>
          <t>Abduvohid Nematov</t>
        </is>
      </c>
      <c r="D1228" s="2" t="inlineStr">
        <is>
          <t>Guarda Redes</t>
        </is>
      </c>
      <c r="E1228" s="11" t="n">
        <v>16</v>
      </c>
      <c r="F1228" s="11" t="n">
        <v>1470</v>
      </c>
      <c r="G1228" s="11" t="n">
        <v>8</v>
      </c>
      <c r="H1228" s="12" t="n">
        <v>540</v>
      </c>
    </row>
    <row r="1229">
      <c r="A1229" s="1" t="n">
        <v>1295</v>
      </c>
      <c r="B1229" s="2" t="inlineStr">
        <is>
          <t>Uzbekistan</t>
        </is>
      </c>
      <c r="C1229" s="2" t="inlineStr">
        <is>
          <t>Botir Ergashev</t>
        </is>
      </c>
      <c r="D1229" s="2" t="inlineStr">
        <is>
          <t>Guarda Redes</t>
        </is>
      </c>
      <c r="E1229" s="11" t="n">
        <v>16</v>
      </c>
      <c r="F1229" s="11" t="n">
        <v>1470</v>
      </c>
      <c r="G1229" s="11" t="n">
        <v>2</v>
      </c>
      <c r="H1229" s="12" t="n"/>
    </row>
    <row r="1230">
      <c r="A1230" s="1" t="n">
        <v>1296</v>
      </c>
      <c r="B1230" s="2" t="inlineStr">
        <is>
          <t>Uzbekistan</t>
        </is>
      </c>
      <c r="C1230" s="2" t="inlineStr">
        <is>
          <t>Khozhiakbar Alizhonov</t>
        </is>
      </c>
      <c r="D1230" s="2" t="inlineStr">
        <is>
          <t>Defesa</t>
        </is>
      </c>
      <c r="E1230" s="11" t="n">
        <v>16</v>
      </c>
      <c r="F1230" s="11" t="n">
        <v>1470</v>
      </c>
      <c r="G1230" s="11" t="n">
        <v>13</v>
      </c>
      <c r="H1230" s="12" t="n">
        <v>358</v>
      </c>
    </row>
    <row r="1231">
      <c r="A1231" s="1" t="n">
        <v>1297</v>
      </c>
      <c r="B1231" s="2" t="inlineStr">
        <is>
          <t>Uzbekistan</t>
        </is>
      </c>
      <c r="C1231" s="2" t="inlineStr">
        <is>
          <t>Behruz Karimov</t>
        </is>
      </c>
      <c r="D1231" s="2" t="inlineStr">
        <is>
          <t>Defesa</t>
        </is>
      </c>
      <c r="E1231" s="11" t="n">
        <v>16</v>
      </c>
      <c r="F1231" s="11" t="n">
        <v>1470</v>
      </c>
      <c r="G1231" s="11" t="n">
        <v>2</v>
      </c>
      <c r="H1231" s="12" t="n">
        <v>86</v>
      </c>
    </row>
    <row r="1232">
      <c r="A1232" s="1" t="n">
        <v>1298</v>
      </c>
      <c r="B1232" s="2" t="inlineStr">
        <is>
          <t>Uzbekistan</t>
        </is>
      </c>
      <c r="C1232" s="2" t="inlineStr">
        <is>
          <t>Avazbek Ulmasaliev</t>
        </is>
      </c>
      <c r="D1232" s="2" t="inlineStr">
        <is>
          <t>Defesa</t>
        </is>
      </c>
      <c r="E1232" s="11" t="n">
        <v>16</v>
      </c>
      <c r="F1232" s="11" t="n">
        <v>1470</v>
      </c>
      <c r="G1232" s="11" t="n">
        <v>1</v>
      </c>
      <c r="H1232" s="12" t="n">
        <v>0</v>
      </c>
    </row>
    <row r="1233">
      <c r="A1233" s="1" t="n">
        <v>1299</v>
      </c>
      <c r="B1233" s="2" t="inlineStr">
        <is>
          <t>Uzbekistan</t>
        </is>
      </c>
      <c r="C1233" s="2" t="inlineStr">
        <is>
          <t>Abdukodir Khusanov</t>
        </is>
      </c>
      <c r="D1233" s="2" t="inlineStr">
        <is>
          <t>Defesa</t>
        </is>
      </c>
      <c r="E1233" s="11" t="n">
        <v>16</v>
      </c>
      <c r="F1233" s="11" t="n">
        <v>1470</v>
      </c>
      <c r="G1233" s="11" t="n">
        <v>8</v>
      </c>
      <c r="H1233" s="12" t="n">
        <v>429</v>
      </c>
    </row>
    <row r="1234">
      <c r="A1234" s="1" t="n">
        <v>1300</v>
      </c>
      <c r="B1234" s="2" t="inlineStr">
        <is>
          <t>Uzbekistan</t>
        </is>
      </c>
      <c r="C1234" s="2" t="inlineStr">
        <is>
          <t>Rustamjon Ashurmatov</t>
        </is>
      </c>
      <c r="D1234" s="2" t="inlineStr">
        <is>
          <t>Defesa</t>
        </is>
      </c>
      <c r="E1234" s="11" t="n">
        <v>16</v>
      </c>
      <c r="F1234" s="11" t="n">
        <v>1470</v>
      </c>
      <c r="G1234" s="11" t="n">
        <v>10</v>
      </c>
      <c r="H1234" s="12" t="n">
        <v>542</v>
      </c>
    </row>
    <row r="1235">
      <c r="A1235" s="1" t="n">
        <v>1301</v>
      </c>
      <c r="B1235" s="2" t="inlineStr">
        <is>
          <t>Uzbekistan</t>
        </is>
      </c>
      <c r="C1235" s="2" t="inlineStr">
        <is>
          <t>Umar Eshmurodov</t>
        </is>
      </c>
      <c r="D1235" s="2" t="inlineStr">
        <is>
          <t>Defesa</t>
        </is>
      </c>
      <c r="E1235" s="11" t="n">
        <v>16</v>
      </c>
      <c r="F1235" s="11" t="n">
        <v>1470</v>
      </c>
      <c r="G1235" s="11" t="n">
        <v>7</v>
      </c>
      <c r="H1235" s="12" t="n">
        <v>201</v>
      </c>
    </row>
    <row r="1236">
      <c r="A1236" s="1" t="n">
        <v>1302</v>
      </c>
      <c r="B1236" s="2" t="inlineStr">
        <is>
          <t>Uzbekistan</t>
        </is>
      </c>
      <c r="C1236" s="2" t="inlineStr">
        <is>
          <t>Jakhongir Urozov</t>
        </is>
      </c>
      <c r="D1236" s="2" t="inlineStr">
        <is>
          <t>Defesa</t>
        </is>
      </c>
      <c r="E1236" s="11" t="n">
        <v>16</v>
      </c>
      <c r="F1236" s="11" t="n">
        <v>1470</v>
      </c>
      <c r="G1236" s="11" t="n">
        <v>3</v>
      </c>
      <c r="H1236" s="12" t="n">
        <v>290</v>
      </c>
    </row>
    <row r="1237">
      <c r="A1237" s="1" t="n">
        <v>1303</v>
      </c>
      <c r="B1237" s="2" t="inlineStr">
        <is>
          <t>Uzbekistan</t>
        </is>
      </c>
      <c r="C1237" s="2" t="inlineStr">
        <is>
          <t>Farruh Sayfiev</t>
        </is>
      </c>
      <c r="D1237" s="2" t="inlineStr">
        <is>
          <t>Defesa</t>
        </is>
      </c>
      <c r="E1237" s="11" t="n">
        <v>16</v>
      </c>
      <c r="F1237" s="11" t="n">
        <v>1470</v>
      </c>
      <c r="G1237" s="11" t="n">
        <v>9</v>
      </c>
      <c r="H1237" s="12" t="n">
        <v>268</v>
      </c>
    </row>
    <row r="1238">
      <c r="A1238" s="1" t="n">
        <v>1304</v>
      </c>
      <c r="B1238" s="2" t="inlineStr">
        <is>
          <t>Uzbekistan</t>
        </is>
      </c>
      <c r="C1238" s="2" t="inlineStr">
        <is>
          <t>Sherzod Nasrullaev</t>
        </is>
      </c>
      <c r="D1238" s="2" t="inlineStr">
        <is>
          <t>Defesa</t>
        </is>
      </c>
      <c r="E1238" s="11" t="n">
        <v>16</v>
      </c>
      <c r="F1238" s="11" t="n">
        <v>1470</v>
      </c>
      <c r="G1238" s="11" t="n">
        <v>13</v>
      </c>
      <c r="H1238" s="12" t="n">
        <v>684</v>
      </c>
    </row>
    <row r="1239">
      <c r="A1239" s="1" t="n">
        <v>1305</v>
      </c>
      <c r="B1239" s="2" t="inlineStr">
        <is>
          <t>Uzbekistan</t>
        </is>
      </c>
      <c r="C1239" s="2" t="inlineStr">
        <is>
          <t>Abdulla Abdullaev</t>
        </is>
      </c>
      <c r="D1239" s="2" t="inlineStr">
        <is>
          <t>Médio</t>
        </is>
      </c>
      <c r="E1239" s="11" t="n">
        <v>16</v>
      </c>
      <c r="F1239" s="11" t="n">
        <v>1470</v>
      </c>
      <c r="G1239" s="11" t="n">
        <v>6</v>
      </c>
      <c r="H1239" s="12" t="n">
        <v>250</v>
      </c>
    </row>
    <row r="1240">
      <c r="A1240" s="1" t="n">
        <v>1306</v>
      </c>
      <c r="B1240" s="2" t="inlineStr">
        <is>
          <t>Uzbekistan</t>
        </is>
      </c>
      <c r="C1240" s="2" t="inlineStr">
        <is>
          <t>Dostonbek Khamdamov</t>
        </is>
      </c>
      <c r="D1240" s="2" t="inlineStr">
        <is>
          <t>Médio</t>
        </is>
      </c>
      <c r="E1240" s="11" t="n">
        <v>16</v>
      </c>
      <c r="F1240" s="11" t="n">
        <v>1470</v>
      </c>
      <c r="G1240" s="11" t="n">
        <v>2</v>
      </c>
      <c r="H1240" s="12" t="n">
        <v>71</v>
      </c>
    </row>
    <row r="1241">
      <c r="A1241" s="1" t="n">
        <v>1307</v>
      </c>
      <c r="B1241" s="2" t="inlineStr">
        <is>
          <t>Uzbekistan</t>
        </is>
      </c>
      <c r="C1241" s="2" t="inlineStr">
        <is>
          <t>Akmal Mozgovoy</t>
        </is>
      </c>
      <c r="D1241" s="2" t="inlineStr">
        <is>
          <t>Médio</t>
        </is>
      </c>
      <c r="E1241" s="11" t="n">
        <v>16</v>
      </c>
      <c r="F1241" s="11" t="n">
        <v>1470</v>
      </c>
      <c r="G1241" s="11" t="n">
        <v>12</v>
      </c>
      <c r="H1241" s="12" t="n">
        <v>370</v>
      </c>
    </row>
    <row r="1242">
      <c r="A1242" s="1" t="n">
        <v>1308</v>
      </c>
      <c r="B1242" s="2" t="inlineStr">
        <is>
          <t>Uzbekistan</t>
        </is>
      </c>
      <c r="C1242" s="2" t="inlineStr">
        <is>
          <t>Otabek Shukurov</t>
        </is>
      </c>
      <c r="D1242" s="2" t="inlineStr">
        <is>
          <t>Médio</t>
        </is>
      </c>
      <c r="E1242" s="11" t="n">
        <v>16</v>
      </c>
      <c r="F1242" s="11" t="n">
        <v>1470</v>
      </c>
      <c r="G1242" s="11" t="n">
        <v>13</v>
      </c>
      <c r="H1242" s="12" t="n">
        <v>618</v>
      </c>
    </row>
    <row r="1243">
      <c r="A1243" s="1" t="n">
        <v>1309</v>
      </c>
      <c r="B1243" s="2" t="inlineStr">
        <is>
          <t>Uzbekistan</t>
        </is>
      </c>
      <c r="C1243" s="2" t="inlineStr">
        <is>
          <t>Odil Khamrobekov</t>
        </is>
      </c>
      <c r="D1243" s="2" t="inlineStr">
        <is>
          <t>Médio</t>
        </is>
      </c>
      <c r="E1243" s="11" t="n">
        <v>16</v>
      </c>
      <c r="F1243" s="11" t="n">
        <v>1470</v>
      </c>
      <c r="G1243" s="11" t="n">
        <v>14</v>
      </c>
      <c r="H1243" s="12" t="n">
        <v>413</v>
      </c>
    </row>
    <row r="1244">
      <c r="A1244" s="1" t="n">
        <v>1310</v>
      </c>
      <c r="B1244" s="2" t="inlineStr">
        <is>
          <t>Uzbekistan</t>
        </is>
      </c>
      <c r="C1244" s="2" t="inlineStr">
        <is>
          <t>Aziz Ganiev</t>
        </is>
      </c>
      <c r="D1244" s="2" t="inlineStr">
        <is>
          <t>Médio</t>
        </is>
      </c>
      <c r="E1244" s="11" t="n">
        <v>16</v>
      </c>
      <c r="F1244" s="11" t="n">
        <v>1470</v>
      </c>
      <c r="G1244" s="11" t="n">
        <v>8</v>
      </c>
      <c r="H1244" s="12" t="n">
        <v>371</v>
      </c>
    </row>
    <row r="1245">
      <c r="A1245" s="1" t="n">
        <v>1311</v>
      </c>
      <c r="B1245" s="2" t="inlineStr">
        <is>
          <t>Uzbekistan</t>
        </is>
      </c>
      <c r="C1245" s="2" t="inlineStr">
        <is>
          <t>Sherzod Esanov</t>
        </is>
      </c>
      <c r="D1245" s="2" t="inlineStr">
        <is>
          <t>Médio</t>
        </is>
      </c>
      <c r="E1245" s="11" t="n">
        <v>16</v>
      </c>
      <c r="F1245" s="11" t="n">
        <v>1470</v>
      </c>
      <c r="G1245" s="11" t="n">
        <v>1</v>
      </c>
      <c r="H1245" s="12" t="n">
        <v>5</v>
      </c>
    </row>
    <row r="1246">
      <c r="A1246" s="1" t="n">
        <v>1312</v>
      </c>
      <c r="B1246" s="2" t="inlineStr">
        <is>
          <t>Uzbekistan</t>
        </is>
      </c>
      <c r="C1246" s="2" t="inlineStr">
        <is>
          <t>Jamshid Iskandarov</t>
        </is>
      </c>
      <c r="D1246" s="2" t="inlineStr">
        <is>
          <t>Médio</t>
        </is>
      </c>
      <c r="E1246" s="11" t="n">
        <v>16</v>
      </c>
      <c r="F1246" s="11" t="n">
        <v>1470</v>
      </c>
      <c r="G1246" s="11" t="n">
        <v>8</v>
      </c>
      <c r="H1246" s="12" t="n">
        <v>57</v>
      </c>
    </row>
    <row r="1247">
      <c r="A1247" s="1" t="n">
        <v>1313</v>
      </c>
      <c r="B1247" s="2" t="inlineStr">
        <is>
          <t>Uzbekistan</t>
        </is>
      </c>
      <c r="C1247" s="2" t="inlineStr">
        <is>
          <t>Oston Urunov</t>
        </is>
      </c>
      <c r="D1247" s="2" t="inlineStr">
        <is>
          <t>Médio</t>
        </is>
      </c>
      <c r="E1247" s="11" t="n">
        <v>16</v>
      </c>
      <c r="F1247" s="11" t="n">
        <v>1470</v>
      </c>
      <c r="G1247" s="11" t="n">
        <v>11</v>
      </c>
      <c r="H1247" s="12" t="n">
        <v>390</v>
      </c>
    </row>
    <row r="1248">
      <c r="A1248" s="1" t="n">
        <v>1314</v>
      </c>
      <c r="B1248" s="2" t="inlineStr">
        <is>
          <t>Uzbekistan</t>
        </is>
      </c>
      <c r="C1248" s="2" t="inlineStr">
        <is>
          <t>Azizbek Amonov</t>
        </is>
      </c>
      <c r="D1248" s="2" t="inlineStr">
        <is>
          <t>Avançado</t>
        </is>
      </c>
      <c r="E1248" s="11" t="n">
        <v>16</v>
      </c>
      <c r="F1248" s="11" t="n">
        <v>1470</v>
      </c>
      <c r="G1248" s="11" t="n">
        <v>2</v>
      </c>
      <c r="H1248" s="12" t="n">
        <v>19</v>
      </c>
    </row>
    <row r="1249">
      <c r="A1249" s="1" t="n">
        <v>1315</v>
      </c>
      <c r="B1249" s="2" t="inlineStr">
        <is>
          <t>Uzbekistan</t>
        </is>
      </c>
      <c r="C1249" s="2" t="inlineStr">
        <is>
          <t>Abbos Fayzullaev</t>
        </is>
      </c>
      <c r="D1249" s="2" t="inlineStr">
        <is>
          <t>Avançado</t>
        </is>
      </c>
      <c r="E1249" s="11" t="n">
        <v>16</v>
      </c>
      <c r="F1249" s="11" t="n">
        <v>1470</v>
      </c>
      <c r="G1249" s="11" t="n">
        <v>8</v>
      </c>
      <c r="H1249" s="12" t="n">
        <v>166</v>
      </c>
    </row>
    <row r="1250">
      <c r="A1250" s="1" t="n">
        <v>1316</v>
      </c>
      <c r="B1250" s="2" t="inlineStr">
        <is>
          <t>Uzbekistan</t>
        </is>
      </c>
      <c r="C1250" s="2" t="inlineStr">
        <is>
          <t>Eldor Shomurodov</t>
        </is>
      </c>
      <c r="D1250" s="2" t="inlineStr">
        <is>
          <t>Avançado</t>
        </is>
      </c>
      <c r="E1250" s="11" t="n">
        <v>16</v>
      </c>
      <c r="F1250" s="11" t="n">
        <v>1470</v>
      </c>
      <c r="G1250" s="11" t="n">
        <v>13</v>
      </c>
      <c r="H1250" s="12" t="n">
        <v>677</v>
      </c>
    </row>
    <row r="1251">
      <c r="A1251" s="1" t="n">
        <v>1317</v>
      </c>
      <c r="B1251" s="2" t="inlineStr">
        <is>
          <t>Uzbekistan</t>
        </is>
      </c>
      <c r="C1251" s="2" t="inlineStr">
        <is>
          <t>Igor Sergeev</t>
        </is>
      </c>
      <c r="D1251" s="2" t="inlineStr">
        <is>
          <t>Avançado</t>
        </is>
      </c>
      <c r="E1251" s="11" t="n">
        <v>16</v>
      </c>
      <c r="F1251" s="11" t="n">
        <v>1470</v>
      </c>
      <c r="G1251" s="11" t="n">
        <v>9</v>
      </c>
      <c r="H1251" s="12" t="n">
        <v>48</v>
      </c>
    </row>
    <row r="1252">
      <c r="A1252" s="1" t="n">
        <v>1318</v>
      </c>
      <c r="B1252" s="2" t="inlineStr">
        <is>
          <t>Uzbekistan</t>
        </is>
      </c>
      <c r="C1252" s="2" t="inlineStr">
        <is>
          <t>Jaloliddin Masharipov</t>
        </is>
      </c>
      <c r="D1252" s="2" t="inlineStr">
        <is>
          <t>Avançado</t>
        </is>
      </c>
      <c r="E1252" s="11" t="n">
        <v>16</v>
      </c>
      <c r="F1252" s="11" t="n">
        <v>1470</v>
      </c>
      <c r="G1252" s="11" t="n">
        <v>3</v>
      </c>
      <c r="H1252" s="12" t="n">
        <v>0</v>
      </c>
    </row>
    <row r="1253">
      <c r="A1253" s="1" t="n">
        <v>1319</v>
      </c>
      <c r="B1253" s="12" t="inlineStr">
        <is>
          <t>Jordan</t>
        </is>
      </c>
      <c r="C1253" s="12" t="inlineStr">
        <is>
          <t>Yazeed Abulaila</t>
        </is>
      </c>
      <c r="D1253" s="12" t="inlineStr">
        <is>
          <t>Guarda Redes</t>
        </is>
      </c>
      <c r="E1253" s="12" t="n">
        <v>23</v>
      </c>
      <c r="F1253" s="12" t="n">
        <v>2100</v>
      </c>
      <c r="G1253" s="12" t="n">
        <v>7</v>
      </c>
      <c r="H1253" s="12" t="n">
        <v>630</v>
      </c>
    </row>
    <row r="1254">
      <c r="A1254" s="1" t="n">
        <v>1320</v>
      </c>
      <c r="B1254" s="12" t="inlineStr">
        <is>
          <t>Jordan</t>
        </is>
      </c>
      <c r="C1254" s="12" t="inlineStr">
        <is>
          <t>Noor Bane Ataya</t>
        </is>
      </c>
      <c r="D1254" s="12" t="inlineStr">
        <is>
          <t>Guarda Redes</t>
        </is>
      </c>
      <c r="E1254" s="12" t="n">
        <v>23</v>
      </c>
      <c r="F1254" s="12" t="n">
        <v>2100</v>
      </c>
      <c r="G1254" s="12" t="n">
        <v>0</v>
      </c>
      <c r="H1254" s="12" t="n">
        <v>0</v>
      </c>
    </row>
    <row r="1255">
      <c r="A1255" s="1" t="n">
        <v>1321</v>
      </c>
      <c r="B1255" s="12" t="inlineStr">
        <is>
          <t>Jordan</t>
        </is>
      </c>
      <c r="C1255" s="12" t="inlineStr">
        <is>
          <t>Abdallah Al-Fakhouri</t>
        </is>
      </c>
      <c r="D1255" s="12" t="inlineStr">
        <is>
          <t>Guarda Redes</t>
        </is>
      </c>
      <c r="E1255" s="12" t="n">
        <v>23</v>
      </c>
      <c r="F1255" s="12" t="n">
        <v>2100</v>
      </c>
      <c r="G1255" s="12" t="n">
        <v>0</v>
      </c>
      <c r="H1255" s="12" t="n">
        <v>0</v>
      </c>
    </row>
    <row r="1256">
      <c r="A1256" s="1" t="n">
        <v>1322</v>
      </c>
      <c r="B1256" s="12" t="inlineStr">
        <is>
          <t>Jordan</t>
        </is>
      </c>
      <c r="C1256" s="12" t="inlineStr">
        <is>
          <t>Yazan Al-Arab</t>
        </is>
      </c>
      <c r="D1256" s="12" t="inlineStr">
        <is>
          <t>Defesa</t>
        </is>
      </c>
      <c r="E1256" s="12" t="n">
        <v>23</v>
      </c>
      <c r="F1256" s="12" t="n">
        <v>2100</v>
      </c>
      <c r="G1256" s="12" t="n">
        <v>6</v>
      </c>
      <c r="H1256" s="12" t="n">
        <v>540</v>
      </c>
    </row>
    <row r="1257">
      <c r="A1257" s="1" t="n">
        <v>1323</v>
      </c>
      <c r="B1257" s="12" t="inlineStr">
        <is>
          <t>Jordan</t>
        </is>
      </c>
      <c r="C1257" s="12" t="inlineStr">
        <is>
          <t>Saed Al-Rousan</t>
        </is>
      </c>
      <c r="D1257" s="12" t="inlineStr">
        <is>
          <t>Defesa</t>
        </is>
      </c>
      <c r="E1257" s="12" t="n">
        <v>23</v>
      </c>
      <c r="F1257" s="12" t="n">
        <v>2100</v>
      </c>
      <c r="G1257" s="12" t="n">
        <v>0</v>
      </c>
      <c r="H1257" s="12" t="n">
        <v>0</v>
      </c>
    </row>
    <row r="1258">
      <c r="A1258" s="1" t="n">
        <v>1324</v>
      </c>
      <c r="B1258" s="12" t="inlineStr">
        <is>
          <t>Jordan</t>
        </is>
      </c>
      <c r="C1258" s="12" t="inlineStr">
        <is>
          <t>Abdallah Nasib</t>
        </is>
      </c>
      <c r="D1258" s="12" t="inlineStr">
        <is>
          <t>Defesa</t>
        </is>
      </c>
      <c r="E1258" s="12" t="n">
        <v>23</v>
      </c>
      <c r="F1258" s="12" t="n">
        <v>2100</v>
      </c>
      <c r="G1258" s="12" t="n">
        <v>7</v>
      </c>
      <c r="H1258" s="12" t="n">
        <v>630</v>
      </c>
    </row>
    <row r="1259">
      <c r="A1259" s="1" t="n">
        <v>1325</v>
      </c>
      <c r="B1259" s="12" t="inlineStr">
        <is>
          <t>Jordan</t>
        </is>
      </c>
      <c r="C1259" s="12" t="inlineStr">
        <is>
          <t>Husam Abu Dahab</t>
        </is>
      </c>
      <c r="D1259" s="12" t="inlineStr">
        <is>
          <t>Defesa</t>
        </is>
      </c>
      <c r="E1259" s="12" t="n">
        <v>23</v>
      </c>
      <c r="F1259" s="12" t="n">
        <v>2100</v>
      </c>
      <c r="G1259" s="12" t="n">
        <v>0</v>
      </c>
      <c r="H1259" s="12" t="n">
        <v>0</v>
      </c>
    </row>
    <row r="1260">
      <c r="A1260" s="1" t="n">
        <v>1326</v>
      </c>
      <c r="B1260" s="12" t="inlineStr">
        <is>
          <t>Jordan</t>
        </is>
      </c>
      <c r="C1260" s="12" t="inlineStr">
        <is>
          <t>Mohammad Abualnadi</t>
        </is>
      </c>
      <c r="D1260" s="12" t="inlineStr">
        <is>
          <t>Defesa</t>
        </is>
      </c>
      <c r="E1260" s="12" t="n">
        <v>23</v>
      </c>
      <c r="F1260" s="12" t="n">
        <v>2100</v>
      </c>
      <c r="G1260" s="12" t="n">
        <v>0</v>
      </c>
      <c r="H1260" s="12" t="n">
        <v>0</v>
      </c>
    </row>
    <row r="1261">
      <c r="A1261" s="1" t="n">
        <v>1327</v>
      </c>
      <c r="B1261" s="12" t="inlineStr">
        <is>
          <t>Jordan</t>
        </is>
      </c>
      <c r="C1261" s="12" t="inlineStr">
        <is>
          <t>Saleem Obaid</t>
        </is>
      </c>
      <c r="D1261" s="12" t="inlineStr">
        <is>
          <t>Defesa</t>
        </is>
      </c>
      <c r="E1261" s="12" t="n">
        <v>23</v>
      </c>
      <c r="F1261" s="12" t="n">
        <v>2100</v>
      </c>
      <c r="G1261" s="12" t="n">
        <v>0</v>
      </c>
      <c r="H1261" s="12" t="n">
        <v>0</v>
      </c>
    </row>
    <row r="1262">
      <c r="A1262" s="1" t="n">
        <v>1328</v>
      </c>
      <c r="B1262" s="12" t="inlineStr">
        <is>
          <t>Jordan</t>
        </is>
      </c>
      <c r="C1262" s="12" t="inlineStr">
        <is>
          <t>Mohannad Abu Taha</t>
        </is>
      </c>
      <c r="D1262" s="12" t="inlineStr">
        <is>
          <t>Defesa</t>
        </is>
      </c>
      <c r="E1262" s="12" t="n">
        <v>23</v>
      </c>
      <c r="F1262" s="12" t="n">
        <v>2100</v>
      </c>
      <c r="G1262" s="12" t="n">
        <v>0</v>
      </c>
      <c r="H1262" s="12" t="n">
        <v>0</v>
      </c>
    </row>
    <row r="1263">
      <c r="A1263" s="1" t="n">
        <v>1329</v>
      </c>
      <c r="B1263" s="12" t="inlineStr">
        <is>
          <t>Jordan</t>
        </is>
      </c>
      <c r="C1263" s="12" t="inlineStr">
        <is>
          <t>Mohammad Abu Hasheesh</t>
        </is>
      </c>
      <c r="D1263" s="12" t="inlineStr">
        <is>
          <t>Defesa</t>
        </is>
      </c>
      <c r="E1263" s="12" t="n">
        <v>23</v>
      </c>
      <c r="F1263" s="12" t="n">
        <v>2100</v>
      </c>
      <c r="G1263" s="12" t="n">
        <v>5</v>
      </c>
      <c r="H1263" s="12" t="n">
        <v>261</v>
      </c>
    </row>
    <row r="1264">
      <c r="A1264" s="1" t="n">
        <v>1330</v>
      </c>
      <c r="B1264" s="12" t="inlineStr">
        <is>
          <t>Jordan</t>
        </is>
      </c>
      <c r="C1264" s="12" t="inlineStr">
        <is>
          <t>Mohammad Abu Ghoush</t>
        </is>
      </c>
      <c r="D1264" s="12" t="inlineStr">
        <is>
          <t>Defesa</t>
        </is>
      </c>
      <c r="E1264" s="12" t="n">
        <v>23</v>
      </c>
      <c r="F1264" s="12" t="n">
        <v>2100</v>
      </c>
      <c r="G1264" s="12" t="n">
        <v>0</v>
      </c>
      <c r="H1264" s="12" t="n">
        <v>0</v>
      </c>
    </row>
    <row r="1265">
      <c r="A1265" s="1" t="n">
        <v>1331</v>
      </c>
      <c r="B1265" s="12" t="inlineStr">
        <is>
          <t>Jordan</t>
        </is>
      </c>
      <c r="C1265" s="12" t="inlineStr">
        <is>
          <t>Ehsan Haddad</t>
        </is>
      </c>
      <c r="D1265" s="12" t="inlineStr">
        <is>
          <t>Defesa</t>
        </is>
      </c>
      <c r="E1265" s="12" t="n">
        <v>23</v>
      </c>
      <c r="F1265" s="12" t="n">
        <v>2100</v>
      </c>
      <c r="G1265" s="12" t="n">
        <v>6</v>
      </c>
      <c r="H1265" s="12" t="n">
        <v>517</v>
      </c>
    </row>
    <row r="1266">
      <c r="A1266" s="1" t="n">
        <v>1332</v>
      </c>
      <c r="B1266" s="12" t="inlineStr">
        <is>
          <t>Jordan</t>
        </is>
      </c>
      <c r="C1266" s="12" t="inlineStr">
        <is>
          <t>Anas Badawi</t>
        </is>
      </c>
      <c r="D1266" s="12" t="inlineStr">
        <is>
          <t>Defesa</t>
        </is>
      </c>
      <c r="E1266" s="12" t="n">
        <v>23</v>
      </c>
      <c r="F1266" s="12" t="n">
        <v>2100</v>
      </c>
      <c r="G1266" s="12" t="n">
        <v>0</v>
      </c>
      <c r="H1266" s="12" t="n">
        <v>0</v>
      </c>
    </row>
    <row r="1267">
      <c r="A1267" s="1" t="n">
        <v>1333</v>
      </c>
      <c r="B1267" s="12" t="inlineStr">
        <is>
          <t>Jordan</t>
        </is>
      </c>
      <c r="C1267" s="12" t="inlineStr">
        <is>
          <t>Nizar Al-Rashdan</t>
        </is>
      </c>
      <c r="D1267" s="12" t="inlineStr">
        <is>
          <t>Médio</t>
        </is>
      </c>
      <c r="E1267" s="12" t="n">
        <v>23</v>
      </c>
      <c r="F1267" s="12" t="n">
        <v>2100</v>
      </c>
      <c r="G1267" s="12" t="n">
        <v>5</v>
      </c>
      <c r="H1267" s="12" t="n">
        <v>421</v>
      </c>
    </row>
    <row r="1268">
      <c r="A1268" s="1" t="n">
        <v>1334</v>
      </c>
      <c r="B1268" s="12" t="inlineStr">
        <is>
          <t>Jordan</t>
        </is>
      </c>
      <c r="C1268" s="12" t="inlineStr">
        <is>
          <t>Amer Jamous</t>
        </is>
      </c>
      <c r="D1268" s="12" t="inlineStr">
        <is>
          <t>Médio</t>
        </is>
      </c>
      <c r="E1268" s="12" t="n">
        <v>23</v>
      </c>
      <c r="F1268" s="12" t="n">
        <v>2100</v>
      </c>
      <c r="G1268" s="12" t="n">
        <v>0</v>
      </c>
      <c r="H1268" s="12" t="n">
        <v>0</v>
      </c>
    </row>
    <row r="1269">
      <c r="A1269" s="1" t="n">
        <v>1335</v>
      </c>
      <c r="B1269" s="12" t="inlineStr">
        <is>
          <t>Jordan</t>
        </is>
      </c>
      <c r="C1269" s="12" t="inlineStr">
        <is>
          <t>Noor Al-Rawabdeh</t>
        </is>
      </c>
      <c r="D1269" s="12" t="inlineStr">
        <is>
          <t>Médio</t>
        </is>
      </c>
      <c r="E1269" s="12" t="n">
        <v>23</v>
      </c>
      <c r="F1269" s="12" t="n">
        <v>2100</v>
      </c>
      <c r="G1269" s="12" t="n">
        <v>4</v>
      </c>
      <c r="H1269" s="12" t="n">
        <v>349</v>
      </c>
    </row>
    <row r="1270">
      <c r="A1270" s="1" t="n">
        <v>1336</v>
      </c>
      <c r="B1270" s="12" t="inlineStr">
        <is>
          <t>Jordan</t>
        </is>
      </c>
      <c r="C1270" s="12" t="inlineStr">
        <is>
          <t>Ibrahim Saadeh</t>
        </is>
      </c>
      <c r="D1270" s="12" t="inlineStr">
        <is>
          <t>Médio</t>
        </is>
      </c>
      <c r="E1270" s="12" t="n">
        <v>23</v>
      </c>
      <c r="F1270" s="12" t="n">
        <v>2100</v>
      </c>
      <c r="G1270" s="12" t="n">
        <v>4</v>
      </c>
      <c r="H1270" s="12" t="n">
        <v>34</v>
      </c>
    </row>
    <row r="1271">
      <c r="A1271" s="1" t="n">
        <v>1337</v>
      </c>
      <c r="B1271" s="12" t="inlineStr">
        <is>
          <t>Jordan</t>
        </is>
      </c>
      <c r="C1271" s="12" t="inlineStr">
        <is>
          <t>Rajaei Ayed</t>
        </is>
      </c>
      <c r="D1271" s="12" t="inlineStr">
        <is>
          <t>Médio</t>
        </is>
      </c>
      <c r="E1271" s="12" t="n">
        <v>23</v>
      </c>
      <c r="F1271" s="12" t="n">
        <v>2100</v>
      </c>
      <c r="G1271" s="12" t="n">
        <v>6</v>
      </c>
      <c r="H1271" s="12" t="n">
        <v>351</v>
      </c>
    </row>
    <row r="1272">
      <c r="A1272" s="1" t="n">
        <v>1338</v>
      </c>
      <c r="B1272" s="12" t="inlineStr">
        <is>
          <t>Jordan</t>
        </is>
      </c>
      <c r="C1272" s="12" t="inlineStr">
        <is>
          <t>Mohammad Al-Dawoud</t>
        </is>
      </c>
      <c r="D1272" s="12" t="inlineStr">
        <is>
          <t>Médio</t>
        </is>
      </c>
      <c r="E1272" s="12" t="n">
        <v>23</v>
      </c>
      <c r="F1272" s="12" t="n">
        <v>2100</v>
      </c>
      <c r="G1272" s="12" t="n">
        <v>0</v>
      </c>
      <c r="H1272" s="12" t="n">
        <v>0</v>
      </c>
    </row>
    <row r="1273">
      <c r="A1273" s="1" t="n">
        <v>1339</v>
      </c>
      <c r="B1273" s="12" t="inlineStr">
        <is>
          <t>Jordan</t>
        </is>
      </c>
      <c r="C1273" s="12" t="inlineStr">
        <is>
          <t>Odeh Fakhoury</t>
        </is>
      </c>
      <c r="D1273" s="12" t="inlineStr">
        <is>
          <t>Avançado</t>
        </is>
      </c>
      <c r="E1273" s="12" t="n">
        <v>23</v>
      </c>
      <c r="F1273" s="12" t="n">
        <v>2100</v>
      </c>
      <c r="G1273" s="12" t="n">
        <v>0</v>
      </c>
      <c r="H1273" s="12" t="n">
        <v>0</v>
      </c>
    </row>
    <row r="1274">
      <c r="A1274" s="1" t="n">
        <v>1340</v>
      </c>
      <c r="B1274" s="12" t="inlineStr">
        <is>
          <t>Jordan</t>
        </is>
      </c>
      <c r="C1274" s="12" t="inlineStr">
        <is>
          <t>Mahmoud Al-Mardi</t>
        </is>
      </c>
      <c r="D1274" s="12" t="inlineStr">
        <is>
          <t>Avançado</t>
        </is>
      </c>
      <c r="E1274" s="12" t="n">
        <v>23</v>
      </c>
      <c r="F1274" s="12" t="n">
        <v>2100</v>
      </c>
      <c r="G1274" s="12" t="n">
        <v>6</v>
      </c>
      <c r="H1274" s="12" t="n">
        <v>449</v>
      </c>
    </row>
    <row r="1275">
      <c r="A1275" s="1" t="n">
        <v>1341</v>
      </c>
      <c r="B1275" s="12" t="inlineStr">
        <is>
          <t>Jordan</t>
        </is>
      </c>
      <c r="C1275" s="12" t="inlineStr">
        <is>
          <t>Mousa Tamari</t>
        </is>
      </c>
      <c r="D1275" s="12" t="inlineStr">
        <is>
          <t>Avançado</t>
        </is>
      </c>
      <c r="E1275" s="12" t="n">
        <v>23</v>
      </c>
      <c r="F1275" s="12" t="n">
        <v>2100</v>
      </c>
      <c r="G1275" s="12" t="n">
        <v>6</v>
      </c>
      <c r="H1275" s="12" t="n">
        <v>539</v>
      </c>
    </row>
    <row r="1276">
      <c r="A1276" s="1" t="n">
        <v>1342</v>
      </c>
      <c r="B1276" s="12" t="inlineStr">
        <is>
          <t>Jordan</t>
        </is>
      </c>
      <c r="C1276" s="12" t="inlineStr">
        <is>
          <t>Shararh</t>
        </is>
      </c>
      <c r="D1276" s="12" t="inlineStr">
        <is>
          <t>Avançado</t>
        </is>
      </c>
      <c r="E1276" s="12" t="n">
        <v>23</v>
      </c>
      <c r="F1276" s="12" t="n">
        <v>2100</v>
      </c>
      <c r="G1276" s="12" t="n">
        <v>0</v>
      </c>
      <c r="H1276" s="12" t="n">
        <v>0</v>
      </c>
    </row>
    <row r="1277">
      <c r="A1277" s="1" t="n">
        <v>1343</v>
      </c>
      <c r="B1277" s="12" t="inlineStr">
        <is>
          <t>Jordan</t>
        </is>
      </c>
      <c r="C1277" s="12" t="inlineStr">
        <is>
          <t>Ali Azaizeh</t>
        </is>
      </c>
      <c r="D1277" s="12" t="inlineStr">
        <is>
          <t>Avançado</t>
        </is>
      </c>
      <c r="E1277" s="12" t="n">
        <v>23</v>
      </c>
      <c r="F1277" s="12" t="n">
        <v>2100</v>
      </c>
      <c r="G1277" s="12" t="n">
        <v>0</v>
      </c>
      <c r="H1277" s="12" t="n">
        <v>0</v>
      </c>
    </row>
    <row r="1278">
      <c r="A1278" s="1" t="n">
        <v>1344</v>
      </c>
      <c r="B1278" s="12" t="inlineStr">
        <is>
          <t>Jordan</t>
        </is>
      </c>
      <c r="C1278" s="12" t="inlineStr">
        <is>
          <t>Ali Olwan</t>
        </is>
      </c>
      <c r="D1278" s="12" t="inlineStr">
        <is>
          <t>Avançado</t>
        </is>
      </c>
      <c r="E1278" s="12" t="n">
        <v>23</v>
      </c>
      <c r="F1278" s="12" t="n">
        <v>2100</v>
      </c>
      <c r="G1278" s="12" t="n">
        <v>6</v>
      </c>
      <c r="H1278" s="12" t="n">
        <v>524</v>
      </c>
    </row>
    <row r="1279" ht="16" customHeight="1" s="25">
      <c r="A1279" s="1" t="n">
        <v>1345</v>
      </c>
      <c r="B1279" s="11" t="inlineStr">
        <is>
          <t>Panama</t>
        </is>
      </c>
      <c r="C1279" s="11" t="inlineStr">
        <is>
          <t>Luis Mejía</t>
        </is>
      </c>
      <c r="D1279" s="11" t="inlineStr">
        <is>
          <t>Guarda Redes</t>
        </is>
      </c>
      <c r="E1279" s="11" t="n">
        <v>21</v>
      </c>
      <c r="F1279" s="11" t="n">
        <v>1890</v>
      </c>
      <c r="G1279" s="11" t="n">
        <v>1</v>
      </c>
      <c r="H1279" s="11" t="n">
        <v>42</v>
      </c>
    </row>
    <row r="1280" ht="16" customHeight="1" s="25">
      <c r="A1280" s="1" t="n">
        <v>1346</v>
      </c>
      <c r="B1280" s="11" t="inlineStr">
        <is>
          <t>Panama</t>
        </is>
      </c>
      <c r="C1280" s="11" t="inlineStr">
        <is>
          <t>César Samudio</t>
        </is>
      </c>
      <c r="D1280" s="11" t="inlineStr">
        <is>
          <t>Guarda Redes</t>
        </is>
      </c>
      <c r="E1280" s="11" t="n">
        <v>21</v>
      </c>
      <c r="F1280" s="11" t="n">
        <v>1890</v>
      </c>
      <c r="G1280" s="11" t="n">
        <v>1</v>
      </c>
      <c r="H1280" s="11" t="n">
        <v>66</v>
      </c>
    </row>
    <row r="1281" ht="16" customHeight="1" s="25">
      <c r="A1281" s="1" t="n">
        <v>1347</v>
      </c>
      <c r="B1281" s="11" t="inlineStr">
        <is>
          <t>Panama</t>
        </is>
      </c>
      <c r="C1281" s="11" t="inlineStr">
        <is>
          <t>Orlando Mosquera</t>
        </is>
      </c>
      <c r="D1281" s="11" t="inlineStr">
        <is>
          <t>Guarda Redes</t>
        </is>
      </c>
      <c r="E1281" s="11" t="n">
        <v>21</v>
      </c>
      <c r="F1281" s="11" t="n">
        <v>1890</v>
      </c>
      <c r="G1281" s="11" t="n">
        <v>4</v>
      </c>
      <c r="H1281" s="11" t="n">
        <v>318</v>
      </c>
    </row>
    <row r="1282" ht="16" customHeight="1" s="25">
      <c r="A1282" s="1" t="n">
        <v>1348</v>
      </c>
      <c r="B1282" s="11" t="inlineStr">
        <is>
          <t>Panama</t>
        </is>
      </c>
      <c r="C1282" s="11" t="inlineStr">
        <is>
          <t>Cesar Blackman</t>
        </is>
      </c>
      <c r="D1282" s="11" t="inlineStr">
        <is>
          <t>Defesa</t>
        </is>
      </c>
      <c r="E1282" s="11" t="n">
        <v>21</v>
      </c>
      <c r="F1282" s="11" t="n">
        <v>1890</v>
      </c>
      <c r="G1282" s="11" t="n">
        <v>5</v>
      </c>
      <c r="H1282" s="11" t="n">
        <v>302</v>
      </c>
    </row>
    <row r="1283" ht="16" customHeight="1" s="25">
      <c r="A1283" s="1" t="n">
        <v>1349</v>
      </c>
      <c r="B1283" s="11" t="inlineStr">
        <is>
          <t>Panama</t>
        </is>
      </c>
      <c r="C1283" s="11" t="inlineStr">
        <is>
          <t>Michael Murillo</t>
        </is>
      </c>
      <c r="D1283" s="11" t="inlineStr">
        <is>
          <t>Defesa</t>
        </is>
      </c>
      <c r="E1283" s="11" t="n">
        <v>21</v>
      </c>
      <c r="F1283" s="11" t="n">
        <v>1890</v>
      </c>
      <c r="G1283" s="11" t="n">
        <v>4</v>
      </c>
      <c r="H1283" s="11" t="n">
        <v>283</v>
      </c>
    </row>
    <row r="1284" ht="16" customHeight="1" s="25">
      <c r="A1284" s="1" t="n">
        <v>1350</v>
      </c>
      <c r="B1284" s="11" t="inlineStr">
        <is>
          <t>Panama</t>
        </is>
      </c>
      <c r="C1284" s="11" t="inlineStr">
        <is>
          <t>José Cordoba</t>
        </is>
      </c>
      <c r="D1284" s="11" t="inlineStr">
        <is>
          <t>Defesa</t>
        </is>
      </c>
      <c r="E1284" s="11" t="n">
        <v>21</v>
      </c>
      <c r="F1284" s="11" t="n">
        <v>1890</v>
      </c>
      <c r="G1284" s="11" t="n">
        <v>4</v>
      </c>
      <c r="H1284" s="11" t="n">
        <v>244</v>
      </c>
    </row>
    <row r="1285" ht="16" customHeight="1" s="25">
      <c r="A1285" s="1" t="n">
        <v>1351</v>
      </c>
      <c r="B1285" s="11" t="inlineStr">
        <is>
          <t>Panama</t>
        </is>
      </c>
      <c r="C1285" s="11" t="inlineStr">
        <is>
          <t>Fidel Escobar</t>
        </is>
      </c>
      <c r="D1285" s="11" t="inlineStr">
        <is>
          <t>Defesa</t>
        </is>
      </c>
      <c r="E1285" s="11" t="n">
        <v>21</v>
      </c>
      <c r="F1285" s="11" t="n">
        <v>1890</v>
      </c>
      <c r="G1285" s="11" t="n">
        <v>3</v>
      </c>
      <c r="H1285" s="11" t="n">
        <v>104</v>
      </c>
    </row>
    <row r="1286" ht="16" customHeight="1" s="25">
      <c r="A1286" s="1" t="n">
        <v>1352</v>
      </c>
      <c r="B1286" s="11" t="inlineStr">
        <is>
          <t>Panama</t>
        </is>
      </c>
      <c r="C1286" s="11" t="inlineStr">
        <is>
          <t>Edgardo Fariña</t>
        </is>
      </c>
      <c r="D1286" s="11" t="inlineStr">
        <is>
          <t>Defesa</t>
        </is>
      </c>
      <c r="E1286" s="11" t="n">
        <v>21</v>
      </c>
      <c r="F1286" s="11" t="n">
        <v>1890</v>
      </c>
      <c r="G1286" s="11" t="n">
        <v>3</v>
      </c>
      <c r="H1286" s="11" t="n">
        <v>114</v>
      </c>
    </row>
    <row r="1287" ht="16" customHeight="1" s="25">
      <c r="A1287" s="1" t="n">
        <v>1353</v>
      </c>
      <c r="B1287" s="11" t="inlineStr">
        <is>
          <t>Panama</t>
        </is>
      </c>
      <c r="C1287" s="11" t="inlineStr">
        <is>
          <t>Jiovany Ramos</t>
        </is>
      </c>
      <c r="D1287" s="11" t="inlineStr">
        <is>
          <t>Defesa</t>
        </is>
      </c>
      <c r="E1287" s="11" t="n">
        <v>21</v>
      </c>
      <c r="F1287" s="11" t="n">
        <v>1890</v>
      </c>
      <c r="G1287" s="11" t="n">
        <v>4</v>
      </c>
      <c r="H1287" s="11" t="n">
        <v>250</v>
      </c>
    </row>
    <row r="1288" ht="16" customHeight="1" s="25">
      <c r="A1288" s="1" t="n">
        <v>1354</v>
      </c>
      <c r="B1288" s="11" t="inlineStr">
        <is>
          <t>Panama</t>
        </is>
      </c>
      <c r="C1288" s="11" t="inlineStr">
        <is>
          <t>Andrés Andrade</t>
        </is>
      </c>
      <c r="D1288" s="11" t="inlineStr">
        <is>
          <t>Defesa</t>
        </is>
      </c>
      <c r="E1288" s="11" t="n">
        <v>21</v>
      </c>
      <c r="F1288" s="11" t="n">
        <v>1890</v>
      </c>
      <c r="G1288" s="11" t="n">
        <v>4</v>
      </c>
      <c r="H1288" s="11" t="n">
        <v>217</v>
      </c>
    </row>
    <row r="1289" ht="16" customHeight="1" s="25">
      <c r="A1289" s="1" t="n">
        <v>1355</v>
      </c>
      <c r="B1289" s="11" t="inlineStr">
        <is>
          <t>Panama</t>
        </is>
      </c>
      <c r="C1289" s="11" t="inlineStr">
        <is>
          <t>Roderick Miller</t>
        </is>
      </c>
      <c r="D1289" s="11" t="inlineStr">
        <is>
          <t>Defesa</t>
        </is>
      </c>
      <c r="E1289" s="11" t="n">
        <v>21</v>
      </c>
      <c r="F1289" s="11" t="n">
        <v>1890</v>
      </c>
      <c r="G1289" s="11" t="n">
        <v>4</v>
      </c>
      <c r="H1289" s="11" t="n">
        <v>163</v>
      </c>
    </row>
    <row r="1290" ht="16" customHeight="1" s="25">
      <c r="A1290" s="1" t="n">
        <v>1356</v>
      </c>
      <c r="B1290" s="11" t="inlineStr">
        <is>
          <t>Panama</t>
        </is>
      </c>
      <c r="C1290" s="11" t="inlineStr">
        <is>
          <t>Éric Davis</t>
        </is>
      </c>
      <c r="D1290" s="11" t="inlineStr">
        <is>
          <t>Defesa</t>
        </is>
      </c>
      <c r="E1290" s="11" t="n">
        <v>21</v>
      </c>
      <c r="F1290" s="11" t="n">
        <v>1890</v>
      </c>
      <c r="G1290" s="11" t="n">
        <v>4</v>
      </c>
      <c r="H1290" s="11" t="n">
        <v>120</v>
      </c>
    </row>
    <row r="1291" ht="16" customHeight="1" s="25">
      <c r="A1291" s="1" t="n">
        <v>1357</v>
      </c>
      <c r="B1291" s="11" t="inlineStr">
        <is>
          <t>Panama</t>
        </is>
      </c>
      <c r="C1291" s="11" t="inlineStr">
        <is>
          <t>Jorge Gutiérrez</t>
        </is>
      </c>
      <c r="D1291" s="11" t="inlineStr">
        <is>
          <t>Defesa</t>
        </is>
      </c>
      <c r="E1291" s="11" t="n">
        <v>21</v>
      </c>
      <c r="F1291" s="11" t="n">
        <v>1890</v>
      </c>
      <c r="G1291" s="11" t="n">
        <v>4</v>
      </c>
      <c r="H1291" s="11" t="n">
        <v>250</v>
      </c>
    </row>
    <row r="1292" ht="16" customHeight="1" s="25">
      <c r="A1292" s="1" t="n">
        <v>1358</v>
      </c>
      <c r="B1292" s="11" t="inlineStr">
        <is>
          <t>Panama</t>
        </is>
      </c>
      <c r="C1292" s="11" t="inlineStr">
        <is>
          <t>Carlos Harvey</t>
        </is>
      </c>
      <c r="D1292" s="11" t="inlineStr">
        <is>
          <t>Médio</t>
        </is>
      </c>
      <c r="E1292" s="11" t="n">
        <v>21</v>
      </c>
      <c r="F1292" s="11" t="n">
        <v>1890</v>
      </c>
      <c r="G1292" s="11" t="n">
        <v>5</v>
      </c>
      <c r="H1292" s="11" t="n">
        <v>399</v>
      </c>
    </row>
    <row r="1293" ht="16" customHeight="1" s="25">
      <c r="A1293" s="1" t="n">
        <v>1359</v>
      </c>
      <c r="B1293" s="11" t="inlineStr">
        <is>
          <t>Panama</t>
        </is>
      </c>
      <c r="C1293" s="11" t="inlineStr">
        <is>
          <t>Aníbal Godoy</t>
        </is>
      </c>
      <c r="D1293" s="11" t="inlineStr">
        <is>
          <t>Médio</t>
        </is>
      </c>
      <c r="E1293" s="11" t="n">
        <v>21</v>
      </c>
      <c r="F1293" s="11" t="n">
        <v>1890</v>
      </c>
      <c r="G1293" s="11" t="n">
        <v>2</v>
      </c>
      <c r="H1293" s="11" t="n">
        <v>94</v>
      </c>
    </row>
    <row r="1294" ht="16" customHeight="1" s="25">
      <c r="A1294" s="1" t="n">
        <v>1360</v>
      </c>
      <c r="B1294" s="11" t="inlineStr">
        <is>
          <t>Panama</t>
        </is>
      </c>
      <c r="C1294" s="11" t="inlineStr">
        <is>
          <t>Cristian Martínez</t>
        </is>
      </c>
      <c r="D1294" s="11" t="inlineStr">
        <is>
          <t>Médio</t>
        </is>
      </c>
      <c r="E1294" s="11" t="n">
        <v>21</v>
      </c>
      <c r="F1294" s="11" t="n">
        <v>1890</v>
      </c>
      <c r="G1294" s="11" t="n">
        <v>5</v>
      </c>
      <c r="H1294" s="11" t="n">
        <v>249</v>
      </c>
    </row>
    <row r="1295" ht="16" customHeight="1" s="25">
      <c r="A1295" s="1" t="n">
        <v>1361</v>
      </c>
      <c r="B1295" s="11" t="inlineStr">
        <is>
          <t>Panama</t>
        </is>
      </c>
      <c r="C1295" s="11" t="inlineStr">
        <is>
          <t>Adalberto Carrasquilla</t>
        </is>
      </c>
      <c r="D1295" s="11" t="inlineStr">
        <is>
          <t>Médio</t>
        </is>
      </c>
      <c r="E1295" s="11" t="n">
        <v>21</v>
      </c>
      <c r="F1295" s="11" t="n">
        <v>1890</v>
      </c>
      <c r="G1295" s="11" t="n">
        <v>2</v>
      </c>
      <c r="H1295" s="11" t="n">
        <v>106</v>
      </c>
    </row>
    <row r="1296" ht="16" customHeight="1" s="25">
      <c r="A1296" s="1" t="n">
        <v>1362</v>
      </c>
      <c r="B1296" s="11" t="inlineStr">
        <is>
          <t>Panama</t>
        </is>
      </c>
      <c r="C1296" s="11" t="inlineStr">
        <is>
          <t>Yoel Bárcenas</t>
        </is>
      </c>
      <c r="D1296" s="11" t="inlineStr">
        <is>
          <t>Avançado</t>
        </is>
      </c>
      <c r="E1296" s="11" t="n">
        <v>21</v>
      </c>
      <c r="F1296" s="11" t="n">
        <v>1890</v>
      </c>
      <c r="G1296" s="11" t="n">
        <v>5</v>
      </c>
      <c r="H1296" s="11" t="n">
        <v>286</v>
      </c>
    </row>
    <row r="1297" ht="16" customHeight="1" s="25">
      <c r="A1297" s="1" t="n">
        <v>1363</v>
      </c>
      <c r="B1297" s="11" t="inlineStr">
        <is>
          <t>Panama</t>
        </is>
      </c>
      <c r="C1297" s="11" t="inlineStr">
        <is>
          <t>Alberto Quintero</t>
        </is>
      </c>
      <c r="D1297" s="11" t="inlineStr">
        <is>
          <t>Avançado</t>
        </is>
      </c>
      <c r="E1297" s="11" t="n">
        <v>21</v>
      </c>
      <c r="F1297" s="11" t="n">
        <v>1890</v>
      </c>
      <c r="G1297" s="11" t="n">
        <v>1</v>
      </c>
      <c r="H1297" s="11" t="n">
        <v>45</v>
      </c>
    </row>
    <row r="1298" ht="16" customHeight="1" s="25">
      <c r="A1298" s="1" t="n">
        <v>1364</v>
      </c>
      <c r="B1298" s="11" t="inlineStr">
        <is>
          <t>Panama</t>
        </is>
      </c>
      <c r="C1298" s="11" t="inlineStr">
        <is>
          <t>César Yanis</t>
        </is>
      </c>
      <c r="D1298" s="11" t="inlineStr">
        <is>
          <t>Avançado</t>
        </is>
      </c>
      <c r="E1298" s="11" t="n">
        <v>21</v>
      </c>
      <c r="F1298" s="11" t="n">
        <v>1890</v>
      </c>
      <c r="G1298" s="11" t="n">
        <v>2</v>
      </c>
      <c r="H1298" s="11" t="n">
        <v>135</v>
      </c>
    </row>
    <row r="1299" ht="16" customHeight="1" s="25">
      <c r="A1299" s="1" t="n">
        <v>1365</v>
      </c>
      <c r="B1299" s="11" t="inlineStr">
        <is>
          <t>Panama</t>
        </is>
      </c>
      <c r="C1299" s="11" t="inlineStr">
        <is>
          <t>Tomás Rodríguez</t>
        </is>
      </c>
      <c r="D1299" s="11" t="inlineStr">
        <is>
          <t>Avançado</t>
        </is>
      </c>
      <c r="E1299" s="11" t="n">
        <v>21</v>
      </c>
      <c r="F1299" s="11" t="n">
        <v>1890</v>
      </c>
      <c r="G1299" s="11" t="n">
        <v>2</v>
      </c>
      <c r="H1299" s="11" t="n">
        <v>69</v>
      </c>
    </row>
    <row r="1300" ht="16" customHeight="1" s="25">
      <c r="A1300" s="1" t="n">
        <v>1366</v>
      </c>
      <c r="B1300" s="11" t="inlineStr">
        <is>
          <t>Panama</t>
        </is>
      </c>
      <c r="C1300" s="11" t="inlineStr">
        <is>
          <t>José Fajardo</t>
        </is>
      </c>
      <c r="D1300" s="11" t="inlineStr">
        <is>
          <t>Avançado</t>
        </is>
      </c>
      <c r="E1300" s="11" t="n">
        <v>21</v>
      </c>
      <c r="F1300" s="11" t="n">
        <v>1890</v>
      </c>
      <c r="G1300" s="11" t="n">
        <v>5</v>
      </c>
      <c r="H1300" s="11" t="n">
        <v>190</v>
      </c>
    </row>
    <row r="1301" ht="16" customHeight="1" s="25">
      <c r="A1301" s="1" t="n">
        <v>1367</v>
      </c>
      <c r="B1301" s="11" t="inlineStr">
        <is>
          <t>Panama</t>
        </is>
      </c>
      <c r="C1301" s="11" t="inlineStr">
        <is>
          <t>Cecílio Waterman</t>
        </is>
      </c>
      <c r="D1301" s="11" t="inlineStr">
        <is>
          <t>Avançado</t>
        </is>
      </c>
      <c r="E1301" s="11" t="n">
        <v>21</v>
      </c>
      <c r="F1301" s="11" t="n">
        <v>1890</v>
      </c>
      <c r="G1301" s="11" t="n">
        <v>5</v>
      </c>
      <c r="H1301" s="11" t="n">
        <v>198</v>
      </c>
    </row>
    <row r="1302" ht="16" customHeight="1" s="25">
      <c r="A1302" s="1" t="n">
        <v>1368</v>
      </c>
      <c r="B1302" s="11" t="inlineStr">
        <is>
          <t>Panama</t>
        </is>
      </c>
      <c r="C1302" s="11" t="inlineStr">
        <is>
          <t>Azarias Londoño</t>
        </is>
      </c>
      <c r="D1302" s="11" t="inlineStr">
        <is>
          <t>Avançado</t>
        </is>
      </c>
      <c r="E1302" s="11" t="n">
        <v>21</v>
      </c>
      <c r="F1302" s="11" t="n">
        <v>1890</v>
      </c>
      <c r="G1302" s="11" t="n">
        <v>1</v>
      </c>
      <c r="H1302" s="11" t="n">
        <v>25</v>
      </c>
    </row>
    <row r="1303" ht="16" customHeight="1" s="25">
      <c r="A1303" s="1" t="n">
        <v>1369</v>
      </c>
      <c r="B1303" s="11" t="inlineStr">
        <is>
          <t>Panama</t>
        </is>
      </c>
      <c r="C1303" s="11" t="inlineStr">
        <is>
          <t>Puma Rodríguez</t>
        </is>
      </c>
      <c r="D1303" s="11" t="inlineStr">
        <is>
          <t>Avançado</t>
        </is>
      </c>
      <c r="E1303" s="11" t="n">
        <v>21</v>
      </c>
      <c r="F1303" s="11" t="n">
        <v>1890</v>
      </c>
      <c r="G1303" s="11" t="n">
        <v>4</v>
      </c>
      <c r="H1303" s="11" t="n">
        <v>232</v>
      </c>
    </row>
    <row r="1304" ht="16" customHeight="1" s="25">
      <c r="A1304" s="1" t="n">
        <v>1370</v>
      </c>
      <c r="B1304" s="11" t="inlineStr">
        <is>
          <t>Panama</t>
        </is>
      </c>
      <c r="C1304" s="11" t="inlineStr">
        <is>
          <t>Ismael Díaz</t>
        </is>
      </c>
      <c r="D1304" s="11" t="inlineStr">
        <is>
          <t>Avançado</t>
        </is>
      </c>
      <c r="E1304" s="11" t="n">
        <v>21</v>
      </c>
      <c r="F1304" s="11" t="n">
        <v>1890</v>
      </c>
      <c r="G1304" s="11" t="n">
        <v>4</v>
      </c>
      <c r="H1304" s="11" t="n">
        <v>187</v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5"/>
  <sheetViews>
    <sheetView tabSelected="1" workbookViewId="0">
      <pane ySplit="1" topLeftCell="A4" activePane="bottomLeft" state="frozen"/>
      <selection pane="bottomLeft" activeCell="G7" sqref="G7:G8"/>
    </sheetView>
  </sheetViews>
  <sheetFormatPr baseColWidth="10" defaultRowHeight="15"/>
  <cols>
    <col width="14" customWidth="1" style="25" min="1" max="2"/>
    <col width="10" customWidth="1" style="25" min="2" max="2"/>
    <col width="28" bestFit="1" customWidth="1" style="25" min="3" max="3"/>
    <col width="28" customWidth="1" style="25" min="4" max="4"/>
    <col width="10" customWidth="1" style="13" min="5" max="5"/>
    <col width="10" customWidth="1" style="25" min="6" max="6"/>
    <col width="26" customWidth="1" style="25" min="7" max="7"/>
    <col width="16" bestFit="1" customWidth="1" style="25" min="8" max="8"/>
    <col width="16" customWidth="1" style="25" min="9" max="9"/>
    <col width="22" bestFit="1" customWidth="1" style="25" min="10" max="10"/>
    <col width="22" customWidth="1" style="25" min="11" max="14"/>
    <col width="22" bestFit="1" customWidth="1" style="25" min="15" max="24"/>
  </cols>
  <sheetData>
    <row r="1">
      <c r="A1" s="19" t="inlineStr">
        <is>
          <t>Data</t>
        </is>
      </c>
      <c r="B1" s="19" t="inlineStr">
        <is>
          <t>Grupo</t>
        </is>
      </c>
      <c r="C1" s="19" t="inlineStr">
        <is>
          <t>Casa</t>
        </is>
      </c>
      <c r="D1" s="19" t="inlineStr">
        <is>
          <t>Fora</t>
        </is>
      </c>
      <c r="E1" s="19" t="inlineStr">
        <is>
          <t>Res C</t>
        </is>
      </c>
      <c r="F1" s="19" t="inlineStr">
        <is>
          <t>Res F</t>
        </is>
      </c>
      <c r="G1" s="19" t="inlineStr">
        <is>
          <t>Prognóstico</t>
        </is>
      </c>
      <c r="H1" s="19" t="inlineStr">
        <is>
          <t>Resultado Casa</t>
        </is>
      </c>
      <c r="I1" s="19" t="inlineStr">
        <is>
          <t>Resultado Fora</t>
        </is>
      </c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t="inlineStr">
        <is>
          <t>Hora</t>
        </is>
      </c>
      <c r="Z1" t="inlineStr">
        <is>
          <t>Modelo</t>
        </is>
      </c>
      <c r="AA1" t="inlineStr">
        <is>
          <t>xG_A</t>
        </is>
      </c>
      <c r="AB1" t="inlineStr">
        <is>
          <t>xG_B</t>
        </is>
      </c>
      <c r="AC1" t="inlineStr">
        <is>
          <t>Força_A</t>
        </is>
      </c>
      <c r="AD1" t="inlineStr">
        <is>
          <t>Força_B</t>
        </is>
      </c>
      <c r="AE1" t="inlineStr">
        <is>
          <t>Obs_Modelo</t>
        </is>
      </c>
      <c r="AF1" t="inlineStr">
        <is>
          <t>Golos_Prognóstico_A</t>
        </is>
      </c>
      <c r="AG1" t="inlineStr">
        <is>
          <t>Golos_Prognóstico_B</t>
        </is>
      </c>
    </row>
    <row r="2" ht="16" customHeight="1" s="25">
      <c r="A2" s="35" t="inlineStr">
        <is>
          <t>2026-06-11</t>
        </is>
      </c>
      <c r="B2" s="23" t="inlineStr">
        <is>
          <t>A</t>
        </is>
      </c>
      <c r="C2" s="23" t="inlineStr">
        <is>
          <t>Mexico</t>
        </is>
      </c>
      <c r="D2" s="23" t="inlineStr">
        <is>
          <t>South Africa</t>
        </is>
      </c>
      <c r="E2" s="23" t="n">
        <v>2</v>
      </c>
      <c r="F2" s="23" t="n">
        <v>0</v>
      </c>
      <c r="G2" s="23" t="inlineStr">
        <is>
          <t>Vitória México</t>
        </is>
      </c>
      <c r="H2" s="23" t="n">
        <v>2</v>
      </c>
      <c r="I2" s="23" t="n">
        <v>1</v>
      </c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t="inlineStr">
        <is>
          <t>20:00</t>
        </is>
      </c>
    </row>
    <row r="3" ht="16" customHeight="1" s="25">
      <c r="A3" s="35" t="inlineStr">
        <is>
          <t>2026-06-12</t>
        </is>
      </c>
      <c r="B3" s="23" t="inlineStr">
        <is>
          <t>A</t>
        </is>
      </c>
      <c r="C3" s="23" t="inlineStr">
        <is>
          <t>South Korea</t>
        </is>
      </c>
      <c r="D3" s="23" t="inlineStr">
        <is>
          <t>Czechia</t>
        </is>
      </c>
      <c r="E3" s="23" t="n">
        <v>2</v>
      </c>
      <c r="F3" s="23" t="n">
        <v>1</v>
      </c>
      <c r="G3" s="23" t="inlineStr">
        <is>
          <t>Vitória Chéquia</t>
        </is>
      </c>
      <c r="H3" s="23" t="n">
        <v>1</v>
      </c>
      <c r="I3" s="23" t="n">
        <v>2</v>
      </c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6" t="n"/>
      <c r="T3" s="26" t="n"/>
      <c r="U3" s="26" t="n"/>
      <c r="V3" s="26" t="n"/>
      <c r="W3" s="26" t="n"/>
      <c r="X3" s="26" t="n"/>
      <c r="Y3" t="inlineStr">
        <is>
          <t>03:00</t>
        </is>
      </c>
    </row>
    <row r="4" ht="16" customHeight="1" s="25">
      <c r="A4" s="35" t="inlineStr">
        <is>
          <t>2026-06-12</t>
        </is>
      </c>
      <c r="B4" s="23" t="inlineStr">
        <is>
          <t>B</t>
        </is>
      </c>
      <c r="C4" s="23" t="inlineStr">
        <is>
          <t>Canada</t>
        </is>
      </c>
      <c r="D4" s="23" t="inlineStr">
        <is>
          <t>Bosnia and Herzegovina</t>
        </is>
      </c>
      <c r="E4" s="23" t="n">
        <v>1</v>
      </c>
      <c r="F4" s="23" t="n">
        <v>1</v>
      </c>
      <c r="G4" s="23" t="inlineStr">
        <is>
          <t>Empate</t>
        </is>
      </c>
      <c r="H4" s="23" t="n">
        <v>1</v>
      </c>
      <c r="I4" s="23" t="n">
        <v>1</v>
      </c>
      <c r="J4" s="26" t="n"/>
      <c r="K4" s="26" t="n"/>
      <c r="L4" s="26" t="n"/>
      <c r="M4" s="26" t="n"/>
      <c r="N4" s="26" t="n"/>
      <c r="O4" s="26" t="n"/>
      <c r="P4" s="26" t="n"/>
      <c r="Q4" s="26" t="n"/>
      <c r="R4" s="26" t="n"/>
      <c r="S4" s="26" t="n"/>
      <c r="T4" s="26" t="n"/>
      <c r="U4" s="26" t="n"/>
      <c r="V4" s="26" t="n"/>
      <c r="W4" s="26" t="n"/>
      <c r="X4" s="26" t="n"/>
      <c r="Y4" t="inlineStr">
        <is>
          <t>20:00</t>
        </is>
      </c>
    </row>
    <row r="5" ht="16" customHeight="1" s="25">
      <c r="A5" s="35" t="inlineStr">
        <is>
          <t>2026-06-13</t>
        </is>
      </c>
      <c r="B5" s="23" t="inlineStr">
        <is>
          <t>D</t>
        </is>
      </c>
      <c r="C5" s="23" t="inlineStr">
        <is>
          <t>United States</t>
        </is>
      </c>
      <c r="D5" s="23" t="inlineStr">
        <is>
          <t>Paraguay</t>
        </is>
      </c>
      <c r="E5" s="23" t="n">
        <v>4</v>
      </c>
      <c r="F5" s="23" t="n">
        <v>1</v>
      </c>
      <c r="G5" s="23" t="inlineStr">
        <is>
          <t>Vitória Estados Unidos</t>
        </is>
      </c>
      <c r="H5" s="23" t="n">
        <v>2</v>
      </c>
      <c r="I5" s="23" t="n">
        <v>1</v>
      </c>
      <c r="J5" s="23" t="n"/>
      <c r="K5" s="23" t="n"/>
      <c r="L5" s="23" t="n"/>
      <c r="M5" s="26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t="inlineStr">
        <is>
          <t>02:00</t>
        </is>
      </c>
    </row>
    <row r="6" ht="16" customHeight="1" s="25">
      <c r="A6" s="35" t="inlineStr">
        <is>
          <t>2026-06-13</t>
        </is>
      </c>
      <c r="B6" s="23" t="inlineStr">
        <is>
          <t>B</t>
        </is>
      </c>
      <c r="C6" s="23" t="inlineStr">
        <is>
          <t>Qatar</t>
        </is>
      </c>
      <c r="D6" s="23" t="inlineStr">
        <is>
          <t>Switzerland</t>
        </is>
      </c>
      <c r="E6" s="23" t="n">
        <v>1</v>
      </c>
      <c r="F6" s="23" t="n">
        <v>1</v>
      </c>
      <c r="G6" s="23" t="inlineStr">
        <is>
          <t>Vitória Suiça</t>
        </is>
      </c>
      <c r="H6" s="23" t="n">
        <v>1</v>
      </c>
      <c r="I6" s="23" t="n">
        <v>2</v>
      </c>
      <c r="M6" s="26" t="n"/>
      <c r="Y6" t="inlineStr">
        <is>
          <t>20:00</t>
        </is>
      </c>
    </row>
    <row r="7" ht="16" customHeight="1" s="25">
      <c r="A7" s="35" t="inlineStr">
        <is>
          <t>2026-06-13</t>
        </is>
      </c>
      <c r="B7" s="23" t="inlineStr">
        <is>
          <t>C</t>
        </is>
      </c>
      <c r="C7" s="23" t="inlineStr">
        <is>
          <t>Brazil</t>
        </is>
      </c>
      <c r="D7" s="23" t="inlineStr">
        <is>
          <t>Morocco</t>
        </is>
      </c>
      <c r="E7" s="23" t="n">
        <v>1</v>
      </c>
      <c r="F7" s="23" t="n">
        <v>1</v>
      </c>
      <c r="G7" s="23" t="inlineStr">
        <is>
          <t>Vitória Brasil</t>
        </is>
      </c>
      <c r="H7" s="23" t="n">
        <v>2</v>
      </c>
      <c r="I7" s="23" t="n">
        <v>1</v>
      </c>
      <c r="J7" s="27" t="n"/>
      <c r="K7" s="27" t="n"/>
      <c r="L7" s="27" t="n"/>
      <c r="M7" s="26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t="inlineStr">
        <is>
          <t>23:00</t>
        </is>
      </c>
    </row>
    <row r="8" ht="16" customHeight="1" s="25">
      <c r="A8" s="35" t="inlineStr">
        <is>
          <t>2026-06-14</t>
        </is>
      </c>
      <c r="B8" s="23" t="inlineStr">
        <is>
          <t>C</t>
        </is>
      </c>
      <c r="C8" s="23" t="inlineStr">
        <is>
          <t>Haiti</t>
        </is>
      </c>
      <c r="D8" s="23" t="inlineStr">
        <is>
          <t>Scotland</t>
        </is>
      </c>
      <c r="E8" s="23" t="n">
        <v>0</v>
      </c>
      <c r="F8" s="23" t="n">
        <v>1</v>
      </c>
      <c r="G8" s="23" t="inlineStr">
        <is>
          <t>Vitória Escócia</t>
        </is>
      </c>
      <c r="H8" s="23" t="n">
        <v>0</v>
      </c>
      <c r="I8" s="23" t="n">
        <v>2</v>
      </c>
      <c r="J8" s="27" t="n"/>
      <c r="K8" s="27" t="n"/>
      <c r="L8" s="27" t="n"/>
      <c r="M8" s="26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t="inlineStr">
        <is>
          <t>02:00</t>
        </is>
      </c>
    </row>
    <row r="9" ht="16" customHeight="1" s="25">
      <c r="A9" s="35" t="inlineStr">
        <is>
          <t>2026-06-14</t>
        </is>
      </c>
      <c r="B9" s="23" t="inlineStr">
        <is>
          <t>D</t>
        </is>
      </c>
      <c r="C9" s="23" t="inlineStr">
        <is>
          <t>Australia</t>
        </is>
      </c>
      <c r="D9" s="23" t="inlineStr">
        <is>
          <t>Turkey</t>
        </is>
      </c>
      <c r="E9" s="23" t="n">
        <v>2</v>
      </c>
      <c r="F9" s="23" t="n">
        <v>0</v>
      </c>
      <c r="G9" s="23" t="inlineStr">
        <is>
          <t>Vitória Turquia</t>
        </is>
      </c>
      <c r="H9" s="23" t="n">
        <v>1</v>
      </c>
      <c r="I9" s="23" t="n">
        <v>2</v>
      </c>
      <c r="J9" s="23" t="n"/>
      <c r="K9" s="23" t="n"/>
      <c r="L9" s="23" t="n"/>
      <c r="M9" s="26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6" t="n"/>
      <c r="X9" s="26" t="n"/>
      <c r="Y9" t="inlineStr">
        <is>
          <t>05:00</t>
        </is>
      </c>
    </row>
    <row r="10" ht="16" customHeight="1" s="25">
      <c r="A10" s="35" t="inlineStr">
        <is>
          <t>2026-06-14</t>
        </is>
      </c>
      <c r="B10" s="23" t="inlineStr">
        <is>
          <t>E</t>
        </is>
      </c>
      <c r="C10" s="23" t="inlineStr">
        <is>
          <t>Germany</t>
        </is>
      </c>
      <c r="D10" s="23" t="inlineStr">
        <is>
          <t>Curacao</t>
        </is>
      </c>
      <c r="E10" s="23" t="n">
        <v>7</v>
      </c>
      <c r="F10" s="23" t="n">
        <v>1</v>
      </c>
      <c r="G10" s="23" t="inlineStr">
        <is>
          <t>Vitória Alemanha</t>
        </is>
      </c>
      <c r="H10" s="23" t="n">
        <v>3</v>
      </c>
      <c r="I10" s="23" t="n">
        <v>0</v>
      </c>
      <c r="M10" s="26" t="n"/>
      <c r="W10" s="26" t="n"/>
      <c r="X10" s="26" t="n"/>
      <c r="Y10" t="inlineStr">
        <is>
          <t>18:00</t>
        </is>
      </c>
    </row>
    <row r="11" ht="16" customHeight="1" s="25">
      <c r="A11" s="35" t="inlineStr">
        <is>
          <t>2026-06-14</t>
        </is>
      </c>
      <c r="B11" s="23" t="inlineStr">
        <is>
          <t>F</t>
        </is>
      </c>
      <c r="C11" s="23" t="inlineStr">
        <is>
          <t>Netherlands</t>
        </is>
      </c>
      <c r="D11" s="23" t="inlineStr">
        <is>
          <t>Japan</t>
        </is>
      </c>
      <c r="E11" s="23" t="n">
        <v>2</v>
      </c>
      <c r="F11" s="23" t="n">
        <v>2</v>
      </c>
      <c r="G11" s="23" t="inlineStr">
        <is>
          <t>Vitória Países Baixos</t>
        </is>
      </c>
      <c r="H11" s="23" t="n">
        <v>1</v>
      </c>
      <c r="I11" s="23" t="n">
        <v>0</v>
      </c>
      <c r="J11" s="23" t="n"/>
      <c r="K11" s="23" t="n"/>
      <c r="L11" s="23" t="n"/>
      <c r="M11" s="26" t="n"/>
      <c r="N11" s="23" t="n"/>
      <c r="O11" s="23" t="n"/>
      <c r="P11" s="23" t="n"/>
      <c r="Q11" s="26" t="n"/>
      <c r="R11" s="23" t="n"/>
      <c r="S11" s="26" t="n"/>
      <c r="T11" s="23" t="n"/>
      <c r="U11" s="23" t="n"/>
      <c r="V11" s="23" t="n"/>
      <c r="W11" s="26" t="n"/>
      <c r="X11" s="26" t="n"/>
      <c r="Y11" t="inlineStr">
        <is>
          <t>21:00</t>
        </is>
      </c>
    </row>
    <row r="12" ht="16" customHeight="1" s="25">
      <c r="A12" s="35" t="inlineStr">
        <is>
          <t>2026-06-15</t>
        </is>
      </c>
      <c r="B12" s="23" t="inlineStr">
        <is>
          <t>E</t>
        </is>
      </c>
      <c r="C12" s="23" t="inlineStr">
        <is>
          <t>Ivory Coast</t>
        </is>
      </c>
      <c r="D12" s="23" t="inlineStr">
        <is>
          <t>Ecuador</t>
        </is>
      </c>
      <c r="E12" s="23" t="n">
        <v>1</v>
      </c>
      <c r="F12" s="23" t="n">
        <v>0</v>
      </c>
      <c r="G12" s="23" t="inlineStr">
        <is>
          <t>Vitória Equador</t>
        </is>
      </c>
      <c r="H12" s="23" t="n">
        <v>0</v>
      </c>
      <c r="I12" s="23" t="n">
        <v>1</v>
      </c>
      <c r="M12" s="26" t="n"/>
      <c r="Q12" s="26" t="n"/>
      <c r="S12" s="26" t="n"/>
      <c r="W12" s="26" t="n"/>
      <c r="X12" s="26" t="n"/>
      <c r="Y12" t="inlineStr">
        <is>
          <t>00:00</t>
        </is>
      </c>
    </row>
    <row r="13" ht="16" customHeight="1" s="25">
      <c r="A13" s="35" t="inlineStr">
        <is>
          <t>2026-06-15</t>
        </is>
      </c>
      <c r="B13" s="23" t="inlineStr">
        <is>
          <t>F</t>
        </is>
      </c>
      <c r="C13" s="23" t="inlineStr">
        <is>
          <t>Sweden</t>
        </is>
      </c>
      <c r="D13" s="23" t="inlineStr">
        <is>
          <t>Tunisia</t>
        </is>
      </c>
      <c r="E13" s="23" t="n">
        <v>5</v>
      </c>
      <c r="F13" s="23" t="n">
        <v>1</v>
      </c>
      <c r="G13" s="23" t="inlineStr">
        <is>
          <t>Vitória Suécia</t>
        </is>
      </c>
      <c r="H13" s="23" t="n">
        <v>1</v>
      </c>
      <c r="I13" s="23" t="n">
        <v>0</v>
      </c>
      <c r="J13" s="23" t="n"/>
      <c r="K13" s="23" t="n"/>
      <c r="L13" s="23" t="n"/>
      <c r="M13" s="26" t="n"/>
      <c r="N13" s="23" t="n"/>
      <c r="O13" s="23" t="n"/>
      <c r="P13" s="23" t="n"/>
      <c r="Q13" s="26" t="n"/>
      <c r="R13" s="23" t="n"/>
      <c r="S13" s="26" t="n"/>
      <c r="T13" s="23" t="n"/>
      <c r="U13" s="23" t="n"/>
      <c r="V13" s="23" t="n"/>
      <c r="W13" s="26" t="n"/>
      <c r="X13" s="26" t="n"/>
      <c r="Y13" t="inlineStr">
        <is>
          <t>03:00</t>
        </is>
      </c>
    </row>
    <row r="14" ht="16" customHeight="1" s="25">
      <c r="A14" s="35" t="inlineStr">
        <is>
          <t>2026-06-15</t>
        </is>
      </c>
      <c r="B14" s="23" t="inlineStr">
        <is>
          <t>H</t>
        </is>
      </c>
      <c r="C14" s="23" t="inlineStr">
        <is>
          <t>Spain</t>
        </is>
      </c>
      <c r="D14" s="23" t="inlineStr">
        <is>
          <t>Cape Verde</t>
        </is>
      </c>
      <c r="E14" s="23" t="n">
        <v>0</v>
      </c>
      <c r="F14" s="23" t="n">
        <v>0</v>
      </c>
      <c r="G14" s="23" t="inlineStr">
        <is>
          <t>4-0</t>
        </is>
      </c>
      <c r="H14" s="23" t="n">
        <v>4</v>
      </c>
      <c r="I14" s="23" t="n">
        <v>0</v>
      </c>
      <c r="M14" s="26" t="n"/>
      <c r="Q14" s="26" t="n"/>
      <c r="S14" s="26" t="n"/>
      <c r="W14" s="26" t="n"/>
      <c r="X14" s="26" t="n"/>
      <c r="Y14" t="inlineStr">
        <is>
          <t>17:00</t>
        </is>
      </c>
      <c r="Z14" t="inlineStr">
        <is>
          <t>modelo_v13_janela_movel_3</t>
        </is>
      </c>
      <c r="AA14" t="n">
        <v>2.88</v>
      </c>
      <c r="AB14" t="n">
        <v>0.22</v>
      </c>
      <c r="AC14" t="n">
        <v>90.15000000000001</v>
      </c>
      <c r="AD14" t="n">
        <v>72.95999999999999</v>
      </c>
      <c r="AE14" t="inlineStr">
        <is>
          <t>Spain 4-0 Cape Verde | xG 2.88-0.22 | Forças 90.15-72.96 | Ataques 94.33-65.89 | Defesas 96.93-68.42</t>
        </is>
      </c>
      <c r="AF14" t="n">
        <v>4</v>
      </c>
      <c r="AG14" t="n">
        <v>0</v>
      </c>
    </row>
    <row r="15" ht="16" customHeight="1" s="25">
      <c r="A15" s="35" t="inlineStr">
        <is>
          <t>2026-06-15</t>
        </is>
      </c>
      <c r="B15" s="23" t="inlineStr">
        <is>
          <t>G</t>
        </is>
      </c>
      <c r="C15" s="23" t="inlineStr">
        <is>
          <t>Belgium</t>
        </is>
      </c>
      <c r="D15" s="23" t="inlineStr">
        <is>
          <t>Egypt</t>
        </is>
      </c>
      <c r="E15" s="23" t="n">
        <v>1</v>
      </c>
      <c r="F15" s="23" t="n">
        <v>1</v>
      </c>
      <c r="G15" s="23" t="inlineStr">
        <is>
          <t>3-2</t>
        </is>
      </c>
      <c r="H15" s="23" t="n">
        <v>3</v>
      </c>
      <c r="I15" s="23" t="n">
        <v>2</v>
      </c>
      <c r="J15" s="23" t="n"/>
      <c r="K15" s="23" t="n"/>
      <c r="L15" s="23" t="n"/>
      <c r="M15" s="26" t="n"/>
      <c r="N15" s="23" t="n"/>
      <c r="O15" s="23" t="n"/>
      <c r="P15" s="23" t="n"/>
      <c r="Q15" s="26" t="n"/>
      <c r="R15" s="23" t="n"/>
      <c r="S15" s="26" t="n"/>
      <c r="T15" s="23" t="n"/>
      <c r="U15" s="23" t="n"/>
      <c r="V15" s="23" t="n"/>
      <c r="W15" s="26" t="n"/>
      <c r="X15" s="26" t="n"/>
      <c r="Y15" t="inlineStr">
        <is>
          <t>20:00</t>
        </is>
      </c>
      <c r="Z15" t="inlineStr">
        <is>
          <t>modelo_v13_janela_movel_3</t>
        </is>
      </c>
      <c r="AA15" t="n">
        <v>2.29</v>
      </c>
      <c r="AB15" t="n">
        <v>1.3</v>
      </c>
      <c r="AC15" t="n">
        <v>86.34</v>
      </c>
      <c r="AD15" t="n">
        <v>77.93000000000001</v>
      </c>
      <c r="AE15" t="inlineStr">
        <is>
          <t>Belgium 3-2 Egypt | xG 2.29-1.3 | Forças 86.34-77.93 | Ataques 94.92-92.19 | Defesas 89.85-70.48</t>
        </is>
      </c>
      <c r="AF15" t="n">
        <v>3</v>
      </c>
      <c r="AG15" t="n">
        <v>2</v>
      </c>
    </row>
    <row r="16" ht="16" customHeight="1" s="25">
      <c r="A16" s="35" t="inlineStr">
        <is>
          <t>2026-06-15</t>
        </is>
      </c>
      <c r="B16" s="23" t="inlineStr">
        <is>
          <t>H</t>
        </is>
      </c>
      <c r="C16" s="23" t="inlineStr">
        <is>
          <t>Saudi Arabia</t>
        </is>
      </c>
      <c r="D16" s="23" t="inlineStr">
        <is>
          <t>Uruguay</t>
        </is>
      </c>
      <c r="E16" s="23" t="n">
        <v>1</v>
      </c>
      <c r="F16" s="23" t="n">
        <v>1</v>
      </c>
      <c r="G16" s="23" t="inlineStr">
        <is>
          <t>1-2</t>
        </is>
      </c>
      <c r="H16" s="23" t="n">
        <v>1</v>
      </c>
      <c r="I16" s="23" t="n">
        <v>2</v>
      </c>
      <c r="M16" s="26" t="n"/>
      <c r="Q16" s="26" t="n"/>
      <c r="S16" s="26" t="n"/>
      <c r="W16" s="26" t="n"/>
      <c r="X16" s="26" t="n"/>
      <c r="Y16" t="inlineStr">
        <is>
          <t>23:00</t>
        </is>
      </c>
      <c r="Z16" t="inlineStr">
        <is>
          <t>modelo_v13_janela_movel_3</t>
        </is>
      </c>
      <c r="AA16" t="n">
        <v>0.72</v>
      </c>
      <c r="AB16" t="n">
        <v>1.99</v>
      </c>
      <c r="AC16" t="n">
        <v>73.16</v>
      </c>
      <c r="AD16" t="n">
        <v>83.45999999999999</v>
      </c>
      <c r="AE16" t="inlineStr">
        <is>
          <t>Saudi Arabia 1-2 Uruguay | xG 0.72-1.99 | Forças 73.16-83.46 | Ataques 66.65-78.27 | Defesas 66.65-84.61</t>
        </is>
      </c>
      <c r="AF16" t="n">
        <v>1</v>
      </c>
      <c r="AG16" t="n">
        <v>2</v>
      </c>
    </row>
    <row r="17" ht="16" customHeight="1" s="25">
      <c r="A17" s="35" t="inlineStr">
        <is>
          <t>2026-06-16</t>
        </is>
      </c>
      <c r="B17" s="23" t="inlineStr">
        <is>
          <t>G</t>
        </is>
      </c>
      <c r="C17" s="23" t="inlineStr">
        <is>
          <t>Iran</t>
        </is>
      </c>
      <c r="D17" s="23" t="inlineStr">
        <is>
          <t>New Zealand</t>
        </is>
      </c>
      <c r="E17" s="23" t="n">
        <v>2</v>
      </c>
      <c r="F17" s="23" t="n">
        <v>2</v>
      </c>
      <c r="G17" s="23" t="inlineStr">
        <is>
          <t>1-2</t>
        </is>
      </c>
      <c r="H17" s="23" t="n">
        <v>1</v>
      </c>
      <c r="I17" s="23" t="n">
        <v>2</v>
      </c>
      <c r="J17" s="23" t="n"/>
      <c r="K17" s="23" t="n"/>
      <c r="L17" s="23" t="n"/>
      <c r="M17" s="26" t="n"/>
      <c r="N17" s="23" t="n"/>
      <c r="O17" s="23" t="n"/>
      <c r="P17" s="23" t="n"/>
      <c r="Q17" s="26" t="n"/>
      <c r="R17" s="23" t="n"/>
      <c r="S17" s="26" t="n"/>
      <c r="T17" s="23" t="n"/>
      <c r="U17" s="23" t="n"/>
      <c r="V17" s="23" t="n"/>
      <c r="W17" s="26" t="n"/>
      <c r="X17" s="26" t="n"/>
      <c r="Y17" t="inlineStr">
        <is>
          <t>02:00</t>
        </is>
      </c>
      <c r="Z17" t="inlineStr">
        <is>
          <t>modelo_v13_janela_movel_3</t>
        </is>
      </c>
      <c r="AA17" t="n">
        <v>1</v>
      </c>
      <c r="AB17" t="n">
        <v>1.61</v>
      </c>
      <c r="AC17" t="n">
        <v>63.93</v>
      </c>
      <c r="AD17" t="n">
        <v>71.70999999999999</v>
      </c>
      <c r="AE17" t="inlineStr">
        <is>
          <t>Iran 1-2 New Zealand | xG 1.0-1.61 | Forças 63.93-71.71 | Ataques 65.0-64.44 | Defesas 65.0-64.44</t>
        </is>
      </c>
      <c r="AF17" t="n">
        <v>1</v>
      </c>
      <c r="AG17" t="n">
        <v>2</v>
      </c>
    </row>
    <row r="18" ht="16" customHeight="1" s="25">
      <c r="A18" s="35" t="inlineStr">
        <is>
          <t>2026-06-16</t>
        </is>
      </c>
      <c r="B18" s="23" t="inlineStr">
        <is>
          <t>I</t>
        </is>
      </c>
      <c r="C18" s="23" t="inlineStr">
        <is>
          <t>France</t>
        </is>
      </c>
      <c r="D18" s="23" t="inlineStr">
        <is>
          <t>Senegal</t>
        </is>
      </c>
      <c r="E18" s="23" t="n">
        <v>3</v>
      </c>
      <c r="F18" s="23" t="n">
        <v>1</v>
      </c>
      <c r="G18" s="23" t="inlineStr">
        <is>
          <t>2-1</t>
        </is>
      </c>
      <c r="H18" s="23" t="n">
        <v>2</v>
      </c>
      <c r="I18" s="23" t="n">
        <v>1</v>
      </c>
      <c r="M18" s="26" t="n"/>
      <c r="Q18" s="26" t="n"/>
      <c r="S18" s="26" t="n"/>
      <c r="W18" s="26" t="n"/>
      <c r="X18" s="26" t="n"/>
      <c r="Y18" t="inlineStr">
        <is>
          <t>20:00</t>
        </is>
      </c>
      <c r="Z18" t="inlineStr">
        <is>
          <t>modelo_v13_janela_movel_3</t>
        </is>
      </c>
      <c r="AA18" t="n">
        <v>1.9</v>
      </c>
      <c r="AB18" t="n">
        <v>1.05</v>
      </c>
      <c r="AC18" t="n">
        <v>89.66</v>
      </c>
      <c r="AD18" t="n">
        <v>82.77</v>
      </c>
      <c r="AE18" t="inlineStr">
        <is>
          <t>France 2-1 Senegal | xG 1.9-1.05 | Forças 89.66-82.77 | Ataques 96.87-83.67 | Defesas 92.32-85.72</t>
        </is>
      </c>
      <c r="AF18" t="n">
        <v>2</v>
      </c>
      <c r="AG18" t="n">
        <v>1</v>
      </c>
    </row>
    <row r="19" ht="16" customHeight="1" s="25">
      <c r="A19" s="35" t="inlineStr">
        <is>
          <t>2026-06-16</t>
        </is>
      </c>
      <c r="B19" s="23" t="inlineStr">
        <is>
          <t>I</t>
        </is>
      </c>
      <c r="C19" s="23" t="inlineStr">
        <is>
          <t>Iraq</t>
        </is>
      </c>
      <c r="D19" s="23" t="inlineStr">
        <is>
          <t>Norway</t>
        </is>
      </c>
      <c r="E19" s="23" t="n">
        <v>1</v>
      </c>
      <c r="F19" s="23" t="n">
        <v>4</v>
      </c>
      <c r="G19" s="23" t="inlineStr">
        <is>
          <t>1-2</t>
        </is>
      </c>
      <c r="H19" s="23" t="n">
        <v>1</v>
      </c>
      <c r="I19" s="23" t="n">
        <v>2</v>
      </c>
      <c r="J19" s="23" t="n"/>
      <c r="K19" s="23" t="n"/>
      <c r="L19" s="23" t="n"/>
      <c r="M19" s="26" t="n"/>
      <c r="N19" s="23" t="n"/>
      <c r="O19" s="23" t="n"/>
      <c r="P19" s="23" t="n"/>
      <c r="Q19" s="26" t="n"/>
      <c r="R19" s="23" t="n"/>
      <c r="S19" s="26" t="n"/>
      <c r="T19" s="23" t="n"/>
      <c r="U19" s="23" t="n"/>
      <c r="V19" s="23" t="n"/>
      <c r="W19" s="26" t="n"/>
      <c r="X19" s="26" t="n"/>
      <c r="Y19" t="inlineStr">
        <is>
          <t>23:00</t>
        </is>
      </c>
      <c r="Z19" t="inlineStr">
        <is>
          <t>modelo_v13_janela_movel_3</t>
        </is>
      </c>
      <c r="AA19" t="n">
        <v>0.8100000000000001</v>
      </c>
      <c r="AB19" t="n">
        <v>2.24</v>
      </c>
      <c r="AC19" t="n">
        <v>73.55</v>
      </c>
      <c r="AD19" t="n">
        <v>82.38</v>
      </c>
      <c r="AE19" t="inlineStr">
        <is>
          <t>Iraq 1-2 Norway | xG 0.81-2.24 | Forças 73.55-82.38 | Ataques 67.1-89.51 | Defesas 67.1-83.05</t>
        </is>
      </c>
      <c r="AF19" t="n">
        <v>1</v>
      </c>
      <c r="AG19" t="n">
        <v>2</v>
      </c>
    </row>
    <row r="20" ht="16" customHeight="1" s="25">
      <c r="A20" s="35" t="inlineStr">
        <is>
          <t>2026-06-17</t>
        </is>
      </c>
      <c r="B20" s="23" t="inlineStr">
        <is>
          <t>J</t>
        </is>
      </c>
      <c r="C20" s="23" t="inlineStr">
        <is>
          <t>Argentina</t>
        </is>
      </c>
      <c r="D20" s="23" t="inlineStr">
        <is>
          <t>Algeria</t>
        </is>
      </c>
      <c r="E20" s="23" t="n">
        <v>3</v>
      </c>
      <c r="F20" s="23" t="n">
        <v>0</v>
      </c>
      <c r="G20" s="23" t="inlineStr">
        <is>
          <t>2-1</t>
        </is>
      </c>
      <c r="H20" s="23" t="n">
        <v>2</v>
      </c>
      <c r="I20" s="23" t="n">
        <v>1</v>
      </c>
      <c r="M20" s="26" t="n"/>
      <c r="Q20" s="26" t="n"/>
      <c r="S20" s="26" t="n"/>
      <c r="W20" s="26" t="n"/>
      <c r="X20" s="26" t="n"/>
      <c r="Y20" t="inlineStr">
        <is>
          <t>02:00</t>
        </is>
      </c>
      <c r="Z20" t="inlineStr">
        <is>
          <t>modelo_v13_janela_movel_3</t>
        </is>
      </c>
      <c r="AA20" t="n">
        <v>1.91</v>
      </c>
      <c r="AB20" t="n">
        <v>1.04</v>
      </c>
      <c r="AC20" t="n">
        <v>87.81</v>
      </c>
      <c r="AD20" t="n">
        <v>80.87</v>
      </c>
      <c r="AE20" t="inlineStr">
        <is>
          <t>Argentina 2-1 Algeria | xG 1.91-1.04 | Forças 87.81-80.87 | Ataques 94.35-82.79 | Defesas 91.69-82.7</t>
        </is>
      </c>
      <c r="AF20" t="n">
        <v>2</v>
      </c>
      <c r="AG20" t="n">
        <v>1</v>
      </c>
    </row>
    <row r="21" ht="16" customHeight="1" s="25">
      <c r="A21" s="35" t="inlineStr">
        <is>
          <t>2026-06-17</t>
        </is>
      </c>
      <c r="B21" s="23" t="inlineStr">
        <is>
          <t>J</t>
        </is>
      </c>
      <c r="C21" s="23" t="inlineStr">
        <is>
          <t>Austria</t>
        </is>
      </c>
      <c r="D21" s="23" t="inlineStr">
        <is>
          <t>Jordan</t>
        </is>
      </c>
      <c r="E21" s="23" t="n">
        <v>3</v>
      </c>
      <c r="F21" s="23" t="n">
        <v>1</v>
      </c>
      <c r="G21" s="23" t="inlineStr">
        <is>
          <t>2-1</t>
        </is>
      </c>
      <c r="H21" s="23" t="n">
        <v>2</v>
      </c>
      <c r="I21" s="23" t="n">
        <v>1</v>
      </c>
      <c r="J21" s="23" t="n"/>
      <c r="K21" s="23" t="n"/>
      <c r="L21" s="23" t="n"/>
      <c r="M21" s="26" t="n"/>
      <c r="N21" s="23" t="n"/>
      <c r="O21" s="23" t="n"/>
      <c r="P21" s="23" t="n"/>
      <c r="Q21" s="26" t="n"/>
      <c r="R21" s="23" t="n"/>
      <c r="S21" s="26" t="n"/>
      <c r="T21" s="23" t="n"/>
      <c r="U21" s="23" t="n"/>
      <c r="V21" s="23" t="n"/>
      <c r="W21" s="26" t="n"/>
      <c r="X21" s="26" t="n"/>
      <c r="Y21" t="inlineStr">
        <is>
          <t>05:00</t>
        </is>
      </c>
      <c r="Z21" t="inlineStr">
        <is>
          <t>modelo_v13_janela_movel_3</t>
        </is>
      </c>
      <c r="AA21" t="n">
        <v>1.95</v>
      </c>
      <c r="AB21" t="n">
        <v>0.6899999999999999</v>
      </c>
      <c r="AC21" t="n">
        <v>82.5</v>
      </c>
      <c r="AD21" t="n">
        <v>69.72</v>
      </c>
      <c r="AE21" t="inlineStr">
        <is>
          <t>Austria 2-1 Jordan | xG 1.95-0.69 | Forças 82.5-69.72 | Ataques 81.45-73.82 | Defesas 80.31-73.82</t>
        </is>
      </c>
      <c r="AF21" t="n">
        <v>2</v>
      </c>
      <c r="AG21" t="n">
        <v>1</v>
      </c>
    </row>
    <row r="22" ht="16" customHeight="1" s="25">
      <c r="A22" s="35" t="inlineStr">
        <is>
          <t>2026-06-17</t>
        </is>
      </c>
      <c r="B22" s="23" t="inlineStr">
        <is>
          <t>K</t>
        </is>
      </c>
      <c r="C22" s="23" t="inlineStr">
        <is>
          <t>Portugal</t>
        </is>
      </c>
      <c r="D22" s="23" t="inlineStr">
        <is>
          <t>DR Congo</t>
        </is>
      </c>
      <c r="E22" s="23" t="n">
        <v>1</v>
      </c>
      <c r="F22" s="23" t="n">
        <v>1</v>
      </c>
      <c r="G22" s="23" t="inlineStr">
        <is>
          <t>3-1</t>
        </is>
      </c>
      <c r="H22" s="23" t="n">
        <v>3</v>
      </c>
      <c r="I22" s="23" t="n">
        <v>1</v>
      </c>
      <c r="M22" s="26" t="n"/>
      <c r="Q22" s="26" t="n"/>
      <c r="S22" s="26" t="n"/>
      <c r="W22" s="26" t="n"/>
      <c r="X22" s="26" t="n"/>
      <c r="Y22" t="inlineStr">
        <is>
          <t>18:00</t>
        </is>
      </c>
      <c r="Z22" t="inlineStr">
        <is>
          <t>modelo_v13_janela_movel_3</t>
        </is>
      </c>
      <c r="AA22" t="n">
        <v>2.31</v>
      </c>
      <c r="AB22" t="n">
        <v>0.83</v>
      </c>
      <c r="AC22" t="n">
        <v>88.15000000000001</v>
      </c>
      <c r="AD22" t="n">
        <v>76.88</v>
      </c>
      <c r="AE22" t="inlineStr">
        <is>
          <t>Portugal 3-1 DR Congo | xG 2.31-0.83 | Forças 88.15-76.88 | Ataques 95.28-79.67 | Defesas 92.55-72.6</t>
        </is>
      </c>
      <c r="AF22" t="n">
        <v>3</v>
      </c>
      <c r="AG22" t="n">
        <v>1</v>
      </c>
    </row>
    <row r="23">
      <c r="A23" s="35" t="inlineStr">
        <is>
          <t>2026-06-17</t>
        </is>
      </c>
      <c r="B23" s="23" t="inlineStr">
        <is>
          <t>L</t>
        </is>
      </c>
      <c r="C23" s="23" t="inlineStr">
        <is>
          <t>England</t>
        </is>
      </c>
      <c r="D23" s="23" t="inlineStr">
        <is>
          <t>Croatia</t>
        </is>
      </c>
      <c r="E23" s="23" t="n">
        <v>4</v>
      </c>
      <c r="F23" s="23" t="n">
        <v>2</v>
      </c>
      <c r="G23" s="23" t="inlineStr">
        <is>
          <t>2-1</t>
        </is>
      </c>
      <c r="H23" s="23" t="n">
        <v>2</v>
      </c>
      <c r="I23" s="23" t="n">
        <v>1</v>
      </c>
      <c r="J23" s="23" t="n"/>
      <c r="K23" s="23" t="n"/>
      <c r="L23" s="23" t="n"/>
      <c r="M23" s="26" t="n"/>
      <c r="N23" s="23" t="n"/>
      <c r="O23" s="23" t="n"/>
      <c r="P23" s="23" t="n"/>
      <c r="Q23" s="26" t="n"/>
      <c r="R23" s="23" t="n"/>
      <c r="S23" s="26" t="n"/>
      <c r="T23" s="23" t="n"/>
      <c r="U23" s="23" t="n"/>
      <c r="V23" s="23" t="n"/>
      <c r="W23" s="26" t="n"/>
      <c r="X23" s="26" t="n"/>
      <c r="Y23" t="inlineStr">
        <is>
          <t>21:00</t>
        </is>
      </c>
      <c r="Z23" t="inlineStr">
        <is>
          <t>modelo_v13_janela_movel_3</t>
        </is>
      </c>
      <c r="AA23" t="n">
        <v>2.02</v>
      </c>
      <c r="AB23" t="n">
        <v>0.95</v>
      </c>
      <c r="AC23" t="n">
        <v>89.54000000000001</v>
      </c>
      <c r="AD23" t="n">
        <v>83.2</v>
      </c>
      <c r="AE23" t="inlineStr">
        <is>
          <t>England 2-1 Croatia | xG 2.02-0.95 | Forças 89.54-83.2 | Ataques 96.21-83.24 | Defesas 96.21-79.98</t>
        </is>
      </c>
      <c r="AF23" t="n">
        <v>2</v>
      </c>
      <c r="AG23" t="n">
        <v>1</v>
      </c>
    </row>
    <row r="24">
      <c r="A24" s="35" t="inlineStr">
        <is>
          <t>2026-06-18</t>
        </is>
      </c>
      <c r="B24" s="23" t="inlineStr">
        <is>
          <t>L</t>
        </is>
      </c>
      <c r="C24" s="23" t="inlineStr">
        <is>
          <t>Ghana</t>
        </is>
      </c>
      <c r="D24" s="23" t="inlineStr">
        <is>
          <t>Panama</t>
        </is>
      </c>
      <c r="E24" s="23" t="n">
        <v>1</v>
      </c>
      <c r="F24" s="23" t="n">
        <v>0</v>
      </c>
      <c r="G24" s="23" t="inlineStr">
        <is>
          <t>2-2</t>
        </is>
      </c>
      <c r="H24" s="23" t="n">
        <v>2</v>
      </c>
      <c r="I24" s="23" t="n">
        <v>2</v>
      </c>
      <c r="M24" s="26" t="n"/>
      <c r="Q24" s="26" t="n"/>
      <c r="S24" s="26" t="n"/>
      <c r="W24" s="26" t="n"/>
      <c r="X24" s="26" t="n"/>
      <c r="Y24" t="inlineStr">
        <is>
          <t>00:00</t>
        </is>
      </c>
      <c r="Z24" t="inlineStr">
        <is>
          <t>modelo_v13_janela_movel_3</t>
        </is>
      </c>
      <c r="AA24" t="n">
        <v>1.55</v>
      </c>
      <c r="AB24" t="n">
        <v>1.4</v>
      </c>
      <c r="AC24" t="n">
        <v>75.04000000000001</v>
      </c>
      <c r="AD24" t="n">
        <v>74.02</v>
      </c>
      <c r="AE24" t="inlineStr">
        <is>
          <t>Ghana 2-2 Panama | xG 1.55-1.4 | Forças 75.04-74.02 | Ataques 83.72-80.39 | Defesas 70.59-80.39</t>
        </is>
      </c>
      <c r="AF24" t="n">
        <v>2</v>
      </c>
      <c r="AG24" t="n">
        <v>2</v>
      </c>
    </row>
    <row r="25">
      <c r="A25" s="35" t="inlineStr">
        <is>
          <t>2026-06-18</t>
        </is>
      </c>
      <c r="B25" s="23" t="inlineStr">
        <is>
          <t>K</t>
        </is>
      </c>
      <c r="C25" s="23" t="inlineStr">
        <is>
          <t>Uzbekistan</t>
        </is>
      </c>
      <c r="D25" s="23" t="inlineStr">
        <is>
          <t>Colombia</t>
        </is>
      </c>
      <c r="E25" s="23" t="n">
        <v>1</v>
      </c>
      <c r="F25" s="23" t="n">
        <v>3</v>
      </c>
      <c r="G25" s="23" t="inlineStr">
        <is>
          <t>1-2</t>
        </is>
      </c>
      <c r="H25" s="23" t="n">
        <v>1</v>
      </c>
      <c r="I25" s="23" t="n">
        <v>2</v>
      </c>
      <c r="J25" s="23" t="n"/>
      <c r="K25" s="23" t="n"/>
      <c r="L25" s="23" t="n"/>
      <c r="M25" s="26" t="n"/>
      <c r="N25" s="23" t="n"/>
      <c r="O25" s="23" t="n"/>
      <c r="P25" s="23" t="n"/>
      <c r="Q25" s="26" t="n"/>
      <c r="R25" s="23" t="n"/>
      <c r="S25" s="26" t="n"/>
      <c r="T25" s="23" t="n"/>
      <c r="U25" s="23" t="n"/>
      <c r="V25" s="23" t="n"/>
      <c r="W25" s="26" t="n"/>
      <c r="X25" s="26" t="n"/>
      <c r="Y25" t="inlineStr">
        <is>
          <t>03:00</t>
        </is>
      </c>
      <c r="Z25" t="inlineStr">
        <is>
          <t>modelo_v13_janela_movel_3</t>
        </is>
      </c>
      <c r="AA25" t="n">
        <v>0.95</v>
      </c>
      <c r="AB25" t="n">
        <v>1.91</v>
      </c>
      <c r="AC25" t="n">
        <v>74.40000000000001</v>
      </c>
      <c r="AD25" t="n">
        <v>81.83</v>
      </c>
      <c r="AE25" t="inlineStr">
        <is>
          <t>Uzbekistan 1-2 Colombia | xG 0.95-1.91 | Forças 74.4-81.83 | Ataques 67.22-82.12 | Defesas 71.02-79.3</t>
        </is>
      </c>
      <c r="AF25" t="n">
        <v>1</v>
      </c>
      <c r="AG25" t="n">
        <v>2</v>
      </c>
    </row>
    <row r="26">
      <c r="A26" s="35" t="inlineStr">
        <is>
          <t>2026-06-18</t>
        </is>
      </c>
      <c r="B26" s="23" t="inlineStr">
        <is>
          <t>A</t>
        </is>
      </c>
      <c r="C26" s="23" t="inlineStr">
        <is>
          <t>Czechia</t>
        </is>
      </c>
      <c r="D26" s="23" t="inlineStr">
        <is>
          <t>South Africa</t>
        </is>
      </c>
      <c r="E26" s="23" t="n">
        <v>1</v>
      </c>
      <c r="F26" s="23" t="n">
        <v>1</v>
      </c>
      <c r="G26" s="23" t="inlineStr">
        <is>
          <t>2-1</t>
        </is>
      </c>
      <c r="H26" s="23" t="n">
        <v>2</v>
      </c>
      <c r="I26" s="23" t="n">
        <v>1</v>
      </c>
      <c r="M26" s="26" t="n"/>
      <c r="Q26" s="26" t="n"/>
      <c r="S26" s="26" t="n"/>
      <c r="W26" s="26" t="n"/>
      <c r="X26" s="26" t="n"/>
      <c r="Y26" t="inlineStr">
        <is>
          <t>17:00</t>
        </is>
      </c>
      <c r="Z26" t="inlineStr">
        <is>
          <t>modelo_v13_janela_movel_3</t>
        </is>
      </c>
      <c r="AA26" t="n">
        <v>1.89</v>
      </c>
      <c r="AB26" t="n">
        <v>1.06</v>
      </c>
      <c r="AC26" t="n">
        <v>78.26000000000001</v>
      </c>
      <c r="AD26" t="n">
        <v>73.26000000000001</v>
      </c>
      <c r="AE26" t="inlineStr">
        <is>
          <t>Czechia 2-1 South Africa | xG 1.89-1.06 | Forças 78.26-73.26 | Ataques 79.2-66.76 | Defesas 76.77-66.76</t>
        </is>
      </c>
      <c r="AF26" t="n">
        <v>2</v>
      </c>
      <c r="AG26" t="n">
        <v>1</v>
      </c>
    </row>
    <row r="27">
      <c r="A27" s="35" t="inlineStr">
        <is>
          <t>2026-06-18</t>
        </is>
      </c>
      <c r="B27" s="23" t="inlineStr">
        <is>
          <t>B</t>
        </is>
      </c>
      <c r="C27" s="23" t="inlineStr">
        <is>
          <t>Switzerland</t>
        </is>
      </c>
      <c r="D27" s="23" t="inlineStr">
        <is>
          <t>Bosnia and Herzegovina</t>
        </is>
      </c>
      <c r="E27" s="23" t="n">
        <v>4</v>
      </c>
      <c r="F27" s="23" t="n">
        <v>1</v>
      </c>
      <c r="G27" s="23" t="inlineStr">
        <is>
          <t>2-1</t>
        </is>
      </c>
      <c r="H27" s="23" t="n">
        <v>2</v>
      </c>
      <c r="I27" s="23" t="n">
        <v>1</v>
      </c>
      <c r="J27" s="23" t="n"/>
      <c r="K27" s="23" t="n"/>
      <c r="L27" s="23" t="n"/>
      <c r="M27" s="26" t="n"/>
      <c r="N27" s="23" t="n"/>
      <c r="O27" s="23" t="n"/>
      <c r="P27" s="23" t="n"/>
      <c r="Q27" s="26" t="n"/>
      <c r="R27" s="23" t="n"/>
      <c r="S27" s="26" t="n"/>
      <c r="T27" s="23" t="n"/>
      <c r="U27" s="23" t="n"/>
      <c r="V27" s="23" t="n"/>
      <c r="W27" s="26" t="n"/>
      <c r="X27" s="26" t="n"/>
      <c r="Y27" t="inlineStr">
        <is>
          <t>20:00</t>
        </is>
      </c>
      <c r="Z27" t="inlineStr">
        <is>
          <t>modelo_v13_janela_movel_3</t>
        </is>
      </c>
      <c r="AA27" t="n">
        <v>1.77</v>
      </c>
      <c r="AB27" t="n">
        <v>0.92</v>
      </c>
      <c r="AC27" t="n">
        <v>82.09999999999999</v>
      </c>
      <c r="AD27" t="n">
        <v>74.95</v>
      </c>
      <c r="AE27" t="inlineStr">
        <is>
          <t>Switzerland 2-1 Bosnia and Herzegovina | xG 1.77-0.92 | Forças 82.1-74.95 | Ataques 78.79-74.8 | Defesas 88.03-72.89</t>
        </is>
      </c>
      <c r="AF27" t="n">
        <v>2</v>
      </c>
      <c r="AG27" t="n">
        <v>1</v>
      </c>
    </row>
    <row r="28">
      <c r="A28" s="35" t="inlineStr">
        <is>
          <t>2026-06-18</t>
        </is>
      </c>
      <c r="B28" s="23" t="inlineStr">
        <is>
          <t>B</t>
        </is>
      </c>
      <c r="C28" s="23" t="inlineStr">
        <is>
          <t>Canada</t>
        </is>
      </c>
      <c r="D28" s="23" t="inlineStr">
        <is>
          <t>Qatar</t>
        </is>
      </c>
      <c r="E28" s="23" t="n">
        <v>6</v>
      </c>
      <c r="F28" s="23" t="n">
        <v>0</v>
      </c>
      <c r="G28" s="23" t="inlineStr">
        <is>
          <t>2-1</t>
        </is>
      </c>
      <c r="H28" s="23" t="n">
        <v>2</v>
      </c>
      <c r="I28" s="23" t="n">
        <v>1</v>
      </c>
      <c r="M28" s="26" t="n"/>
      <c r="Q28" s="26" t="n"/>
      <c r="S28" s="26" t="n"/>
      <c r="W28" s="26" t="n"/>
      <c r="X28" s="26" t="n"/>
      <c r="Y28" t="inlineStr">
        <is>
          <t>23:00</t>
        </is>
      </c>
      <c r="Z28" t="inlineStr">
        <is>
          <t>modelo_v13_janela_movel_3</t>
        </is>
      </c>
      <c r="AA28" t="n">
        <v>2.18</v>
      </c>
      <c r="AB28" t="n">
        <v>1.01</v>
      </c>
      <c r="AC28" t="n">
        <v>79.18000000000001</v>
      </c>
      <c r="AD28" t="n">
        <v>73.5</v>
      </c>
      <c r="AE28" t="inlineStr">
        <is>
          <t>Canada 2-1 Qatar | xG 2.18-1.01 | Forças 79.18-73.5 | Ataques 76.54-67.09 | Defesas 78.23-67.09</t>
        </is>
      </c>
      <c r="AF28" t="n">
        <v>2</v>
      </c>
      <c r="AG28" t="n">
        <v>1</v>
      </c>
    </row>
    <row r="29">
      <c r="A29" s="35" t="n">
        <v>46192</v>
      </c>
      <c r="B29" s="23" t="inlineStr">
        <is>
          <t>A</t>
        </is>
      </c>
      <c r="C29" s="23" t="inlineStr">
        <is>
          <t>Mexico</t>
        </is>
      </c>
      <c r="D29" s="23" t="inlineStr">
        <is>
          <t>South Korea</t>
        </is>
      </c>
      <c r="E29" s="23" t="n">
        <v>1</v>
      </c>
      <c r="F29" s="23" t="n">
        <v>0</v>
      </c>
      <c r="G29" s="23" t="inlineStr">
        <is>
          <t>2-2</t>
        </is>
      </c>
      <c r="H29" s="23" t="n">
        <v>2</v>
      </c>
      <c r="I29" s="23" t="n">
        <v>2</v>
      </c>
      <c r="J29" s="23" t="n"/>
      <c r="K29" s="23" t="n"/>
      <c r="L29" s="23" t="n"/>
      <c r="M29" s="26" t="n"/>
      <c r="N29" s="23" t="n"/>
      <c r="O29" s="23" t="n"/>
      <c r="P29" s="23" t="n"/>
      <c r="Q29" s="26" t="n"/>
      <c r="R29" s="23" t="n"/>
      <c r="S29" s="26" t="n"/>
      <c r="T29" s="23" t="n"/>
      <c r="U29" s="23" t="n"/>
      <c r="V29" s="23" t="n"/>
      <c r="W29" s="26" t="n"/>
      <c r="X29" s="26" t="n"/>
      <c r="Z29" t="inlineStr">
        <is>
          <t>modelo_v13_janela_movel_3</t>
        </is>
      </c>
      <c r="AA29" t="n">
        <v>2.18</v>
      </c>
      <c r="AB29" t="n">
        <v>1.62</v>
      </c>
      <c r="AC29" t="n">
        <v>81.7</v>
      </c>
      <c r="AD29" t="n">
        <v>78.41</v>
      </c>
      <c r="AE29" t="inlineStr">
        <is>
          <t>Mexico 2-2 República da Coreia | xG 2.18-1.62 | Forças 81.7-78.41 | Ataques 81.09-87.43 | Defesas 77.64-69.23</t>
        </is>
      </c>
      <c r="AF29" t="n">
        <v>2</v>
      </c>
      <c r="AG29" t="n">
        <v>2</v>
      </c>
    </row>
    <row r="30">
      <c r="A30" s="35" t="inlineStr">
        <is>
          <t>2026-06-19</t>
        </is>
      </c>
      <c r="B30" s="23" t="inlineStr">
        <is>
          <t>D</t>
        </is>
      </c>
      <c r="C30" s="23" t="inlineStr">
        <is>
          <t>United States</t>
        </is>
      </c>
      <c r="D30" s="23" t="inlineStr">
        <is>
          <t>Australia</t>
        </is>
      </c>
      <c r="E30" s="23" t="n">
        <v>2</v>
      </c>
      <c r="F30" s="23" t="n">
        <v>0</v>
      </c>
      <c r="G30" s="23" t="inlineStr">
        <is>
          <t>2-1</t>
        </is>
      </c>
      <c r="H30" s="23" t="n">
        <v>2</v>
      </c>
      <c r="I30" s="23" t="n">
        <v>1</v>
      </c>
      <c r="M30" s="26" t="n"/>
      <c r="Q30" s="26" t="n"/>
      <c r="S30" s="26" t="n"/>
      <c r="W30" s="26" t="n"/>
      <c r="X30" s="26" t="n"/>
      <c r="Y30" t="inlineStr">
        <is>
          <t>20:00</t>
        </is>
      </c>
      <c r="Z30" t="inlineStr">
        <is>
          <t>modelo_v13_janela_movel_3</t>
        </is>
      </c>
      <c r="AA30" t="n">
        <v>2.34</v>
      </c>
      <c r="AB30" t="n">
        <v>1.06</v>
      </c>
      <c r="AC30" t="n">
        <v>83.48999999999999</v>
      </c>
      <c r="AD30" t="n">
        <v>76.26000000000001</v>
      </c>
      <c r="AE30" t="inlineStr">
        <is>
          <t>United States 2-1 Australia | xG 2.34-1.06 | Forças 83.49-76.26 | Ataques 86.04-72.51 | Defesas 80.58-71.58</t>
        </is>
      </c>
      <c r="AF30" t="n">
        <v>2</v>
      </c>
      <c r="AG30" t="n">
        <v>1</v>
      </c>
    </row>
    <row r="31">
      <c r="A31" s="35" t="inlineStr">
        <is>
          <t>2026-06-19</t>
        </is>
      </c>
      <c r="B31" s="23" t="inlineStr">
        <is>
          <t>C</t>
        </is>
      </c>
      <c r="C31" s="23" t="inlineStr">
        <is>
          <t>Scotland</t>
        </is>
      </c>
      <c r="D31" s="23" t="inlineStr">
        <is>
          <t>Morocco</t>
        </is>
      </c>
      <c r="E31" s="23" t="n">
        <v>0</v>
      </c>
      <c r="F31" s="23" t="n">
        <v>1</v>
      </c>
      <c r="G31" s="23" t="inlineStr">
        <is>
          <t>1-1</t>
        </is>
      </c>
      <c r="H31" s="23" t="n">
        <v>1</v>
      </c>
      <c r="I31" s="23" t="n">
        <v>1</v>
      </c>
      <c r="J31" s="23" t="n"/>
      <c r="K31" s="23" t="n"/>
      <c r="L31" s="23" t="n"/>
      <c r="M31" s="26" t="n"/>
      <c r="N31" s="23" t="n"/>
      <c r="O31" s="23" t="n"/>
      <c r="P31" s="23" t="n"/>
      <c r="Q31" s="26" t="n"/>
      <c r="R31" s="23" t="n"/>
      <c r="S31" s="26" t="n"/>
      <c r="T31" s="23" t="n"/>
      <c r="U31" s="23" t="n"/>
      <c r="V31" s="23" t="n"/>
      <c r="W31" s="26" t="n"/>
      <c r="X31" s="26" t="n"/>
      <c r="Y31" t="inlineStr">
        <is>
          <t>23:00</t>
        </is>
      </c>
      <c r="Z31" t="inlineStr">
        <is>
          <t>modelo_v13_janela_movel_3</t>
        </is>
      </c>
      <c r="AA31" t="n">
        <v>1.01</v>
      </c>
      <c r="AB31" t="n">
        <v>1.48</v>
      </c>
      <c r="AC31" t="n">
        <v>80.2</v>
      </c>
      <c r="AD31" t="n">
        <v>83.98</v>
      </c>
      <c r="AE31" t="inlineStr">
        <is>
          <t>Scotland 1-1 Morocco | xG 1.01-1.48 | Forças 80.2-83.98 | Ataques 71.36-82.98 | Defesas 84.76-84.39</t>
        </is>
      </c>
      <c r="AF31" t="n">
        <v>1</v>
      </c>
      <c r="AG31" t="n">
        <v>1</v>
      </c>
    </row>
    <row r="32">
      <c r="A32" s="35" t="inlineStr">
        <is>
          <t>2026-06-20</t>
        </is>
      </c>
      <c r="B32" s="23" t="inlineStr">
        <is>
          <t>C</t>
        </is>
      </c>
      <c r="C32" s="23" t="inlineStr">
        <is>
          <t>Brazil</t>
        </is>
      </c>
      <c r="D32" s="23" t="inlineStr">
        <is>
          <t>Haiti</t>
        </is>
      </c>
      <c r="E32" s="23" t="n">
        <v>3</v>
      </c>
      <c r="F32" s="23" t="n">
        <v>0</v>
      </c>
      <c r="G32" s="23" t="inlineStr">
        <is>
          <t>4-0</t>
        </is>
      </c>
      <c r="H32" s="23" t="n">
        <v>4</v>
      </c>
      <c r="I32" s="23" t="n">
        <v>0</v>
      </c>
      <c r="M32" s="26" t="n"/>
      <c r="Q32" s="26" t="n"/>
      <c r="S32" s="26" t="n"/>
      <c r="W32" s="26" t="n"/>
      <c r="X32" s="26" t="n"/>
      <c r="Y32" t="inlineStr">
        <is>
          <t>01:30</t>
        </is>
      </c>
      <c r="Z32" t="inlineStr">
        <is>
          <t>modelo_v13_janela_movel_3</t>
        </is>
      </c>
      <c r="AA32" t="n">
        <v>2.97</v>
      </c>
      <c r="AB32" t="n">
        <v>0.33</v>
      </c>
      <c r="AC32" t="n">
        <v>86.89</v>
      </c>
      <c r="AD32" t="n">
        <v>71.34</v>
      </c>
      <c r="AE32" t="inlineStr">
        <is>
          <t>Brazil 4-0 Haiti | xG 2.97-0.33 | Forças 86.89-71.34 | Ataques 95.28-64.7 | Defesas 92.74-64.7</t>
        </is>
      </c>
      <c r="AF32" t="n">
        <v>4</v>
      </c>
      <c r="AG32" t="n">
        <v>0</v>
      </c>
    </row>
    <row r="33">
      <c r="A33" s="35" t="inlineStr">
        <is>
          <t>2026-06-20</t>
        </is>
      </c>
      <c r="B33" s="23" t="inlineStr">
        <is>
          <t>D</t>
        </is>
      </c>
      <c r="C33" s="23" t="inlineStr">
        <is>
          <t>Turkey</t>
        </is>
      </c>
      <c r="D33" s="23" t="inlineStr">
        <is>
          <t>Paraguay</t>
        </is>
      </c>
      <c r="E33" s="23" t="n">
        <v>0</v>
      </c>
      <c r="F33" s="23" t="n">
        <v>1</v>
      </c>
      <c r="G33" s="23" t="inlineStr">
        <is>
          <t>2-1</t>
        </is>
      </c>
      <c r="H33" s="23" t="n">
        <v>2</v>
      </c>
      <c r="I33" s="23" t="n">
        <v>1</v>
      </c>
      <c r="J33" s="23" t="n"/>
      <c r="K33" s="23" t="n"/>
      <c r="L33" s="23" t="n"/>
      <c r="M33" s="26" t="n"/>
      <c r="N33" s="23" t="n"/>
      <c r="O33" s="23" t="n"/>
      <c r="P33" s="23" t="n"/>
      <c r="Q33" s="26" t="n"/>
      <c r="R33" s="23" t="n"/>
      <c r="S33" s="26" t="n"/>
      <c r="T33" s="23" t="n"/>
      <c r="U33" s="23" t="n"/>
      <c r="V33" s="23" t="n"/>
      <c r="W33" s="26" t="n"/>
      <c r="X33" s="26" t="n"/>
      <c r="Y33" t="inlineStr">
        <is>
          <t>04:00</t>
        </is>
      </c>
      <c r="Z33" t="inlineStr">
        <is>
          <t>modelo_v13_janela_movel_3</t>
        </is>
      </c>
      <c r="AA33" t="n">
        <v>2.11</v>
      </c>
      <c r="AB33" t="n">
        <v>1.01</v>
      </c>
      <c r="AC33" t="n">
        <v>84.97</v>
      </c>
      <c r="AD33" t="n">
        <v>77.11</v>
      </c>
      <c r="AE33" t="inlineStr">
        <is>
          <t>Turkey 2-1 Paraguay | xG 2.11-1.01 | Forças 84.97-77.11 | Ataques 87.65-78.32 | Defesas 87.78-69.19</t>
        </is>
      </c>
      <c r="AF33" t="n">
        <v>2</v>
      </c>
      <c r="AG33" t="n">
        <v>1</v>
      </c>
    </row>
    <row r="34">
      <c r="A34" s="35" t="inlineStr">
        <is>
          <t>2026-06-20</t>
        </is>
      </c>
      <c r="B34" s="23" t="inlineStr">
        <is>
          <t>F</t>
        </is>
      </c>
      <c r="C34" s="23" t="inlineStr">
        <is>
          <t>Netherlands</t>
        </is>
      </c>
      <c r="D34" s="23" t="inlineStr">
        <is>
          <t>Sweden</t>
        </is>
      </c>
      <c r="E34" s="23" t="n">
        <v>5</v>
      </c>
      <c r="F34" s="23" t="n">
        <v>1</v>
      </c>
      <c r="G34" s="23" t="inlineStr">
        <is>
          <t>2-1</t>
        </is>
      </c>
      <c r="H34" s="23" t="n">
        <v>2</v>
      </c>
      <c r="I34" s="23" t="n">
        <v>1</v>
      </c>
      <c r="M34" s="26" t="n"/>
      <c r="Q34" s="26" t="n"/>
      <c r="S34" s="26" t="n"/>
      <c r="W34" s="26" t="n"/>
      <c r="X34" s="26" t="n"/>
      <c r="Y34" t="inlineStr">
        <is>
          <t>18:00</t>
        </is>
      </c>
      <c r="Z34" t="inlineStr">
        <is>
          <t>modelo_v13_janela_movel_3</t>
        </is>
      </c>
      <c r="AA34" t="n">
        <v>1.96</v>
      </c>
      <c r="AB34" t="n">
        <v>1.1</v>
      </c>
      <c r="AC34" t="n">
        <v>88.45999999999999</v>
      </c>
      <c r="AD34" t="n">
        <v>81.13</v>
      </c>
      <c r="AE34" t="inlineStr">
        <is>
          <t>Netherlands 2-1 Sweden | xG 1.96-1.1 | Forças 88.46-81.13 | Ataques 92.49-88.79 | Defesas 95.09-79.4</t>
        </is>
      </c>
      <c r="AF34" t="n">
        <v>2</v>
      </c>
      <c r="AG34" t="n">
        <v>1</v>
      </c>
    </row>
    <row r="35">
      <c r="A35" s="35" t="inlineStr">
        <is>
          <t>2026-06-20</t>
        </is>
      </c>
      <c r="B35" s="23" t="inlineStr">
        <is>
          <t>E</t>
        </is>
      </c>
      <c r="C35" s="23" t="inlineStr">
        <is>
          <t>Germany</t>
        </is>
      </c>
      <c r="D35" s="23" t="inlineStr">
        <is>
          <t>Ivory Coast</t>
        </is>
      </c>
      <c r="E35" s="23" t="n">
        <v>2</v>
      </c>
      <c r="F35" s="23" t="n">
        <v>1</v>
      </c>
      <c r="G35" s="23" t="inlineStr">
        <is>
          <t>2-2</t>
        </is>
      </c>
      <c r="H35" s="23" t="n">
        <v>2</v>
      </c>
      <c r="I35" s="23" t="n">
        <v>2</v>
      </c>
      <c r="J35" s="23" t="n"/>
      <c r="K35" s="23" t="n"/>
      <c r="L35" s="23" t="n"/>
      <c r="M35" s="26" t="n"/>
      <c r="N35" s="23" t="n"/>
      <c r="O35" s="23" t="n"/>
      <c r="P35" s="23" t="n"/>
      <c r="Q35" s="26" t="n"/>
      <c r="R35" s="23" t="n"/>
      <c r="S35" s="26" t="n"/>
      <c r="T35" s="23" t="n"/>
      <c r="U35" s="23" t="n"/>
      <c r="V35" s="23" t="n"/>
      <c r="W35" s="26" t="n"/>
      <c r="X35" s="26" t="n"/>
      <c r="Y35" t="inlineStr">
        <is>
          <t>21:00</t>
        </is>
      </c>
      <c r="Z35" t="inlineStr">
        <is>
          <t>modelo_v13_janela_movel_3</t>
        </is>
      </c>
      <c r="AA35" t="n">
        <v>1.94</v>
      </c>
      <c r="AB35" t="n">
        <v>1.34</v>
      </c>
      <c r="AC35" t="n">
        <v>86.47</v>
      </c>
      <c r="AD35" t="n">
        <v>80.55</v>
      </c>
      <c r="AE35" t="inlineStr">
        <is>
          <t>Germany 2-2 Ivory Coast | xG 1.94-1.34 | Forças 86.47-80.55 | Ataques 92.22-91.86 | Defesas 90.27-78.6</t>
        </is>
      </c>
      <c r="AF35" t="n">
        <v>2</v>
      </c>
      <c r="AG35" t="n">
        <v>2</v>
      </c>
    </row>
    <row r="36">
      <c r="A36" s="35" t="inlineStr">
        <is>
          <t>2026-06-21</t>
        </is>
      </c>
      <c r="B36" s="23" t="inlineStr">
        <is>
          <t>E</t>
        </is>
      </c>
      <c r="C36" s="23" t="inlineStr">
        <is>
          <t>Ecuador</t>
        </is>
      </c>
      <c r="D36" s="23" t="inlineStr">
        <is>
          <t>Curacao</t>
        </is>
      </c>
      <c r="E36" s="23" t="n">
        <v>0</v>
      </c>
      <c r="F36" s="23" t="n">
        <v>0</v>
      </c>
      <c r="G36" s="23" t="inlineStr">
        <is>
          <t>2-1</t>
        </is>
      </c>
      <c r="H36" s="23" t="n">
        <v>2</v>
      </c>
      <c r="I36" s="23" t="n">
        <v>1</v>
      </c>
      <c r="M36" s="26" t="n"/>
      <c r="Q36" s="26" t="n"/>
      <c r="S36" s="26" t="n"/>
      <c r="W36" s="26" t="n"/>
      <c r="X36" s="26" t="n"/>
      <c r="Y36" t="inlineStr">
        <is>
          <t>01:00</t>
        </is>
      </c>
      <c r="Z36" t="inlineStr">
        <is>
          <t>modelo_v13_janela_movel_3</t>
        </is>
      </c>
      <c r="AA36" t="n">
        <v>1.91</v>
      </c>
      <c r="AB36" t="n">
        <v>0.93</v>
      </c>
      <c r="AC36" t="n">
        <v>79.68000000000001</v>
      </c>
      <c r="AD36" t="n">
        <v>71.89</v>
      </c>
      <c r="AE36" t="inlineStr">
        <is>
          <t>Ecuador 2-1 Curacao | xG 1.91-0.93 | Forças 79.68-71.89 | Ataques 78.0-64.73 | Defesas 76.94-67.26</t>
        </is>
      </c>
      <c r="AF36" t="n">
        <v>2</v>
      </c>
      <c r="AG36" t="n">
        <v>1</v>
      </c>
    </row>
    <row r="37">
      <c r="A37" s="35" t="inlineStr">
        <is>
          <t>2026-06-21</t>
        </is>
      </c>
      <c r="B37" s="23" t="inlineStr">
        <is>
          <t>F</t>
        </is>
      </c>
      <c r="C37" s="23" t="inlineStr">
        <is>
          <t>Tunisia</t>
        </is>
      </c>
      <c r="D37" s="23" t="inlineStr">
        <is>
          <t>Japan</t>
        </is>
      </c>
      <c r="E37" s="23" t="n">
        <v>0</v>
      </c>
      <c r="F37" s="23" t="n">
        <v>4</v>
      </c>
      <c r="G37" s="23" t="inlineStr">
        <is>
          <t>2-2</t>
        </is>
      </c>
      <c r="H37" s="23" t="n">
        <v>2</v>
      </c>
      <c r="I37" s="23" t="n">
        <v>2</v>
      </c>
      <c r="J37" s="23" t="n"/>
      <c r="K37" s="23" t="n"/>
      <c r="L37" s="23" t="n"/>
      <c r="M37" s="26" t="n"/>
      <c r="N37" s="23" t="n"/>
      <c r="O37" s="23" t="n"/>
      <c r="P37" s="23" t="n"/>
      <c r="Q37" s="26" t="n"/>
      <c r="R37" s="23" t="n"/>
      <c r="S37" s="26" t="n"/>
      <c r="T37" s="23" t="n"/>
      <c r="U37" s="23" t="n"/>
      <c r="V37" s="23" t="n"/>
      <c r="W37" s="26" t="n"/>
      <c r="X37" s="26" t="n"/>
      <c r="Y37" t="inlineStr">
        <is>
          <t>05:00</t>
        </is>
      </c>
      <c r="Z37" t="inlineStr">
        <is>
          <t>modelo_v13_janela_movel_3</t>
        </is>
      </c>
      <c r="AA37" t="n">
        <v>1.36</v>
      </c>
      <c r="AB37" t="n">
        <v>2.03</v>
      </c>
      <c r="AC37" t="n">
        <v>75.63</v>
      </c>
      <c r="AD37" t="n">
        <v>81.91</v>
      </c>
      <c r="AE37" t="inlineStr">
        <is>
          <t>Tunisia 2-2 Japan | xG 1.36-2.03 | Forças 75.63-81.91 | Ataques 80.48-85.89 | Defesas 69.17-77.9</t>
        </is>
      </c>
      <c r="AF37" t="n">
        <v>2</v>
      </c>
      <c r="AG37" t="n">
        <v>2</v>
      </c>
    </row>
    <row r="38">
      <c r="A38" s="35" t="inlineStr">
        <is>
          <t>2026-06-21</t>
        </is>
      </c>
      <c r="B38" s="23" t="inlineStr">
        <is>
          <t>H</t>
        </is>
      </c>
      <c r="C38" s="23" t="inlineStr">
        <is>
          <t>Spain</t>
        </is>
      </c>
      <c r="D38" s="23" t="inlineStr">
        <is>
          <t>Saudi Arabia</t>
        </is>
      </c>
      <c r="E38" s="23" t="n">
        <v>4</v>
      </c>
      <c r="F38" s="23" t="n">
        <v>0</v>
      </c>
      <c r="G38" s="23" t="inlineStr">
        <is>
          <t>4-0</t>
        </is>
      </c>
      <c r="H38" s="23" t="n">
        <v>4</v>
      </c>
      <c r="I38" s="23" t="n">
        <v>0</v>
      </c>
      <c r="M38" s="26" t="n"/>
      <c r="Q38" s="26" t="n"/>
      <c r="S38" s="26" t="n"/>
      <c r="W38" s="26" t="n"/>
      <c r="X38" s="26" t="n"/>
      <c r="Y38" t="inlineStr">
        <is>
          <t>17:00</t>
        </is>
      </c>
      <c r="Z38" t="inlineStr">
        <is>
          <t>modelo_v13_janela_movel_3</t>
        </is>
      </c>
      <c r="AA38" t="n">
        <v>2.92</v>
      </c>
      <c r="AB38" t="n">
        <v>0.24</v>
      </c>
      <c r="AC38" t="n">
        <v>90.15000000000001</v>
      </c>
      <c r="AD38" t="n">
        <v>73.16</v>
      </c>
      <c r="AE38" t="inlineStr">
        <is>
          <t>Spain 4-0 Saudi Arabia | xG 2.92-0.24 | Forças 90.15-73.16 | Ataques 94.33-66.65 | Defesas 96.93-66.65</t>
        </is>
      </c>
      <c r="AF38" t="n">
        <v>4</v>
      </c>
      <c r="AG38" t="n">
        <v>0</v>
      </c>
    </row>
    <row r="39">
      <c r="A39" s="35" t="inlineStr">
        <is>
          <t>2026-06-21</t>
        </is>
      </c>
      <c r="B39" s="23" t="inlineStr">
        <is>
          <t>G</t>
        </is>
      </c>
      <c r="C39" s="23" t="inlineStr">
        <is>
          <t>Belgium</t>
        </is>
      </c>
      <c r="D39" s="23" t="inlineStr">
        <is>
          <t>Iran</t>
        </is>
      </c>
      <c r="E39" s="23" t="n">
        <v>0</v>
      </c>
      <c r="F39" s="23" t="n">
        <v>0</v>
      </c>
      <c r="G39" s="23" t="inlineStr">
        <is>
          <t>4-0</t>
        </is>
      </c>
      <c r="H39" s="23" t="n">
        <v>4</v>
      </c>
      <c r="I39" s="23" t="n">
        <v>0</v>
      </c>
      <c r="J39" s="23" t="n"/>
      <c r="K39" s="23" t="n"/>
      <c r="L39" s="23" t="n"/>
      <c r="M39" s="26" t="n"/>
      <c r="N39" s="23" t="n"/>
      <c r="O39" s="23" t="n"/>
      <c r="P39" s="23" t="n"/>
      <c r="Q39" s="26" t="n"/>
      <c r="R39" s="23" t="n"/>
      <c r="S39" s="26" t="n"/>
      <c r="T39" s="23" t="n"/>
      <c r="U39" s="23" t="n"/>
      <c r="V39" s="23" t="n"/>
      <c r="W39" s="26" t="n"/>
      <c r="X39" s="26" t="n"/>
      <c r="Y39" t="inlineStr">
        <is>
          <t>20:00</t>
        </is>
      </c>
      <c r="Z39" t="inlineStr">
        <is>
          <t>modelo_v13_janela_movel_3</t>
        </is>
      </c>
      <c r="AA39" t="n">
        <v>3.11</v>
      </c>
      <c r="AB39" t="n">
        <v>0.15</v>
      </c>
      <c r="AC39" t="n">
        <v>86.34</v>
      </c>
      <c r="AD39" t="n">
        <v>63.93</v>
      </c>
      <c r="AE39" t="inlineStr">
        <is>
          <t>Belgium 4-0 Iran | xG 3.11-0.15 | Forças 86.34-63.93 | Ataques 94.92-65.0 | Defesas 89.85-65.0</t>
        </is>
      </c>
      <c r="AF39" t="n">
        <v>4</v>
      </c>
      <c r="AG39" t="n">
        <v>0</v>
      </c>
    </row>
    <row r="40">
      <c r="A40" s="35" t="inlineStr">
        <is>
          <t>2026-06-21</t>
        </is>
      </c>
      <c r="B40" s="23" t="inlineStr">
        <is>
          <t>H</t>
        </is>
      </c>
      <c r="C40" s="23" t="inlineStr">
        <is>
          <t>Uruguay</t>
        </is>
      </c>
      <c r="D40" s="23" t="inlineStr">
        <is>
          <t>Cape Verde</t>
        </is>
      </c>
      <c r="E40" s="23" t="n">
        <v>2</v>
      </c>
      <c r="F40" s="23" t="n">
        <v>2</v>
      </c>
      <c r="G40" s="23" t="inlineStr">
        <is>
          <t>2-1</t>
        </is>
      </c>
      <c r="H40" s="23" t="n">
        <v>2</v>
      </c>
      <c r="I40" s="23" t="n">
        <v>1</v>
      </c>
      <c r="M40" s="26" t="n"/>
      <c r="Q40" s="26" t="n"/>
      <c r="S40" s="26" t="n"/>
      <c r="W40" s="26" t="n"/>
      <c r="X40" s="26" t="n"/>
      <c r="Y40" t="inlineStr">
        <is>
          <t>23:00</t>
        </is>
      </c>
      <c r="Z40" t="inlineStr">
        <is>
          <t>modelo_v13_janela_movel_3</t>
        </is>
      </c>
      <c r="AA40" t="n">
        <v>1.95</v>
      </c>
      <c r="AB40" t="n">
        <v>0.7</v>
      </c>
      <c r="AC40" t="n">
        <v>83.45999999999999</v>
      </c>
      <c r="AD40" t="n">
        <v>72.95999999999999</v>
      </c>
      <c r="AE40" t="inlineStr">
        <is>
          <t>Uruguay 2-1 Cape Verde | xG 1.95-0.7 | Forças 83.46-72.96 | Ataques 78.27-65.89 | Defesas 84.61-68.42</t>
        </is>
      </c>
      <c r="AF40" t="n">
        <v>2</v>
      </c>
      <c r="AG40" t="n">
        <v>1</v>
      </c>
    </row>
    <row r="41">
      <c r="A41" s="35" t="inlineStr">
        <is>
          <t>2026-06-22</t>
        </is>
      </c>
      <c r="B41" s="23" t="inlineStr">
        <is>
          <t>G</t>
        </is>
      </c>
      <c r="C41" s="23" t="inlineStr">
        <is>
          <t>New Zealand</t>
        </is>
      </c>
      <c r="D41" s="23" t="inlineStr">
        <is>
          <t>Egypt</t>
        </is>
      </c>
      <c r="E41" s="23" t="n">
        <v>1</v>
      </c>
      <c r="F41" s="23" t="n">
        <v>3</v>
      </c>
      <c r="G41" s="23" t="inlineStr">
        <is>
          <t>1-2</t>
        </is>
      </c>
      <c r="H41" s="23" t="n">
        <v>1</v>
      </c>
      <c r="I41" s="23" t="n">
        <v>2</v>
      </c>
      <c r="J41" s="23" t="n"/>
      <c r="K41" s="23" t="n"/>
      <c r="L41" s="23" t="n"/>
      <c r="M41" s="26" t="n"/>
      <c r="N41" s="23" t="n"/>
      <c r="O41" s="23" t="n"/>
      <c r="P41" s="23" t="n"/>
      <c r="Q41" s="26" t="n"/>
      <c r="R41" s="23" t="n"/>
      <c r="S41" s="26" t="n"/>
      <c r="T41" s="23" t="n"/>
      <c r="U41" s="23" t="n"/>
      <c r="V41" s="23" t="n"/>
      <c r="W41" s="26" t="n"/>
      <c r="X41" s="26" t="n"/>
      <c r="Y41" t="inlineStr">
        <is>
          <t>02:00</t>
        </is>
      </c>
      <c r="Z41" t="inlineStr">
        <is>
          <t>modelo_v13_janela_movel_3</t>
        </is>
      </c>
      <c r="AA41" t="n">
        <v>1.13</v>
      </c>
      <c r="AB41" t="n">
        <v>2.32</v>
      </c>
      <c r="AC41" t="n">
        <v>71.70999999999999</v>
      </c>
      <c r="AD41" t="n">
        <v>77.93000000000001</v>
      </c>
      <c r="AE41" t="inlineStr">
        <is>
          <t>New Zealand 1-2 Egypt | xG 1.13-2.32 | Forças 71.71-77.93 | Ataques 64.44-92.19 | Defesas 64.44-70.48</t>
        </is>
      </c>
      <c r="AF41" t="n">
        <v>1</v>
      </c>
      <c r="AG41" t="n">
        <v>2</v>
      </c>
    </row>
    <row r="42">
      <c r="A42" s="35" t="inlineStr">
        <is>
          <t>2026-06-22</t>
        </is>
      </c>
      <c r="B42" s="23" t="inlineStr">
        <is>
          <t>J</t>
        </is>
      </c>
      <c r="C42" s="23" t="inlineStr">
        <is>
          <t>Argentina</t>
        </is>
      </c>
      <c r="D42" s="23" t="inlineStr">
        <is>
          <t>Austria</t>
        </is>
      </c>
      <c r="E42" s="23" t="n">
        <v>2</v>
      </c>
      <c r="F42" s="23" t="n">
        <v>0</v>
      </c>
      <c r="G42" s="23" t="inlineStr">
        <is>
          <t>2-1</t>
        </is>
      </c>
      <c r="H42" s="23" t="n">
        <v>2</v>
      </c>
      <c r="I42" s="23" t="n">
        <v>1</v>
      </c>
      <c r="M42" s="26" t="n"/>
      <c r="Q42" s="26" t="n"/>
      <c r="S42" s="26" t="n"/>
      <c r="W42" s="26" t="n"/>
      <c r="X42" s="26" t="n"/>
      <c r="Y42" t="inlineStr">
        <is>
          <t>18:00</t>
        </is>
      </c>
      <c r="Z42" t="inlineStr">
        <is>
          <t>modelo_v13_janela_movel_3</t>
        </is>
      </c>
      <c r="AA42" t="n">
        <v>1.94</v>
      </c>
      <c r="AB42" t="n">
        <v>1.05</v>
      </c>
      <c r="AC42" t="n">
        <v>87.81</v>
      </c>
      <c r="AD42" t="n">
        <v>82.5</v>
      </c>
      <c r="AE42" t="inlineStr">
        <is>
          <t>Argentina 2-1 Austria | xG 1.94-1.05 | Forças 87.81-82.5 | Ataques 94.35-81.45 | Defesas 91.69-80.31</t>
        </is>
      </c>
      <c r="AF42" t="n">
        <v>2</v>
      </c>
      <c r="AG42" t="n">
        <v>1</v>
      </c>
    </row>
    <row r="43">
      <c r="A43" s="35" t="inlineStr">
        <is>
          <t>2026-06-22</t>
        </is>
      </c>
      <c r="B43" s="23" t="inlineStr">
        <is>
          <t>I</t>
        </is>
      </c>
      <c r="C43" s="23" t="inlineStr">
        <is>
          <t>France</t>
        </is>
      </c>
      <c r="D43" s="23" t="inlineStr">
        <is>
          <t>Iraq</t>
        </is>
      </c>
      <c r="E43" s="23" t="n">
        <v>3</v>
      </c>
      <c r="F43" s="23" t="n">
        <v>0</v>
      </c>
      <c r="G43" s="23" t="inlineStr">
        <is>
          <t>4-0</t>
        </is>
      </c>
      <c r="H43" s="23" t="n">
        <v>4</v>
      </c>
      <c r="I43" s="23" t="n">
        <v>0</v>
      </c>
      <c r="J43" s="23" t="n"/>
      <c r="K43" s="23" t="n"/>
      <c r="L43" s="23" t="n"/>
      <c r="M43" s="26" t="n"/>
      <c r="N43" s="23" t="n"/>
      <c r="O43" s="23" t="n"/>
      <c r="P43" s="23" t="n"/>
      <c r="Q43" s="26" t="n"/>
      <c r="R43" s="23" t="n"/>
      <c r="S43" s="26" t="n"/>
      <c r="T43" s="23" t="n"/>
      <c r="U43" s="23" t="n"/>
      <c r="V43" s="23" t="n"/>
      <c r="W43" s="26" t="n"/>
      <c r="X43" s="26" t="n"/>
      <c r="Y43" t="inlineStr">
        <is>
          <t>22:00</t>
        </is>
      </c>
      <c r="Z43" t="inlineStr">
        <is>
          <t>modelo_v13_janela_movel_3</t>
        </is>
      </c>
      <c r="AA43" t="n">
        <v>2.96</v>
      </c>
      <c r="AB43" t="n">
        <v>0.39</v>
      </c>
      <c r="AC43" t="n">
        <v>89.66</v>
      </c>
      <c r="AD43" t="n">
        <v>73.55</v>
      </c>
      <c r="AE43" t="inlineStr">
        <is>
          <t>France 4-0 Iraq | xG 2.96-0.39 | Forças 89.66-73.55 | Ataques 96.87-67.1 | Defesas 92.32-67.1</t>
        </is>
      </c>
      <c r="AF43" t="n">
        <v>4</v>
      </c>
      <c r="AG43" t="n">
        <v>0</v>
      </c>
    </row>
    <row r="44">
      <c r="A44" s="35" t="inlineStr">
        <is>
          <t>2026-06-23</t>
        </is>
      </c>
      <c r="B44" s="23" t="inlineStr">
        <is>
          <t>I</t>
        </is>
      </c>
      <c r="C44" s="23" t="inlineStr">
        <is>
          <t>Norway</t>
        </is>
      </c>
      <c r="D44" s="23" t="inlineStr">
        <is>
          <t>Senegal</t>
        </is>
      </c>
      <c r="E44" s="23" t="n">
        <v>3</v>
      </c>
      <c r="F44" s="23" t="n">
        <v>2</v>
      </c>
      <c r="G44" s="23" t="inlineStr">
        <is>
          <t>1-1</t>
        </is>
      </c>
      <c r="H44" s="23" t="n">
        <v>1</v>
      </c>
      <c r="I44" s="23" t="n">
        <v>1</v>
      </c>
      <c r="M44" s="26" t="n"/>
      <c r="Q44" s="26" t="n"/>
      <c r="S44" s="26" t="n"/>
      <c r="W44" s="26" t="n"/>
      <c r="X44" s="26" t="n"/>
      <c r="Y44" t="inlineStr">
        <is>
          <t>01:00</t>
        </is>
      </c>
      <c r="Z44" t="inlineStr">
        <is>
          <t>modelo_v13_janela_movel_3</t>
        </is>
      </c>
      <c r="AA44" t="n">
        <v>1.53</v>
      </c>
      <c r="AB44" t="n">
        <v>1.47</v>
      </c>
      <c r="AC44" t="n">
        <v>82.38</v>
      </c>
      <c r="AD44" t="n">
        <v>82.77</v>
      </c>
      <c r="AE44" t="inlineStr">
        <is>
          <t>Norway 1-1 Senegal | xG 1.53-1.47 | Forças 82.38-82.77 | Ataques 89.51-83.67 | Defesas 83.05-85.72</t>
        </is>
      </c>
      <c r="AF44" t="n">
        <v>1</v>
      </c>
      <c r="AG44" t="n">
        <v>1</v>
      </c>
    </row>
    <row r="45">
      <c r="A45" s="35" t="inlineStr">
        <is>
          <t>2026-06-23</t>
        </is>
      </c>
      <c r="B45" s="23" t="inlineStr">
        <is>
          <t>J</t>
        </is>
      </c>
      <c r="C45" s="23" t="inlineStr">
        <is>
          <t>Jordan</t>
        </is>
      </c>
      <c r="D45" s="23" t="inlineStr">
        <is>
          <t>Algeria</t>
        </is>
      </c>
      <c r="E45" s="23" t="n">
        <v>1</v>
      </c>
      <c r="F45" s="23" t="n">
        <v>2</v>
      </c>
      <c r="G45" s="23" t="inlineStr">
        <is>
          <t>1-2</t>
        </is>
      </c>
      <c r="H45" s="23" t="n">
        <v>1</v>
      </c>
      <c r="I45" s="23" t="n">
        <v>2</v>
      </c>
      <c r="J45" s="23" t="n"/>
      <c r="K45" s="23" t="n"/>
      <c r="L45" s="23" t="n"/>
      <c r="M45" s="26" t="n"/>
      <c r="N45" s="23" t="n"/>
      <c r="O45" s="23" t="n"/>
      <c r="P45" s="23" t="n"/>
      <c r="Q45" s="26" t="n"/>
      <c r="R45" s="23" t="n"/>
      <c r="S45" s="26" t="n"/>
      <c r="T45" s="23" t="n"/>
      <c r="U45" s="23" t="n"/>
      <c r="V45" s="23" t="n"/>
      <c r="W45" s="26" t="n"/>
      <c r="X45" s="26" t="n"/>
      <c r="Y45" t="inlineStr">
        <is>
          <t>04:00</t>
        </is>
      </c>
      <c r="Z45" t="inlineStr">
        <is>
          <t>modelo_v13_janela_movel_3</t>
        </is>
      </c>
      <c r="AA45" t="n">
        <v>0.67</v>
      </c>
      <c r="AB45" t="n">
        <v>1.94</v>
      </c>
      <c r="AC45" t="n">
        <v>69.72</v>
      </c>
      <c r="AD45" t="n">
        <v>80.87</v>
      </c>
      <c r="AE45" t="inlineStr">
        <is>
          <t>Jordan 1-2 Algeria | xG 0.67-1.94 | Forças 69.72-80.87 | Ataques 73.82-82.79 | Defesas 73.82-82.7</t>
        </is>
      </c>
      <c r="AF45" t="n">
        <v>1</v>
      </c>
      <c r="AG45" t="n">
        <v>2</v>
      </c>
    </row>
    <row r="46">
      <c r="A46" s="35" t="inlineStr">
        <is>
          <t>2026-06-23</t>
        </is>
      </c>
      <c r="B46" s="23" t="inlineStr">
        <is>
          <t>K</t>
        </is>
      </c>
      <c r="C46" s="23" t="inlineStr">
        <is>
          <t>Portugal</t>
        </is>
      </c>
      <c r="D46" s="23" t="inlineStr">
        <is>
          <t>Uzbekistan</t>
        </is>
      </c>
      <c r="E46" s="23" t="n">
        <v>5</v>
      </c>
      <c r="F46" s="23" t="n">
        <v>0</v>
      </c>
      <c r="G46" s="23" t="inlineStr">
        <is>
          <t>3-0</t>
        </is>
      </c>
      <c r="H46" s="23" t="n">
        <v>3</v>
      </c>
      <c r="I46" s="23" t="n">
        <v>0</v>
      </c>
      <c r="M46" s="26" t="n"/>
      <c r="Q46" s="26" t="n"/>
      <c r="S46" s="26" t="n"/>
      <c r="W46" s="26" t="n"/>
      <c r="X46" s="26" t="n"/>
      <c r="Y46" t="inlineStr">
        <is>
          <t>18:00</t>
        </is>
      </c>
      <c r="Z46" t="inlineStr">
        <is>
          <t>modelo_v13_janela_movel_3</t>
        </is>
      </c>
      <c r="AA46" t="n">
        <v>2.76</v>
      </c>
      <c r="AB46" t="n">
        <v>0.45</v>
      </c>
      <c r="AC46" t="n">
        <v>88.15000000000001</v>
      </c>
      <c r="AD46" t="n">
        <v>74.40000000000001</v>
      </c>
      <c r="AE46" t="inlineStr">
        <is>
          <t>Portugal 3-0 Uzbekistan | xG 2.76-0.45 | Forças 88.15-74.4 | Ataques 95.28-67.22 | Defesas 92.55-71.02</t>
        </is>
      </c>
      <c r="AF46" t="n">
        <v>3</v>
      </c>
      <c r="AG46" t="n">
        <v>0</v>
      </c>
    </row>
    <row r="47" ht="16" customHeight="1" s="25">
      <c r="A47" s="35" t="inlineStr">
        <is>
          <t>2026-06-23</t>
        </is>
      </c>
      <c r="B47" s="23" t="inlineStr">
        <is>
          <t>L</t>
        </is>
      </c>
      <c r="C47" s="23" t="inlineStr">
        <is>
          <t>England</t>
        </is>
      </c>
      <c r="D47" s="23" t="inlineStr">
        <is>
          <t>Ghana</t>
        </is>
      </c>
      <c r="E47" s="23" t="n">
        <v>0</v>
      </c>
      <c r="F47" s="23" t="n">
        <v>0</v>
      </c>
      <c r="G47" s="23" t="inlineStr">
        <is>
          <t>3-1</t>
        </is>
      </c>
      <c r="H47" s="23" t="n">
        <v>3</v>
      </c>
      <c r="I47" s="23" t="n">
        <v>1</v>
      </c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t="inlineStr">
        <is>
          <t>21:00</t>
        </is>
      </c>
      <c r="Z47" t="inlineStr">
        <is>
          <t>modelo_v13_janela_movel_3</t>
        </is>
      </c>
      <c r="AA47" t="n">
        <v>2.81</v>
      </c>
      <c r="AB47" t="n">
        <v>0.77</v>
      </c>
      <c r="AC47" t="n">
        <v>89.54000000000001</v>
      </c>
      <c r="AD47" t="n">
        <v>75.04000000000001</v>
      </c>
      <c r="AE47" t="inlineStr">
        <is>
          <t>England 3-1 Ghana | xG 2.81-0.77 | Forças 89.54-75.04 | Ataques 96.21-83.72 | Defesas 96.21-70.59</t>
        </is>
      </c>
      <c r="AF47" t="n">
        <v>3</v>
      </c>
      <c r="AG47" t="n">
        <v>1</v>
      </c>
    </row>
    <row r="48">
      <c r="A48" s="35" t="inlineStr">
        <is>
          <t>2026-06-24</t>
        </is>
      </c>
      <c r="B48" s="23" t="inlineStr">
        <is>
          <t>L</t>
        </is>
      </c>
      <c r="C48" s="23" t="inlineStr">
        <is>
          <t>Panama</t>
        </is>
      </c>
      <c r="D48" s="23" t="inlineStr">
        <is>
          <t>Croatia</t>
        </is>
      </c>
      <c r="E48" s="23" t="n">
        <v>0</v>
      </c>
      <c r="F48" s="23" t="n">
        <v>1</v>
      </c>
      <c r="G48" s="23" t="inlineStr">
        <is>
          <t>1-2</t>
        </is>
      </c>
      <c r="H48" s="23" t="n">
        <v>1</v>
      </c>
      <c r="I48" s="23" t="n">
        <v>2</v>
      </c>
      <c r="J48" s="23" t="n"/>
      <c r="K48" s="23" t="n"/>
      <c r="L48" s="23" t="n"/>
      <c r="M48" s="26" t="n"/>
      <c r="N48" s="23" t="n"/>
      <c r="O48" s="23" t="n"/>
      <c r="P48" s="23" t="n"/>
      <c r="Q48" s="26" t="n"/>
      <c r="R48" s="23" t="n"/>
      <c r="S48" s="26" t="n"/>
      <c r="T48" s="23" t="n"/>
      <c r="U48" s="23" t="n"/>
      <c r="V48" s="23" t="n"/>
      <c r="W48" s="26" t="n"/>
      <c r="X48" s="26" t="n"/>
      <c r="Y48" t="inlineStr">
        <is>
          <t>00:00</t>
        </is>
      </c>
      <c r="Z48" t="inlineStr">
        <is>
          <t>modelo_v13_janela_movel_3</t>
        </is>
      </c>
      <c r="AA48" t="n">
        <v>0.96</v>
      </c>
      <c r="AB48" t="n">
        <v>1.74</v>
      </c>
      <c r="AC48" t="n">
        <v>74.02</v>
      </c>
      <c r="AD48" t="n">
        <v>83.2</v>
      </c>
      <c r="AE48" t="inlineStr">
        <is>
          <t>Panama 1-2 Croatia | xG 0.96-1.74 | Forças 74.02-83.2 | Ataques 80.39-83.24 | Defesas 80.39-79.98</t>
        </is>
      </c>
      <c r="AF48" t="n">
        <v>1</v>
      </c>
      <c r="AG48" t="n">
        <v>2</v>
      </c>
    </row>
    <row r="49">
      <c r="A49" s="35" t="inlineStr">
        <is>
          <t>2026-06-24</t>
        </is>
      </c>
      <c r="B49" s="23" t="inlineStr">
        <is>
          <t>K</t>
        </is>
      </c>
      <c r="C49" s="23" t="inlineStr">
        <is>
          <t>Colombia</t>
        </is>
      </c>
      <c r="D49" s="23" t="inlineStr">
        <is>
          <t>DR Congo</t>
        </is>
      </c>
      <c r="E49" s="23" t="n">
        <v>1</v>
      </c>
      <c r="F49" s="23" t="n">
        <v>0</v>
      </c>
      <c r="G49" s="23" t="inlineStr">
        <is>
          <t>2-2</t>
        </is>
      </c>
      <c r="H49" s="23" t="n">
        <v>2</v>
      </c>
      <c r="I49" s="23" t="n">
        <v>2</v>
      </c>
      <c r="M49" s="26" t="n"/>
      <c r="Q49" s="26" t="n"/>
      <c r="S49" s="26" t="n"/>
      <c r="W49" s="26" t="n"/>
      <c r="X49" s="26" t="n"/>
      <c r="Y49" t="inlineStr">
        <is>
          <t>03:00</t>
        </is>
      </c>
      <c r="Z49" t="inlineStr">
        <is>
          <t>modelo_v13_janela_movel_3</t>
        </is>
      </c>
      <c r="AA49" t="n">
        <v>1.81</v>
      </c>
      <c r="AB49" t="n">
        <v>1.33</v>
      </c>
      <c r="AC49" t="n">
        <v>81.83</v>
      </c>
      <c r="AD49" t="n">
        <v>76.88</v>
      </c>
      <c r="AE49" t="inlineStr">
        <is>
          <t>Colombia 2-2 DR Congo | xG 1.81-1.33 | Forças 81.83-76.88 | Ataques 82.12-79.67 | Defesas 79.3-72.6</t>
        </is>
      </c>
      <c r="AF49" t="n">
        <v>2</v>
      </c>
      <c r="AG49" t="n">
        <v>2</v>
      </c>
    </row>
    <row r="50">
      <c r="A50" s="35" t="inlineStr">
        <is>
          <t>2026-06-24</t>
        </is>
      </c>
      <c r="B50" s="23" t="inlineStr">
        <is>
          <t>B</t>
        </is>
      </c>
      <c r="C50" s="23" t="inlineStr">
        <is>
          <t>Switzerland</t>
        </is>
      </c>
      <c r="D50" s="23" t="inlineStr">
        <is>
          <t>Canada</t>
        </is>
      </c>
      <c r="E50" s="23" t="n">
        <v>2</v>
      </c>
      <c r="F50" s="23" t="n">
        <v>1</v>
      </c>
      <c r="G50" s="23" t="inlineStr">
        <is>
          <t>1-1</t>
        </is>
      </c>
      <c r="H50" s="23" t="n">
        <v>1</v>
      </c>
      <c r="I50" s="23" t="n">
        <v>1</v>
      </c>
      <c r="J50" s="23" t="n"/>
      <c r="K50" s="23" t="n"/>
      <c r="L50" s="23" t="n"/>
      <c r="M50" s="26" t="n"/>
      <c r="N50" s="23" t="n"/>
      <c r="O50" s="23" t="n"/>
      <c r="P50" s="23" t="n"/>
      <c r="Q50" s="26" t="n"/>
      <c r="R50" s="23" t="n"/>
      <c r="S50" s="26" t="n"/>
      <c r="T50" s="23" t="n"/>
      <c r="U50" s="23" t="n"/>
      <c r="V50" s="23" t="n"/>
      <c r="W50" s="26" t="n"/>
      <c r="X50" s="26" t="n"/>
      <c r="Y50" t="inlineStr">
        <is>
          <t>20:00</t>
        </is>
      </c>
      <c r="Z50" t="inlineStr">
        <is>
          <t>modelo_v13_janela_movel_3</t>
        </is>
      </c>
      <c r="AA50" t="n">
        <v>1.53</v>
      </c>
      <c r="AB50" t="n">
        <v>1.42</v>
      </c>
      <c r="AC50" t="n">
        <v>82.09999999999999</v>
      </c>
      <c r="AD50" t="n">
        <v>79.18000000000001</v>
      </c>
      <c r="AE50" t="inlineStr">
        <is>
          <t>Switzerland 1-1 Canada | xG 1.53-1.42 | Forças 82.1-79.18 | Ataques 78.79-76.54 | Defesas 88.03-78.23</t>
        </is>
      </c>
      <c r="AF50" t="n">
        <v>1</v>
      </c>
      <c r="AG50" t="n">
        <v>1</v>
      </c>
    </row>
    <row r="51">
      <c r="A51" s="35" t="inlineStr">
        <is>
          <t>2026-06-24</t>
        </is>
      </c>
      <c r="B51" s="23" t="inlineStr">
        <is>
          <t>B</t>
        </is>
      </c>
      <c r="C51" s="23" t="inlineStr">
        <is>
          <t>Bosnia and Herzegovina</t>
        </is>
      </c>
      <c r="D51" s="23" t="inlineStr">
        <is>
          <t>Qatar</t>
        </is>
      </c>
      <c r="E51" s="23" t="n">
        <v>3</v>
      </c>
      <c r="F51" s="23" t="n">
        <v>1</v>
      </c>
      <c r="G51" s="23" t="inlineStr">
        <is>
          <t>2-2</t>
        </is>
      </c>
      <c r="H51" s="23" t="n">
        <v>2</v>
      </c>
      <c r="I51" s="23" t="n">
        <v>2</v>
      </c>
      <c r="M51" s="26" t="n"/>
      <c r="Q51" s="26" t="n"/>
      <c r="S51" s="26" t="n"/>
      <c r="W51" s="26" t="n"/>
      <c r="X51" s="26" t="n"/>
      <c r="Y51" t="inlineStr">
        <is>
          <t>20:00</t>
        </is>
      </c>
      <c r="Z51" t="inlineStr">
        <is>
          <t>modelo_v13_janela_movel_3</t>
        </is>
      </c>
      <c r="AA51" t="n">
        <v>1.68</v>
      </c>
      <c r="AB51" t="n">
        <v>1.25</v>
      </c>
      <c r="AC51" t="n">
        <v>74.95</v>
      </c>
      <c r="AD51" t="n">
        <v>73.5</v>
      </c>
      <c r="AE51" t="inlineStr">
        <is>
          <t>Bosnia and Herzegovina 2-2 Qatar | xG 1.68-1.25 | Forças 74.95-73.5 | Ataques 74.8-67.09 | Defesas 72.89-67.09</t>
        </is>
      </c>
      <c r="AF51" t="n">
        <v>2</v>
      </c>
      <c r="AG51" t="n">
        <v>2</v>
      </c>
    </row>
    <row r="52">
      <c r="A52" s="35" t="inlineStr">
        <is>
          <t>2026-06-24</t>
        </is>
      </c>
      <c r="B52" s="23" t="inlineStr">
        <is>
          <t>C</t>
        </is>
      </c>
      <c r="C52" s="23" t="inlineStr">
        <is>
          <t>Scotland</t>
        </is>
      </c>
      <c r="D52" s="23" t="inlineStr">
        <is>
          <t>Brazil</t>
        </is>
      </c>
      <c r="E52" s="23" t="n">
        <v>0</v>
      </c>
      <c r="F52" s="23" t="n">
        <v>3</v>
      </c>
      <c r="G52" s="23" t="inlineStr">
        <is>
          <t>1-2</t>
        </is>
      </c>
      <c r="H52" s="23" t="n">
        <v>1</v>
      </c>
      <c r="I52" s="23" t="n">
        <v>2</v>
      </c>
      <c r="J52" s="23" t="n"/>
      <c r="K52" s="23" t="n"/>
      <c r="L52" s="23" t="n"/>
      <c r="M52" s="26" t="n"/>
      <c r="N52" s="23" t="n"/>
      <c r="O52" s="23" t="n"/>
      <c r="P52" s="23" t="n"/>
      <c r="Q52" s="26" t="n"/>
      <c r="R52" s="23" t="n"/>
      <c r="S52" s="26" t="n"/>
      <c r="T52" s="23" t="n"/>
      <c r="U52" s="23" t="n"/>
      <c r="V52" s="23" t="n"/>
      <c r="W52" s="26" t="n"/>
      <c r="X52" s="26" t="n"/>
      <c r="Y52" t="inlineStr">
        <is>
          <t>23:00</t>
        </is>
      </c>
      <c r="Z52" t="inlineStr">
        <is>
          <t>modelo_v13_janela_movel_3</t>
        </is>
      </c>
      <c r="AA52" t="n">
        <v>0.72</v>
      </c>
      <c r="AB52" t="n">
        <v>1.88</v>
      </c>
      <c r="AC52" t="n">
        <v>80.2</v>
      </c>
      <c r="AD52" t="n">
        <v>86.89</v>
      </c>
      <c r="AE52" t="inlineStr">
        <is>
          <t>Scotland 1-2 Brazil | xG 0.72-1.88 | Forças 80.2-86.89 | Ataques 71.36-95.28 | Defesas 84.76-92.74</t>
        </is>
      </c>
      <c r="AF52" t="n">
        <v>1</v>
      </c>
      <c r="AG52" t="n">
        <v>2</v>
      </c>
    </row>
    <row r="53">
      <c r="A53" s="35" t="inlineStr">
        <is>
          <t>2026-06-24</t>
        </is>
      </c>
      <c r="B53" s="23" t="inlineStr">
        <is>
          <t>C</t>
        </is>
      </c>
      <c r="C53" s="23" t="inlineStr">
        <is>
          <t>Morocco</t>
        </is>
      </c>
      <c r="D53" s="23" t="inlineStr">
        <is>
          <t>Haiti</t>
        </is>
      </c>
      <c r="E53" s="23" t="n">
        <v>4</v>
      </c>
      <c r="F53" s="23" t="n">
        <v>2</v>
      </c>
      <c r="G53" s="23" t="inlineStr">
        <is>
          <t>3-0</t>
        </is>
      </c>
      <c r="H53" s="23" t="n">
        <v>3</v>
      </c>
      <c r="I53" s="23" t="n">
        <v>0</v>
      </c>
      <c r="M53" s="26" t="n"/>
      <c r="Q53" s="26" t="n"/>
      <c r="S53" s="26" t="n"/>
      <c r="W53" s="26" t="n"/>
      <c r="X53" s="26" t="n"/>
      <c r="Y53" t="inlineStr">
        <is>
          <t>23:00</t>
        </is>
      </c>
      <c r="Z53" t="inlineStr">
        <is>
          <t>modelo_v13_janela_movel_3</t>
        </is>
      </c>
      <c r="AA53" t="n">
        <v>2.22</v>
      </c>
      <c r="AB53" t="n">
        <v>0.62</v>
      </c>
      <c r="AC53" t="n">
        <v>83.98</v>
      </c>
      <c r="AD53" t="n">
        <v>71.34</v>
      </c>
      <c r="AE53" t="inlineStr">
        <is>
          <t>Morocco 3-0 Haiti | xG 2.22-0.62 | Forças 83.98-71.34 | Ataques 82.98-64.7 | Defesas 84.39-64.7</t>
        </is>
      </c>
      <c r="AF53" t="n">
        <v>3</v>
      </c>
      <c r="AG53" t="n">
        <v>0</v>
      </c>
    </row>
    <row r="54">
      <c r="A54" s="35" t="inlineStr">
        <is>
          <t>2026-06-25</t>
        </is>
      </c>
      <c r="B54" s="23" t="inlineStr">
        <is>
          <t>A</t>
        </is>
      </c>
      <c r="C54" s="23" t="inlineStr">
        <is>
          <t>Czechia</t>
        </is>
      </c>
      <c r="D54" s="23" t="inlineStr">
        <is>
          <t>Mexico</t>
        </is>
      </c>
      <c r="E54" s="23" t="n">
        <v>0</v>
      </c>
      <c r="F54" s="23" t="n">
        <v>3</v>
      </c>
      <c r="G54" s="23" t="inlineStr">
        <is>
          <t>2-2</t>
        </is>
      </c>
      <c r="H54" s="23" t="n">
        <v>2</v>
      </c>
      <c r="I54" s="23" t="n">
        <v>2</v>
      </c>
      <c r="J54" s="23" t="n"/>
      <c r="K54" s="23" t="n"/>
      <c r="L54" s="23" t="n"/>
      <c r="M54" s="26" t="n"/>
      <c r="N54" s="23" t="n"/>
      <c r="O54" s="23" t="n"/>
      <c r="P54" s="23" t="n"/>
      <c r="Q54" s="26" t="n"/>
      <c r="R54" s="23" t="n"/>
      <c r="S54" s="26" t="n"/>
      <c r="T54" s="23" t="n"/>
      <c r="U54" s="23" t="n"/>
      <c r="V54" s="23" t="n"/>
      <c r="W54" s="26" t="n"/>
      <c r="X54" s="26" t="n"/>
      <c r="Y54" t="inlineStr">
        <is>
          <t>02:00</t>
        </is>
      </c>
      <c r="Z54" t="inlineStr">
        <is>
          <t>modelo_v13_janela_movel_3</t>
        </is>
      </c>
      <c r="AA54" t="n">
        <v>1.4</v>
      </c>
      <c r="AB54" t="n">
        <v>1.99</v>
      </c>
      <c r="AC54" t="n">
        <v>78.26000000000001</v>
      </c>
      <c r="AD54" t="n">
        <v>81.7</v>
      </c>
      <c r="AE54" t="inlineStr">
        <is>
          <t>Czechia 2-2 Mexico | xG 1.4-1.99 | Forças 78.26-81.7 | Ataques 79.2-81.09 | Defesas 76.77-77.64</t>
        </is>
      </c>
      <c r="AF54" t="n">
        <v>2</v>
      </c>
      <c r="AG54" t="n">
        <v>2</v>
      </c>
    </row>
    <row r="55">
      <c r="A55" s="35" t="n">
        <v>46198</v>
      </c>
      <c r="B55" s="23" t="inlineStr">
        <is>
          <t>A</t>
        </is>
      </c>
      <c r="C55" s="23" t="inlineStr">
        <is>
          <t>South Africa</t>
        </is>
      </c>
      <c r="D55" s="23" t="inlineStr">
        <is>
          <t>South Korea</t>
        </is>
      </c>
      <c r="E55" s="23" t="n">
        <v>1</v>
      </c>
      <c r="F55" s="23" t="n">
        <v>0</v>
      </c>
      <c r="G55" s="23" t="n"/>
      <c r="H55" s="23" t="n"/>
      <c r="I55" s="23" t="n"/>
      <c r="M55" s="26" t="n"/>
      <c r="Q55" s="26" t="n"/>
      <c r="S55" s="26" t="n"/>
      <c r="W55" s="26" t="n"/>
      <c r="X55" s="26" t="n"/>
    </row>
    <row r="56">
      <c r="A56" s="35" t="inlineStr">
        <is>
          <t>2026-06-25</t>
        </is>
      </c>
      <c r="B56" s="23" t="inlineStr">
        <is>
          <t>E</t>
        </is>
      </c>
      <c r="C56" s="23" t="inlineStr">
        <is>
          <t>Ecuador</t>
        </is>
      </c>
      <c r="D56" s="23" t="inlineStr">
        <is>
          <t>Germany</t>
        </is>
      </c>
      <c r="E56" s="23" t="n">
        <v>2</v>
      </c>
      <c r="F56" s="23" t="n">
        <v>1</v>
      </c>
      <c r="G56" s="23" t="inlineStr">
        <is>
          <t>1-2</t>
        </is>
      </c>
      <c r="H56" s="23" t="n">
        <v>1</v>
      </c>
      <c r="I56" s="23" t="n">
        <v>2</v>
      </c>
      <c r="J56" s="23" t="n"/>
      <c r="K56" s="23" t="n"/>
      <c r="L56" s="23" t="n"/>
      <c r="M56" s="26" t="n"/>
      <c r="N56" s="23" t="n"/>
      <c r="O56" s="23" t="n"/>
      <c r="P56" s="23" t="n"/>
      <c r="Q56" s="26" t="n"/>
      <c r="R56" s="23" t="n"/>
      <c r="S56" s="26" t="n"/>
      <c r="T56" s="23" t="n"/>
      <c r="U56" s="23" t="n"/>
      <c r="V56" s="23" t="n"/>
      <c r="W56" s="26" t="n"/>
      <c r="X56" s="26" t="n"/>
      <c r="Y56" t="inlineStr">
        <is>
          <t>21:00</t>
        </is>
      </c>
      <c r="Z56" t="inlineStr">
        <is>
          <t>modelo_v13_janela_movel_3</t>
        </is>
      </c>
      <c r="AA56" t="n">
        <v>0.96</v>
      </c>
      <c r="AB56" t="n">
        <v>2.01</v>
      </c>
      <c r="AC56" t="n">
        <v>79.68000000000001</v>
      </c>
      <c r="AD56" t="n">
        <v>86.47</v>
      </c>
      <c r="AE56" t="inlineStr">
        <is>
          <t>Ecuador 1-2 Germany | xG 0.96-2.01 | Forças 79.68-86.47 | Ataques 78.0-92.22 | Defesas 76.94-90.27</t>
        </is>
      </c>
      <c r="AF56" t="n">
        <v>1</v>
      </c>
      <c r="AG56" t="n">
        <v>2</v>
      </c>
    </row>
    <row r="57">
      <c r="A57" s="35" t="inlineStr">
        <is>
          <t>2026-06-25</t>
        </is>
      </c>
      <c r="B57" s="23" t="inlineStr">
        <is>
          <t>E</t>
        </is>
      </c>
      <c r="C57" s="23" t="inlineStr">
        <is>
          <t>Curacao</t>
        </is>
      </c>
      <c r="D57" s="23" t="inlineStr">
        <is>
          <t>Ivory Coast</t>
        </is>
      </c>
      <c r="E57" s="23" t="n">
        <v>0</v>
      </c>
      <c r="F57" s="23" t="n">
        <v>2</v>
      </c>
      <c r="G57" s="23" t="inlineStr">
        <is>
          <t>1-2</t>
        </is>
      </c>
      <c r="H57" s="23" t="n">
        <v>1</v>
      </c>
      <c r="I57" s="23" t="n">
        <v>2</v>
      </c>
      <c r="M57" s="26" t="n"/>
      <c r="Q57" s="26" t="n"/>
      <c r="S57" s="26" t="n"/>
      <c r="W57" s="26" t="n"/>
      <c r="X57" s="26" t="n"/>
      <c r="Y57" t="inlineStr">
        <is>
          <t>21:00</t>
        </is>
      </c>
      <c r="Z57" t="inlineStr">
        <is>
          <t>modelo_v13_janela_movel_3</t>
        </is>
      </c>
      <c r="AA57" t="n">
        <v>0.87</v>
      </c>
      <c r="AB57" t="n">
        <v>2.3</v>
      </c>
      <c r="AC57" t="n">
        <v>71.89</v>
      </c>
      <c r="AD57" t="n">
        <v>80.55</v>
      </c>
      <c r="AE57" t="inlineStr">
        <is>
          <t>Curacao 1-2 Ivory Coast | xG 0.87-2.3 | Forças 71.89-80.55 | Ataques 64.73-91.86 | Defesas 67.26-78.6</t>
        </is>
      </c>
      <c r="AF57" t="n">
        <v>1</v>
      </c>
      <c r="AG57" t="n">
        <v>2</v>
      </c>
    </row>
    <row r="58">
      <c r="A58" s="35" t="inlineStr">
        <is>
          <t>2026-06-26</t>
        </is>
      </c>
      <c r="B58" s="23" t="inlineStr">
        <is>
          <t>F</t>
        </is>
      </c>
      <c r="C58" s="23" t="inlineStr">
        <is>
          <t>Tunisia</t>
        </is>
      </c>
      <c r="D58" s="23" t="inlineStr">
        <is>
          <t>Netherlands</t>
        </is>
      </c>
      <c r="E58" s="23" t="n">
        <v>1</v>
      </c>
      <c r="F58" s="23" t="n">
        <v>3</v>
      </c>
      <c r="G58" s="23" t="inlineStr">
        <is>
          <t>1-3</t>
        </is>
      </c>
      <c r="H58" s="23" t="n">
        <v>1</v>
      </c>
      <c r="I58" s="23" t="n">
        <v>3</v>
      </c>
      <c r="J58" s="23" t="n"/>
      <c r="K58" s="23" t="n"/>
      <c r="L58" s="23" t="n"/>
      <c r="M58" s="26" t="n"/>
      <c r="N58" s="23" t="n"/>
      <c r="O58" s="23" t="n"/>
      <c r="P58" s="23" t="n"/>
      <c r="Q58" s="26" t="n"/>
      <c r="R58" s="23" t="n"/>
      <c r="S58" s="26" t="n"/>
      <c r="T58" s="23" t="n"/>
      <c r="U58" s="23" t="n"/>
      <c r="V58" s="23" t="n"/>
      <c r="W58" s="26" t="n"/>
      <c r="X58" s="26" t="n"/>
      <c r="Y58" t="inlineStr">
        <is>
          <t>00:00</t>
        </is>
      </c>
      <c r="Z58" t="inlineStr">
        <is>
          <t>modelo_v13_janela_movel_3</t>
        </is>
      </c>
      <c r="AA58" t="n">
        <v>0.75</v>
      </c>
      <c r="AB58" t="n">
        <v>2.71</v>
      </c>
      <c r="AC58" t="n">
        <v>75.63</v>
      </c>
      <c r="AD58" t="n">
        <v>88.45999999999999</v>
      </c>
      <c r="AE58" t="inlineStr">
        <is>
          <t>Tunisia 1-3 Netherlands | xG 0.75-2.71 | Forças 75.63-88.46 | Ataques 80.48-92.49 | Defesas 69.17-95.09</t>
        </is>
      </c>
      <c r="AF58" t="n">
        <v>1</v>
      </c>
      <c r="AG58" t="n">
        <v>3</v>
      </c>
    </row>
    <row r="59">
      <c r="A59" s="35" t="inlineStr">
        <is>
          <t>2026-06-26</t>
        </is>
      </c>
      <c r="B59" s="23" t="inlineStr">
        <is>
          <t>F</t>
        </is>
      </c>
      <c r="C59" s="23" t="inlineStr">
        <is>
          <t>Japan</t>
        </is>
      </c>
      <c r="D59" s="23" t="inlineStr">
        <is>
          <t>Sweden</t>
        </is>
      </c>
      <c r="E59" s="23" t="n">
        <v>1</v>
      </c>
      <c r="F59" s="23" t="n">
        <v>1</v>
      </c>
      <c r="G59" s="23" t="inlineStr">
        <is>
          <t>2-2</t>
        </is>
      </c>
      <c r="H59" s="23" t="n">
        <v>2</v>
      </c>
      <c r="I59" s="23" t="n">
        <v>2</v>
      </c>
      <c r="M59" s="26" t="n"/>
      <c r="Q59" s="26" t="n"/>
      <c r="S59" s="26" t="n"/>
      <c r="W59" s="26" t="n"/>
      <c r="X59" s="26" t="n"/>
      <c r="Y59" t="inlineStr">
        <is>
          <t>00:00</t>
        </is>
      </c>
      <c r="Z59" t="inlineStr">
        <is>
          <t>modelo_v13_janela_movel_3</t>
        </is>
      </c>
      <c r="AA59" t="n">
        <v>1.63</v>
      </c>
      <c r="AB59" t="n">
        <v>1.71</v>
      </c>
      <c r="AC59" t="n">
        <v>81.91</v>
      </c>
      <c r="AD59" t="n">
        <v>81.13</v>
      </c>
      <c r="AE59" t="inlineStr">
        <is>
          <t>Japan 2-2 Sweden | xG 1.63-1.71 | Forças 81.91-81.13 | Ataques 85.89-88.79 | Defesas 77.9-79.4</t>
        </is>
      </c>
      <c r="AF59" t="n">
        <v>2</v>
      </c>
      <c r="AG59" t="n">
        <v>2</v>
      </c>
    </row>
    <row r="60">
      <c r="A60" s="35" t="inlineStr">
        <is>
          <t>2026-06-26</t>
        </is>
      </c>
      <c r="B60" s="23" t="inlineStr">
        <is>
          <t>D</t>
        </is>
      </c>
      <c r="C60" s="23" t="inlineStr">
        <is>
          <t>Turkey</t>
        </is>
      </c>
      <c r="D60" s="23" t="inlineStr">
        <is>
          <t>United States</t>
        </is>
      </c>
      <c r="E60" s="23" t="n">
        <v>3</v>
      </c>
      <c r="F60" s="23" t="n">
        <v>2</v>
      </c>
      <c r="G60" s="23" t="inlineStr">
        <is>
          <t>2-2</t>
        </is>
      </c>
      <c r="H60" s="23" t="n">
        <v>2</v>
      </c>
      <c r="I60" s="23" t="n">
        <v>2</v>
      </c>
      <c r="J60" s="23" t="n"/>
      <c r="K60" s="23" t="n"/>
      <c r="L60" s="23" t="n"/>
      <c r="M60" s="26" t="n"/>
      <c r="N60" s="23" t="n"/>
      <c r="O60" s="23" t="n"/>
      <c r="P60" s="23" t="n"/>
      <c r="Q60" s="26" t="n"/>
      <c r="R60" s="23" t="n"/>
      <c r="S60" s="26" t="n"/>
      <c r="T60" s="23" t="n"/>
      <c r="U60" s="23" t="n"/>
      <c r="V60" s="23" t="n"/>
      <c r="W60" s="26" t="n"/>
      <c r="X60" s="26" t="n"/>
      <c r="Y60" t="inlineStr">
        <is>
          <t>03:00</t>
        </is>
      </c>
      <c r="Z60" t="inlineStr">
        <is>
          <t>modelo_v13_janela_movel_3</t>
        </is>
      </c>
      <c r="AA60" t="n">
        <v>1.66</v>
      </c>
      <c r="AB60" t="n">
        <v>1.71</v>
      </c>
      <c r="AC60" t="n">
        <v>84.97</v>
      </c>
      <c r="AD60" t="n">
        <v>83.48999999999999</v>
      </c>
      <c r="AE60" t="inlineStr">
        <is>
          <t>Turkey 2-2 United States | xG 1.66-1.71 | Forças 84.97-83.49 | Ataques 87.65-86.04 | Defesas 87.78-80.58</t>
        </is>
      </c>
      <c r="AF60" t="n">
        <v>2</v>
      </c>
      <c r="AG60" t="n">
        <v>2</v>
      </c>
    </row>
    <row r="61">
      <c r="A61" s="35" t="inlineStr">
        <is>
          <t>2026-06-26</t>
        </is>
      </c>
      <c r="B61" s="23" t="inlineStr">
        <is>
          <t>D</t>
        </is>
      </c>
      <c r="C61" s="23" t="inlineStr">
        <is>
          <t>Paraguay</t>
        </is>
      </c>
      <c r="D61" s="23" t="inlineStr">
        <is>
          <t>Australia</t>
        </is>
      </c>
      <c r="E61" s="23" t="n">
        <v>0</v>
      </c>
      <c r="F61" s="23" t="n">
        <v>0</v>
      </c>
      <c r="G61" s="23" t="inlineStr">
        <is>
          <t>2-2</t>
        </is>
      </c>
      <c r="H61" s="23" t="n">
        <v>2</v>
      </c>
      <c r="I61" s="23" t="n">
        <v>2</v>
      </c>
      <c r="M61" s="26" t="n"/>
      <c r="Q61" s="26" t="n"/>
      <c r="S61" s="26" t="n"/>
      <c r="W61" s="26" t="n"/>
      <c r="X61" s="26" t="n"/>
      <c r="Y61" t="inlineStr">
        <is>
          <t>03:00</t>
        </is>
      </c>
      <c r="Z61" t="inlineStr">
        <is>
          <t>modelo_v13_janela_movel_3</t>
        </is>
      </c>
      <c r="AA61" t="n">
        <v>1.64</v>
      </c>
      <c r="AB61" t="n">
        <v>1.51</v>
      </c>
      <c r="AC61" t="n">
        <v>77.11</v>
      </c>
      <c r="AD61" t="n">
        <v>76.26000000000001</v>
      </c>
      <c r="AE61" t="inlineStr">
        <is>
          <t>Paraguay 2-2 Australia | xG 1.64-1.51 | Forças 77.11-76.26 | Ataques 78.32-72.51 | Defesas 69.19-71.58</t>
        </is>
      </c>
      <c r="AF61" t="n">
        <v>2</v>
      </c>
      <c r="AG61" t="n">
        <v>2</v>
      </c>
    </row>
    <row r="62">
      <c r="A62" s="35" t="inlineStr">
        <is>
          <t>2026-06-26</t>
        </is>
      </c>
      <c r="B62" s="23" t="inlineStr">
        <is>
          <t>I</t>
        </is>
      </c>
      <c r="C62" s="23" t="inlineStr">
        <is>
          <t>Norway</t>
        </is>
      </c>
      <c r="D62" s="23" t="inlineStr">
        <is>
          <t>France</t>
        </is>
      </c>
      <c r="E62" s="23" t="n">
        <v>1</v>
      </c>
      <c r="F62" s="23" t="n">
        <v>4</v>
      </c>
      <c r="G62" s="23" t="inlineStr">
        <is>
          <t>1-2</t>
        </is>
      </c>
      <c r="H62" s="23" t="n">
        <v>1</v>
      </c>
      <c r="I62" s="23" t="n">
        <v>2</v>
      </c>
      <c r="J62" s="23" t="n"/>
      <c r="K62" s="23" t="n"/>
      <c r="L62" s="23" t="n"/>
      <c r="M62" s="26" t="n"/>
      <c r="N62" s="23" t="n"/>
      <c r="O62" s="23" t="n"/>
      <c r="P62" s="23" t="n"/>
      <c r="Q62" s="26" t="n"/>
      <c r="R62" s="23" t="n"/>
      <c r="S62" s="26" t="n"/>
      <c r="T62" s="23" t="n"/>
      <c r="U62" s="23" t="n"/>
      <c r="V62" s="23" t="n"/>
      <c r="W62" s="26" t="n"/>
      <c r="X62" s="26" t="n"/>
      <c r="Y62" t="inlineStr">
        <is>
          <t>20:00</t>
        </is>
      </c>
      <c r="Z62" t="inlineStr">
        <is>
          <t>modelo_v13_janela_movel_3</t>
        </is>
      </c>
      <c r="AA62" t="n">
        <v>1.19</v>
      </c>
      <c r="AB62" t="n">
        <v>1.98</v>
      </c>
      <c r="AC62" t="n">
        <v>82.38</v>
      </c>
      <c r="AD62" t="n">
        <v>89.66</v>
      </c>
      <c r="AE62" t="inlineStr">
        <is>
          <t>Norway 1-2 France | xG 1.19-1.98 | Forças 82.38-89.66 | Ataques 89.51-96.87 | Defesas 83.05-92.32</t>
        </is>
      </c>
      <c r="AF62" t="n">
        <v>1</v>
      </c>
      <c r="AG62" t="n">
        <v>2</v>
      </c>
    </row>
    <row r="63">
      <c r="A63" s="35" t="inlineStr">
        <is>
          <t>2026-06-26</t>
        </is>
      </c>
      <c r="B63" s="23" t="inlineStr">
        <is>
          <t>I</t>
        </is>
      </c>
      <c r="C63" s="23" t="inlineStr">
        <is>
          <t>Senegal</t>
        </is>
      </c>
      <c r="D63" s="23" t="inlineStr">
        <is>
          <t>Iraq</t>
        </is>
      </c>
      <c r="E63" s="23" t="n">
        <v>5</v>
      </c>
      <c r="F63" s="23" t="n">
        <v>0</v>
      </c>
      <c r="G63" s="23" t="inlineStr">
        <is>
          <t>3-1</t>
        </is>
      </c>
      <c r="H63" s="23" t="n">
        <v>3</v>
      </c>
      <c r="I63" s="23" t="n">
        <v>1</v>
      </c>
      <c r="M63" s="26" t="n"/>
      <c r="Q63" s="26" t="n"/>
      <c r="S63" s="26" t="n"/>
      <c r="W63" s="26" t="n"/>
      <c r="X63" s="26" t="n"/>
      <c r="Y63" t="inlineStr">
        <is>
          <t>20:00</t>
        </is>
      </c>
      <c r="Z63" t="inlineStr">
        <is>
          <t>modelo_v13_janela_movel_3</t>
        </is>
      </c>
      <c r="AA63" t="n">
        <v>2.1</v>
      </c>
      <c r="AB63" t="n">
        <v>0.73</v>
      </c>
      <c r="AC63" t="n">
        <v>82.77</v>
      </c>
      <c r="AD63" t="n">
        <v>73.55</v>
      </c>
      <c r="AE63" t="inlineStr">
        <is>
          <t>Senegal 3-1 Iraq | xG 2.1-0.73 | Forças 82.77-73.55 | Ataques 83.67-67.1 | Defesas 85.72-67.1</t>
        </is>
      </c>
      <c r="AF63" t="n">
        <v>3</v>
      </c>
      <c r="AG63" t="n">
        <v>1</v>
      </c>
    </row>
    <row r="64">
      <c r="A64" s="35" t="inlineStr">
        <is>
          <t>2026-06-27</t>
        </is>
      </c>
      <c r="B64" s="23" t="inlineStr">
        <is>
          <t>H</t>
        </is>
      </c>
      <c r="C64" s="23" t="inlineStr">
        <is>
          <t>Uruguay</t>
        </is>
      </c>
      <c r="D64" s="23" t="inlineStr">
        <is>
          <t>Spain</t>
        </is>
      </c>
      <c r="E64" s="23" t="n">
        <v>0</v>
      </c>
      <c r="F64" s="23" t="n">
        <v>1</v>
      </c>
      <c r="G64" s="23" t="inlineStr">
        <is>
          <t>1-2</t>
        </is>
      </c>
      <c r="H64" s="23" t="n">
        <v>1</v>
      </c>
      <c r="I64" s="23" t="n">
        <v>2</v>
      </c>
      <c r="J64" s="23" t="n"/>
      <c r="K64" s="23" t="n"/>
      <c r="L64" s="23" t="n"/>
      <c r="M64" s="26" t="n"/>
      <c r="N64" s="23" t="n"/>
      <c r="O64" s="23" t="n"/>
      <c r="P64" s="23" t="n"/>
      <c r="Q64" s="26" t="n"/>
      <c r="R64" s="23" t="n"/>
      <c r="S64" s="26" t="n"/>
      <c r="T64" s="23" t="n"/>
      <c r="U64" s="23" t="n"/>
      <c r="V64" s="23" t="n"/>
      <c r="W64" s="26" t="n"/>
      <c r="X64" s="26" t="n"/>
      <c r="Y64" t="inlineStr">
        <is>
          <t>01:00</t>
        </is>
      </c>
      <c r="Z64" t="inlineStr">
        <is>
          <t>modelo_v13_janela_movel_3</t>
        </is>
      </c>
      <c r="AA64" t="n">
        <v>0.79</v>
      </c>
      <c r="AB64" t="n">
        <v>1.86</v>
      </c>
      <c r="AC64" t="n">
        <v>83.45999999999999</v>
      </c>
      <c r="AD64" t="n">
        <v>90.15000000000001</v>
      </c>
      <c r="AE64" t="inlineStr">
        <is>
          <t>Uruguay 1-2 Spain | xG 0.79-1.86 | Forças 83.46-90.15 | Ataques 78.27-94.33 | Defesas 84.61-96.93</t>
        </is>
      </c>
      <c r="AF64" t="n">
        <v>1</v>
      </c>
      <c r="AG64" t="n">
        <v>2</v>
      </c>
    </row>
    <row r="65">
      <c r="A65" s="35" t="inlineStr">
        <is>
          <t>2026-06-27</t>
        </is>
      </c>
      <c r="B65" s="23" t="inlineStr">
        <is>
          <t>H</t>
        </is>
      </c>
      <c r="C65" s="23" t="inlineStr">
        <is>
          <t>Cape Verde</t>
        </is>
      </c>
      <c r="D65" s="23" t="inlineStr">
        <is>
          <t>Saudi Arabia</t>
        </is>
      </c>
      <c r="E65" s="23" t="n">
        <v>0</v>
      </c>
      <c r="F65" s="23" t="n">
        <v>0</v>
      </c>
      <c r="G65" s="23" t="inlineStr">
        <is>
          <t>1-1</t>
        </is>
      </c>
      <c r="H65" s="23" t="n">
        <v>1</v>
      </c>
      <c r="I65" s="23" t="n">
        <v>1</v>
      </c>
      <c r="M65" s="26" t="n"/>
      <c r="Q65" s="26" t="n"/>
      <c r="S65" s="26" t="n"/>
      <c r="W65" s="26" t="n"/>
      <c r="X65" s="26" t="n"/>
      <c r="Y65" t="inlineStr">
        <is>
          <t>01:00</t>
        </is>
      </c>
      <c r="Z65" t="inlineStr">
        <is>
          <t>modelo_v13_janela_movel_3</t>
        </is>
      </c>
      <c r="AA65" t="n">
        <v>1.42</v>
      </c>
      <c r="AB65" t="n">
        <v>1.4</v>
      </c>
      <c r="AC65" t="n">
        <v>72.95999999999999</v>
      </c>
      <c r="AD65" t="n">
        <v>73.16</v>
      </c>
      <c r="AE65" t="inlineStr">
        <is>
          <t>Cape Verde 1-1 Saudi Arabia | xG 1.42-1.4 | Forças 72.96-73.16 | Ataques 65.89-66.65 | Defesas 68.42-66.65</t>
        </is>
      </c>
      <c r="AF65" t="n">
        <v>1</v>
      </c>
      <c r="AG65" t="n">
        <v>1</v>
      </c>
    </row>
    <row r="66">
      <c r="A66" s="35" t="inlineStr">
        <is>
          <t>2026-06-27</t>
        </is>
      </c>
      <c r="B66" s="23" t="inlineStr">
        <is>
          <t>G</t>
        </is>
      </c>
      <c r="C66" s="23" t="inlineStr">
        <is>
          <t>New Zealand</t>
        </is>
      </c>
      <c r="D66" s="23" t="inlineStr">
        <is>
          <t>Belgium</t>
        </is>
      </c>
      <c r="E66" s="23" t="n">
        <v>1</v>
      </c>
      <c r="F66" s="23" t="n">
        <v>5</v>
      </c>
      <c r="G66" s="23" t="inlineStr">
        <is>
          <t>0-4</t>
        </is>
      </c>
      <c r="H66" s="23" t="n">
        <v>0</v>
      </c>
      <c r="I66" s="23" t="n">
        <v>4</v>
      </c>
      <c r="J66" s="23" t="n"/>
      <c r="K66" s="23" t="n"/>
      <c r="L66" s="23" t="n"/>
      <c r="M66" s="26" t="n"/>
      <c r="N66" s="23" t="n"/>
      <c r="O66" s="23" t="n"/>
      <c r="P66" s="23" t="n"/>
      <c r="Q66" s="26" t="n"/>
      <c r="R66" s="23" t="n"/>
      <c r="S66" s="26" t="n"/>
      <c r="T66" s="23" t="n"/>
      <c r="U66" s="23" t="n"/>
      <c r="V66" s="23" t="n"/>
      <c r="W66" s="26" t="n"/>
      <c r="X66" s="26" t="n"/>
      <c r="Y66" t="inlineStr">
        <is>
          <t>04:00</t>
        </is>
      </c>
      <c r="Z66" t="inlineStr">
        <is>
          <t>modelo_v13_janela_movel_3</t>
        </is>
      </c>
      <c r="AA66" t="n">
        <v>0.42</v>
      </c>
      <c r="AB66" t="n">
        <v>2.94</v>
      </c>
      <c r="AC66" t="n">
        <v>71.70999999999999</v>
      </c>
      <c r="AD66" t="n">
        <v>86.34</v>
      </c>
      <c r="AE66" t="inlineStr">
        <is>
          <t>New Zealand 0-4 Belgium | xG 0.42-2.94 | Forças 71.71-86.34 | Ataques 64.44-94.92 | Defesas 64.44-89.85</t>
        </is>
      </c>
      <c r="AF66" t="n">
        <v>0</v>
      </c>
      <c r="AG66" t="n">
        <v>4</v>
      </c>
    </row>
    <row r="67">
      <c r="A67" s="35" t="inlineStr">
        <is>
          <t>2026-06-27</t>
        </is>
      </c>
      <c r="B67" s="23" t="inlineStr">
        <is>
          <t>G</t>
        </is>
      </c>
      <c r="C67" s="23" t="inlineStr">
        <is>
          <t>Egypt</t>
        </is>
      </c>
      <c r="D67" s="23" t="inlineStr">
        <is>
          <t>Iran</t>
        </is>
      </c>
      <c r="E67" s="23" t="n">
        <v>1</v>
      </c>
      <c r="F67" s="23" t="n">
        <v>1</v>
      </c>
      <c r="G67" s="23" t="inlineStr">
        <is>
          <t>3-1</t>
        </is>
      </c>
      <c r="H67" s="23" t="n">
        <v>3</v>
      </c>
      <c r="I67" s="23" t="n">
        <v>1</v>
      </c>
      <c r="M67" s="26" t="n"/>
      <c r="Q67" s="26" t="n"/>
      <c r="S67" s="26" t="n"/>
      <c r="W67" s="26" t="n"/>
      <c r="X67" s="26" t="n"/>
      <c r="Y67" t="inlineStr">
        <is>
          <t>04:00</t>
        </is>
      </c>
      <c r="Z67" t="inlineStr">
        <is>
          <t>modelo_v13_janela_movel_3</t>
        </is>
      </c>
      <c r="AA67" t="n">
        <v>2.84</v>
      </c>
      <c r="AB67" t="n">
        <v>0.6899999999999999</v>
      </c>
      <c r="AC67" t="n">
        <v>77.93000000000001</v>
      </c>
      <c r="AD67" t="n">
        <v>63.93</v>
      </c>
      <c r="AE67" t="inlineStr">
        <is>
          <t>Egypt 3-1 Iran | xG 2.84-0.69 | Forças 77.93-63.93 | Ataques 92.19-65.0 | Defesas 70.48-65.0</t>
        </is>
      </c>
      <c r="AF67" t="n">
        <v>3</v>
      </c>
      <c r="AG67" t="n">
        <v>1</v>
      </c>
    </row>
    <row r="68">
      <c r="A68" s="35" t="inlineStr">
        <is>
          <t>2026-06-27</t>
        </is>
      </c>
      <c r="B68" s="23" t="inlineStr">
        <is>
          <t>L</t>
        </is>
      </c>
      <c r="C68" s="23" t="inlineStr">
        <is>
          <t>Panama</t>
        </is>
      </c>
      <c r="D68" s="23" t="inlineStr">
        <is>
          <t>England</t>
        </is>
      </c>
      <c r="E68" s="23" t="n">
        <v>0</v>
      </c>
      <c r="F68" s="23" t="n">
        <v>2</v>
      </c>
      <c r="G68" s="23" t="inlineStr">
        <is>
          <t>0-3</t>
        </is>
      </c>
      <c r="H68" s="23" t="n">
        <v>0</v>
      </c>
      <c r="I68" s="23" t="n">
        <v>3</v>
      </c>
      <c r="J68" s="23" t="n"/>
      <c r="K68" s="23" t="n"/>
      <c r="L68" s="23" t="n"/>
      <c r="M68" s="26" t="n"/>
      <c r="N68" s="23" t="n"/>
      <c r="O68" s="23" t="n"/>
      <c r="P68" s="23" t="n"/>
      <c r="Q68" s="26" t="n"/>
      <c r="R68" s="23" t="n"/>
      <c r="S68" s="26" t="n"/>
      <c r="T68" s="23" t="n"/>
      <c r="U68" s="23" t="n"/>
      <c r="V68" s="23" t="n"/>
      <c r="W68" s="26" t="n"/>
      <c r="X68" s="26" t="n"/>
      <c r="Y68" t="inlineStr">
        <is>
          <t>22:00</t>
        </is>
      </c>
      <c r="Z68" t="inlineStr">
        <is>
          <t>modelo_v13_janela_movel_3</t>
        </is>
      </c>
      <c r="AA68" t="n">
        <v>0.38</v>
      </c>
      <c r="AB68" t="n">
        <v>2.23</v>
      </c>
      <c r="AC68" t="n">
        <v>74.02</v>
      </c>
      <c r="AD68" t="n">
        <v>89.54000000000001</v>
      </c>
      <c r="AE68" t="inlineStr">
        <is>
          <t>Panama 0-3 England | xG 0.38-2.23 | Forças 74.02-89.54 | Ataques 80.39-96.21 | Defesas 80.39-96.21</t>
        </is>
      </c>
      <c r="AF68" t="n">
        <v>0</v>
      </c>
      <c r="AG68" t="n">
        <v>3</v>
      </c>
    </row>
    <row r="69">
      <c r="A69" s="35" t="inlineStr">
        <is>
          <t>2026-06-27</t>
        </is>
      </c>
      <c r="B69" s="23" t="inlineStr">
        <is>
          <t>L</t>
        </is>
      </c>
      <c r="C69" s="23" t="inlineStr">
        <is>
          <t>Croatia</t>
        </is>
      </c>
      <c r="D69" s="23" t="inlineStr">
        <is>
          <t>Ghana</t>
        </is>
      </c>
      <c r="E69" s="23" t="n">
        <v>2</v>
      </c>
      <c r="F69" s="23" t="n">
        <v>1</v>
      </c>
      <c r="G69" s="23" t="inlineStr">
        <is>
          <t>2-2</t>
        </is>
      </c>
      <c r="H69" s="23" t="n">
        <v>2</v>
      </c>
      <c r="I69" s="23" t="n">
        <v>2</v>
      </c>
      <c r="M69" s="26" t="n"/>
      <c r="Q69" s="26" t="n"/>
      <c r="S69" s="26" t="n"/>
      <c r="W69" s="26" t="n"/>
      <c r="X69" s="26" t="n"/>
      <c r="Y69" t="inlineStr">
        <is>
          <t>22:00</t>
        </is>
      </c>
      <c r="Z69" t="inlineStr">
        <is>
          <t>modelo_v13_janela_movel_3</t>
        </is>
      </c>
      <c r="AA69" t="n">
        <v>1.97</v>
      </c>
      <c r="AB69" t="n">
        <v>1.35</v>
      </c>
      <c r="AC69" t="n">
        <v>83.2</v>
      </c>
      <c r="AD69" t="n">
        <v>75.04000000000001</v>
      </c>
      <c r="AE69" t="inlineStr">
        <is>
          <t>Croatia 2-2 Ghana | xG 1.97-1.35 | Forças 83.2-75.04 | Ataques 83.24-83.72 | Defesas 79.98-70.59</t>
        </is>
      </c>
      <c r="AF69" t="n">
        <v>2</v>
      </c>
      <c r="AG69" t="n">
        <v>2</v>
      </c>
    </row>
    <row r="70">
      <c r="A70" s="35" t="inlineStr">
        <is>
          <t>2026-06-28</t>
        </is>
      </c>
      <c r="B70" s="23" t="inlineStr">
        <is>
          <t>K</t>
        </is>
      </c>
      <c r="C70" s="23" t="inlineStr">
        <is>
          <t>Colombia</t>
        </is>
      </c>
      <c r="D70" s="23" t="inlineStr">
        <is>
          <t>Portugal</t>
        </is>
      </c>
      <c r="E70" s="23" t="n">
        <v>0</v>
      </c>
      <c r="F70" s="23" t="n">
        <v>0</v>
      </c>
      <c r="G70" s="23" t="inlineStr">
        <is>
          <t>1-2</t>
        </is>
      </c>
      <c r="H70" s="23" t="n">
        <v>1</v>
      </c>
      <c r="I70" s="23" t="n">
        <v>2</v>
      </c>
      <c r="J70" s="23" t="n"/>
      <c r="K70" s="23" t="n"/>
      <c r="L70" s="23" t="n"/>
      <c r="M70" s="26" t="n"/>
      <c r="N70" s="23" t="n"/>
      <c r="O70" s="23" t="n"/>
      <c r="P70" s="23" t="n"/>
      <c r="Q70" s="26" t="n"/>
      <c r="R70" s="23" t="n"/>
      <c r="S70" s="26" t="n"/>
      <c r="T70" s="23" t="n"/>
      <c r="U70" s="23" t="n"/>
      <c r="V70" s="23" t="n"/>
      <c r="W70" s="26" t="n"/>
      <c r="X70" s="26" t="n"/>
      <c r="Y70" t="inlineStr">
        <is>
          <t>00:30</t>
        </is>
      </c>
      <c r="Z70" t="inlineStr">
        <is>
          <t>modelo_v13_janela_movel_3</t>
        </is>
      </c>
      <c r="AA70" t="n">
        <v>1.02</v>
      </c>
      <c r="AB70" t="n">
        <v>2.01</v>
      </c>
      <c r="AC70" t="n">
        <v>81.83</v>
      </c>
      <c r="AD70" t="n">
        <v>88.15000000000001</v>
      </c>
      <c r="AE70" t="inlineStr">
        <is>
          <t>Colombia 1-2 Portugal | xG 1.02-2.01 | Forças 81.83-88.15 | Ataques 82.12-95.28 | Defesas 79.3-92.55</t>
        </is>
      </c>
      <c r="AF70" t="n">
        <v>1</v>
      </c>
      <c r="AG70" t="n">
        <v>2</v>
      </c>
    </row>
    <row r="71">
      <c r="A71" s="35" t="inlineStr">
        <is>
          <t>2026-06-28</t>
        </is>
      </c>
      <c r="B71" s="23" t="inlineStr">
        <is>
          <t>K</t>
        </is>
      </c>
      <c r="C71" s="23" t="inlineStr">
        <is>
          <t>DR Congo</t>
        </is>
      </c>
      <c r="D71" s="23" t="inlineStr">
        <is>
          <t>Uzbekistan</t>
        </is>
      </c>
      <c r="E71" s="23" t="n">
        <v>3</v>
      </c>
      <c r="F71" s="23" t="n">
        <v>1</v>
      </c>
      <c r="G71" s="23" t="inlineStr">
        <is>
          <t>2-1</t>
        </is>
      </c>
      <c r="H71" s="23" t="n">
        <v>2</v>
      </c>
      <c r="I71" s="23" t="n">
        <v>1</v>
      </c>
      <c r="M71" s="26" t="n"/>
      <c r="Q71" s="26" t="n"/>
      <c r="S71" s="26" t="n"/>
      <c r="W71" s="26" t="n"/>
      <c r="X71" s="26" t="n"/>
      <c r="Y71" t="inlineStr">
        <is>
          <t>00:30</t>
        </is>
      </c>
      <c r="Z71" t="inlineStr">
        <is>
          <t>modelo_v13_janela_movel_3</t>
        </is>
      </c>
      <c r="AA71" t="n">
        <v>1.73</v>
      </c>
      <c r="AB71" t="n">
        <v>1.24</v>
      </c>
      <c r="AC71" t="n">
        <v>76.88</v>
      </c>
      <c r="AD71" t="n">
        <v>74.40000000000001</v>
      </c>
      <c r="AE71" t="inlineStr">
        <is>
          <t>DR Congo 2-1 Uzbekistan | xG 1.73-1.24 | Forças 76.88-74.4 | Ataques 79.67-67.22 | Defesas 72.6-71.02</t>
        </is>
      </c>
      <c r="AF71" t="n">
        <v>2</v>
      </c>
      <c r="AG71" t="n">
        <v>1</v>
      </c>
    </row>
    <row r="72">
      <c r="A72" s="35" t="inlineStr">
        <is>
          <t>2026-06-28</t>
        </is>
      </c>
      <c r="B72" s="23" t="inlineStr">
        <is>
          <t>J</t>
        </is>
      </c>
      <c r="C72" s="23" t="inlineStr">
        <is>
          <t>Jordan</t>
        </is>
      </c>
      <c r="D72" s="23" t="inlineStr">
        <is>
          <t>Argentina</t>
        </is>
      </c>
      <c r="E72" s="23" t="n">
        <v>1</v>
      </c>
      <c r="F72" s="23" t="n">
        <v>3</v>
      </c>
      <c r="G72" s="23" t="inlineStr">
        <is>
          <t>0-3</t>
        </is>
      </c>
      <c r="H72" s="23" t="n">
        <v>0</v>
      </c>
      <c r="I72" s="23" t="n">
        <v>3</v>
      </c>
      <c r="J72" s="23" t="n"/>
      <c r="K72" s="23" t="n"/>
      <c r="L72" s="23" t="n"/>
      <c r="M72" s="26" t="n"/>
      <c r="N72" s="23" t="n"/>
      <c r="O72" s="23" t="n"/>
      <c r="P72" s="23" t="n"/>
      <c r="Q72" s="26" t="n"/>
      <c r="R72" s="23" t="n"/>
      <c r="S72" s="26" t="n"/>
      <c r="T72" s="23" t="n"/>
      <c r="U72" s="23" t="n"/>
      <c r="V72" s="23" t="n"/>
      <c r="W72" s="26" t="n"/>
      <c r="X72" s="26" t="n"/>
      <c r="Y72" t="inlineStr">
        <is>
          <t>03:00</t>
        </is>
      </c>
      <c r="Z72" t="inlineStr">
        <is>
          <t>modelo_v13_janela_movel_3</t>
        </is>
      </c>
      <c r="AA72" t="n">
        <v>0.27</v>
      </c>
      <c r="AB72" t="n">
        <v>2.41</v>
      </c>
      <c r="AC72" t="n">
        <v>69.72</v>
      </c>
      <c r="AD72" t="n">
        <v>87.81</v>
      </c>
      <c r="AE72" t="inlineStr">
        <is>
          <t>Jordan 0-3 Argentina | xG 0.27-2.41 | Forças 69.72-87.81 | Ataques 73.82-94.35 | Defesas 73.82-91.69</t>
        </is>
      </c>
      <c r="AF72" t="n">
        <v>0</v>
      </c>
      <c r="AG72" t="n">
        <v>3</v>
      </c>
    </row>
    <row r="73">
      <c r="A73" s="35" t="inlineStr">
        <is>
          <t>2026-06-28</t>
        </is>
      </c>
      <c r="B73" s="23" t="inlineStr">
        <is>
          <t>J</t>
        </is>
      </c>
      <c r="C73" s="23" t="inlineStr">
        <is>
          <t>Algeria</t>
        </is>
      </c>
      <c r="D73" s="23" t="inlineStr">
        <is>
          <t>Austria</t>
        </is>
      </c>
      <c r="E73" s="23" t="n">
        <v>3</v>
      </c>
      <c r="F73" s="23" t="n">
        <v>3</v>
      </c>
      <c r="G73" s="23" t="inlineStr">
        <is>
          <t>1-1</t>
        </is>
      </c>
      <c r="H73" s="23" t="n">
        <v>1</v>
      </c>
      <c r="I73" s="23" t="n">
        <v>1</v>
      </c>
      <c r="M73" s="26" t="n"/>
      <c r="Q73" s="26" t="n"/>
      <c r="S73" s="26" t="n"/>
      <c r="W73" s="26" t="n"/>
      <c r="X73" s="26" t="n"/>
      <c r="Y73" t="inlineStr">
        <is>
          <t>03:00</t>
        </is>
      </c>
      <c r="Z73" t="inlineStr">
        <is>
          <t>modelo_v13_janela_movel_3</t>
        </is>
      </c>
      <c r="AA73" t="n">
        <v>1.47</v>
      </c>
      <c r="AB73" t="n">
        <v>1.45</v>
      </c>
      <c r="AC73" t="n">
        <v>80.87</v>
      </c>
      <c r="AD73" t="n">
        <v>82.5</v>
      </c>
      <c r="AE73" t="inlineStr">
        <is>
          <t>Algeria 1-1 Austria | xG 1.47-1.45 | Forças 80.87-82.5 | Ataques 82.79-81.45 | Defesas 82.7-80.31</t>
        </is>
      </c>
      <c r="AF73" t="n">
        <v>1</v>
      </c>
      <c r="AG73" t="n">
        <v>1</v>
      </c>
    </row>
    <row r="74">
      <c r="A74" t="inlineStr">
        <is>
          <t>2026-06-28</t>
        </is>
      </c>
      <c r="B74" t="inlineStr">
        <is>
          <t>R32</t>
        </is>
      </c>
      <c r="C74" t="inlineStr">
        <is>
          <t>South Africa</t>
        </is>
      </c>
      <c r="D74" t="inlineStr">
        <is>
          <t>Canada</t>
        </is>
      </c>
      <c r="E74" t="n">
        <v>0</v>
      </c>
      <c r="F74" t="n">
        <v>1</v>
      </c>
      <c r="G74" t="inlineStr">
        <is>
          <t>1-2</t>
        </is>
      </c>
      <c r="H74" t="n">
        <v>1</v>
      </c>
      <c r="I74" t="n">
        <v>2</v>
      </c>
      <c r="Y74" t="inlineStr">
        <is>
          <t>20:00</t>
        </is>
      </c>
      <c r="Z74" t="inlineStr">
        <is>
          <t>modelo_v13_janela_movel_3</t>
        </is>
      </c>
      <c r="AA74" t="n">
        <v>1</v>
      </c>
      <c r="AB74" t="n">
        <v>2.19</v>
      </c>
      <c r="AC74" t="n">
        <v>73.26000000000001</v>
      </c>
      <c r="AD74" t="n">
        <v>79.18000000000001</v>
      </c>
      <c r="AE74" t="inlineStr">
        <is>
          <t>South Africa 1-2 Canada | xG 1.0-2.19 | Forças 73.26-79.18 | Ataques 66.76-76.54 | Defesas 66.76-78.23</t>
        </is>
      </c>
      <c r="AF74" t="n">
        <v>1</v>
      </c>
      <c r="AG74" t="n">
        <v>2</v>
      </c>
    </row>
    <row r="75">
      <c r="A75" t="inlineStr">
        <is>
          <t>2026-06-29</t>
        </is>
      </c>
      <c r="B75" t="inlineStr">
        <is>
          <t>R32</t>
        </is>
      </c>
      <c r="C75" t="inlineStr">
        <is>
          <t>Brazil</t>
        </is>
      </c>
      <c r="D75" t="inlineStr">
        <is>
          <t>Japan</t>
        </is>
      </c>
      <c r="E75" t="n">
        <v>2</v>
      </c>
      <c r="F75" t="n">
        <v>1</v>
      </c>
      <c r="G75" t="inlineStr">
        <is>
          <t>2-1</t>
        </is>
      </c>
      <c r="H75" t="n">
        <v>2</v>
      </c>
      <c r="I75" t="n">
        <v>1</v>
      </c>
      <c r="Y75" t="inlineStr">
        <is>
          <t>18:00</t>
        </is>
      </c>
      <c r="Z75" t="inlineStr">
        <is>
          <t>modelo_v13_janela_movel_3</t>
        </is>
      </c>
      <c r="AA75" t="n">
        <v>2.02</v>
      </c>
      <c r="AB75" t="n">
        <v>1.14</v>
      </c>
      <c r="AC75" t="n">
        <v>86.89</v>
      </c>
      <c r="AD75" t="n">
        <v>81.91</v>
      </c>
      <c r="AE75" t="inlineStr">
        <is>
          <t>Brazil 2-1 Japan | xG 2.02-1.14 | Forças 86.89-81.91 | Ataques 95.28-85.89 | Defesas 92.74-77.9</t>
        </is>
      </c>
      <c r="AF75" t="n">
        <v>2</v>
      </c>
      <c r="AG75" t="n">
        <v>1</v>
      </c>
    </row>
    <row r="76">
      <c r="A76" t="inlineStr">
        <is>
          <t>2026-06-29</t>
        </is>
      </c>
      <c r="B76" t="inlineStr">
        <is>
          <t>R32</t>
        </is>
      </c>
      <c r="C76" t="inlineStr">
        <is>
          <t>Germany</t>
        </is>
      </c>
      <c r="D76" t="inlineStr">
        <is>
          <t>Paraguay</t>
        </is>
      </c>
      <c r="E76" t="n">
        <v>1</v>
      </c>
      <c r="F76" t="n">
        <v>1</v>
      </c>
      <c r="G76" t="inlineStr">
        <is>
          <t>3-1</t>
        </is>
      </c>
      <c r="H76" t="n">
        <v>3</v>
      </c>
      <c r="I76" t="n">
        <v>1</v>
      </c>
      <c r="Y76" t="inlineStr">
        <is>
          <t>21:30</t>
        </is>
      </c>
      <c r="Z76" t="inlineStr">
        <is>
          <t>modelo_v13_janela_movel_3</t>
        </is>
      </c>
      <c r="AA76" t="n">
        <v>2.27</v>
      </c>
      <c r="AB76" t="n">
        <v>0.9</v>
      </c>
      <c r="AC76" t="n">
        <v>86.47</v>
      </c>
      <c r="AD76" t="n">
        <v>77.11</v>
      </c>
      <c r="AE76" t="inlineStr">
        <is>
          <t>Germany 3-1 Paraguay | xG 2.27-0.9 | Forças 86.47-77.11 | Ataques 92.22-78.32 | Defesas 90.27-69.19</t>
        </is>
      </c>
      <c r="AF76" t="n">
        <v>3</v>
      </c>
      <c r="AG76" t="n">
        <v>1</v>
      </c>
    </row>
    <row r="77">
      <c r="A77" t="inlineStr">
        <is>
          <t>2026-06-30</t>
        </is>
      </c>
      <c r="B77" t="inlineStr">
        <is>
          <t>R32</t>
        </is>
      </c>
      <c r="C77" t="inlineStr">
        <is>
          <t>Netherlands</t>
        </is>
      </c>
      <c r="D77" t="inlineStr">
        <is>
          <t>Morocco</t>
        </is>
      </c>
      <c r="E77" t="n">
        <v>1</v>
      </c>
      <c r="F77" t="n">
        <v>1</v>
      </c>
      <c r="G77" t="inlineStr">
        <is>
          <t>2-1</t>
        </is>
      </c>
      <c r="H77" t="n">
        <v>2</v>
      </c>
      <c r="I77" t="n">
        <v>1</v>
      </c>
      <c r="Y77" t="inlineStr">
        <is>
          <t>02:00</t>
        </is>
      </c>
      <c r="Z77" t="inlineStr">
        <is>
          <t>modelo_v13_janela_movel_3</t>
        </is>
      </c>
      <c r="AA77" t="n">
        <v>1.76</v>
      </c>
      <c r="AB77" t="n">
        <v>1.02</v>
      </c>
      <c r="AC77" t="n">
        <v>88.45999999999999</v>
      </c>
      <c r="AD77" t="n">
        <v>83.98</v>
      </c>
      <c r="AE77" t="inlineStr">
        <is>
          <t>Netherlands 2-1 Morocco | xG 1.76-1.02 | Forças 88.46-83.98 | Ataques 92.49-82.98 | Defesas 95.09-84.39</t>
        </is>
      </c>
      <c r="AF77" t="n">
        <v>2</v>
      </c>
      <c r="AG77" t="n">
        <v>1</v>
      </c>
    </row>
    <row r="78">
      <c r="A78" t="inlineStr">
        <is>
          <t>2026-06-30</t>
        </is>
      </c>
      <c r="B78" t="inlineStr">
        <is>
          <t>R32</t>
        </is>
      </c>
      <c r="C78" t="inlineStr">
        <is>
          <t>Ivory Coast</t>
        </is>
      </c>
      <c r="D78" t="inlineStr">
        <is>
          <t>Norway</t>
        </is>
      </c>
      <c r="E78" t="n">
        <v>1</v>
      </c>
      <c r="F78" t="n">
        <v>2</v>
      </c>
      <c r="G78" t="inlineStr">
        <is>
          <t>2-2</t>
        </is>
      </c>
      <c r="H78" t="n">
        <v>2</v>
      </c>
      <c r="I78" t="n">
        <v>2</v>
      </c>
      <c r="Y78" t="inlineStr">
        <is>
          <t>18:00</t>
        </is>
      </c>
      <c r="Z78" t="inlineStr">
        <is>
          <t>modelo_v13_janela_movel_3</t>
        </is>
      </c>
      <c r="AA78" t="n">
        <v>1.63</v>
      </c>
      <c r="AB78" t="n">
        <v>1.77</v>
      </c>
      <c r="AC78" t="n">
        <v>80.55</v>
      </c>
      <c r="AD78" t="n">
        <v>82.38</v>
      </c>
      <c r="AE78" t="inlineStr">
        <is>
          <t>Ivory Coast 2-2 Norway | xG 1.63-1.77 | Forças 80.55-82.38 | Ataques 91.86-89.51 | Defesas 78.6-83.05</t>
        </is>
      </c>
      <c r="AF78" t="n">
        <v>2</v>
      </c>
      <c r="AG78" t="n">
        <v>2</v>
      </c>
    </row>
    <row r="79">
      <c r="A79" t="inlineStr">
        <is>
          <t>2026-06-30</t>
        </is>
      </c>
      <c r="B79" t="inlineStr">
        <is>
          <t>R32</t>
        </is>
      </c>
      <c r="C79" t="inlineStr">
        <is>
          <t>France</t>
        </is>
      </c>
      <c r="D79" t="inlineStr">
        <is>
          <t>Sweden</t>
        </is>
      </c>
      <c r="E79" t="n">
        <v>3</v>
      </c>
      <c r="F79" t="n">
        <v>0</v>
      </c>
      <c r="G79" t="inlineStr">
        <is>
          <t>2-1</t>
        </is>
      </c>
      <c r="H79" t="n">
        <v>2</v>
      </c>
      <c r="I79" t="n">
        <v>1</v>
      </c>
      <c r="Y79" t="inlineStr">
        <is>
          <t>22:00</t>
        </is>
      </c>
      <c r="Z79" t="inlineStr">
        <is>
          <t>modelo_v13_janela_movel_3</t>
        </is>
      </c>
      <c r="AA79" t="n">
        <v>2.1</v>
      </c>
      <c r="AB79" t="n">
        <v>1.15</v>
      </c>
      <c r="AC79" t="n">
        <v>89.66</v>
      </c>
      <c r="AD79" t="n">
        <v>81.13</v>
      </c>
      <c r="AE79" t="inlineStr">
        <is>
          <t>France 2-1 Sweden | xG 2.1-1.15 | Forças 89.66-81.13 | Ataques 96.87-88.79 | Defesas 92.32-79.4</t>
        </is>
      </c>
      <c r="AF79" t="n">
        <v>2</v>
      </c>
      <c r="AG79" t="n">
        <v>1</v>
      </c>
    </row>
    <row r="80">
      <c r="A80" t="inlineStr">
        <is>
          <t>2026-07-01</t>
        </is>
      </c>
      <c r="B80" t="inlineStr">
        <is>
          <t>R32</t>
        </is>
      </c>
      <c r="C80" t="inlineStr">
        <is>
          <t>Mexico</t>
        </is>
      </c>
      <c r="D80" t="inlineStr">
        <is>
          <t>Ecuador</t>
        </is>
      </c>
      <c r="E80" t="n">
        <v>2</v>
      </c>
      <c r="F80" t="n">
        <v>0</v>
      </c>
      <c r="G80" t="inlineStr">
        <is>
          <t>2-2</t>
        </is>
      </c>
      <c r="H80" t="n">
        <v>2</v>
      </c>
      <c r="I80" t="n">
        <v>2</v>
      </c>
      <c r="Y80" t="inlineStr">
        <is>
          <t>02:00</t>
        </is>
      </c>
      <c r="Z80" t="inlineStr">
        <is>
          <t>modelo_v13_janela_movel_3</t>
        </is>
      </c>
      <c r="AA80" t="n">
        <v>1.95</v>
      </c>
      <c r="AB80" t="n">
        <v>1.4</v>
      </c>
      <c r="AC80" t="n">
        <v>81.7</v>
      </c>
      <c r="AD80" t="n">
        <v>79.68000000000001</v>
      </c>
      <c r="AE80" t="inlineStr">
        <is>
          <t>Mexico 2-2 Ecuador | xG 1.95-1.4 | Forças 81.7-79.68 | Ataques 81.09-78.0 | Defesas 77.64-76.94</t>
        </is>
      </c>
      <c r="AF80" t="n">
        <v>2</v>
      </c>
      <c r="AG80" t="n">
        <v>2</v>
      </c>
    </row>
    <row r="81">
      <c r="A81" t="inlineStr">
        <is>
          <t>2026-07-01</t>
        </is>
      </c>
      <c r="B81" t="inlineStr">
        <is>
          <t>R32</t>
        </is>
      </c>
      <c r="C81" t="inlineStr">
        <is>
          <t>England</t>
        </is>
      </c>
      <c r="D81" t="inlineStr">
        <is>
          <t>DR Congo</t>
        </is>
      </c>
      <c r="E81" t="n">
        <v>2</v>
      </c>
      <c r="F81" t="n">
        <v>1</v>
      </c>
      <c r="G81" t="inlineStr">
        <is>
          <t>3-1</t>
        </is>
      </c>
      <c r="H81" t="n">
        <v>3</v>
      </c>
      <c r="I81" t="n">
        <v>1</v>
      </c>
      <c r="Y81" t="inlineStr">
        <is>
          <t>17:00</t>
        </is>
      </c>
      <c r="Z81" t="inlineStr">
        <is>
          <t>modelo_v13_janela_movel_3</t>
        </is>
      </c>
      <c r="AA81" t="n">
        <v>2.71</v>
      </c>
      <c r="AB81" t="n">
        <v>0.71</v>
      </c>
      <c r="AC81" t="n">
        <v>89.54000000000001</v>
      </c>
      <c r="AD81" t="n">
        <v>76.88</v>
      </c>
      <c r="AE81" t="inlineStr">
        <is>
          <t>England 3-1 DR Congo | xG 2.71-0.71 | Forças 89.54-76.88 | Ataques 96.21-79.67 | Defesas 96.21-72.6</t>
        </is>
      </c>
      <c r="AF81" t="n">
        <v>3</v>
      </c>
      <c r="AG81" t="n">
        <v>1</v>
      </c>
    </row>
    <row r="82">
      <c r="A82" t="inlineStr">
        <is>
          <t>2026-07-01</t>
        </is>
      </c>
      <c r="B82" t="inlineStr">
        <is>
          <t>R32</t>
        </is>
      </c>
      <c r="C82" t="inlineStr">
        <is>
          <t>Belgium</t>
        </is>
      </c>
      <c r="D82" t="inlineStr">
        <is>
          <t>Senegal</t>
        </is>
      </c>
      <c r="E82" t="n">
        <v>3</v>
      </c>
      <c r="F82" t="n">
        <v>2</v>
      </c>
      <c r="G82" t="inlineStr">
        <is>
          <t>2-1</t>
        </is>
      </c>
      <c r="H82" t="n">
        <v>2</v>
      </c>
      <c r="I82" t="n">
        <v>1</v>
      </c>
      <c r="Y82" t="inlineStr">
        <is>
          <t>21:00</t>
        </is>
      </c>
      <c r="Z82" t="inlineStr">
        <is>
          <t>modelo_v13_janela_movel_3</t>
        </is>
      </c>
      <c r="AA82" t="n">
        <v>1.77</v>
      </c>
      <c r="AB82" t="n">
        <v>1.19</v>
      </c>
      <c r="AC82" t="n">
        <v>86.34</v>
      </c>
      <c r="AD82" t="n">
        <v>82.77</v>
      </c>
      <c r="AE82" t="inlineStr">
        <is>
          <t>Belgium 2-1 Senegal | xG 1.77-1.19 | Forças 86.34-82.77 | Ataques 94.92-83.67 | Defesas 89.85-85.72</t>
        </is>
      </c>
      <c r="AF82" t="n">
        <v>2</v>
      </c>
      <c r="AG82" t="n">
        <v>1</v>
      </c>
    </row>
    <row r="83">
      <c r="A83" t="inlineStr">
        <is>
          <t>2026-07-02</t>
        </is>
      </c>
      <c r="B83" t="inlineStr">
        <is>
          <t>R32</t>
        </is>
      </c>
      <c r="C83" t="inlineStr">
        <is>
          <t>United States</t>
        </is>
      </c>
      <c r="D83" t="inlineStr">
        <is>
          <t>Bosnia and Herzegovina</t>
        </is>
      </c>
      <c r="E83" t="n">
        <v>2</v>
      </c>
      <c r="F83" t="n">
        <v>0</v>
      </c>
      <c r="G83" t="inlineStr">
        <is>
          <t>2-1</t>
        </is>
      </c>
      <c r="H83" t="n">
        <v>2</v>
      </c>
      <c r="I83" t="n">
        <v>1</v>
      </c>
      <c r="Y83" t="inlineStr">
        <is>
          <t>01:00</t>
        </is>
      </c>
      <c r="Z83" t="inlineStr">
        <is>
          <t>modelo_v13_janela_movel_3</t>
        </is>
      </c>
      <c r="AA83" t="n">
        <v>2.34</v>
      </c>
      <c r="AB83" t="n">
        <v>1.09</v>
      </c>
      <c r="AC83" t="n">
        <v>83.48999999999999</v>
      </c>
      <c r="AD83" t="n">
        <v>74.95</v>
      </c>
      <c r="AE83" t="inlineStr">
        <is>
          <t>United States 2-1 Bosnia and Herzegovina | xG 2.34-1.09 | Forças 83.49-74.95 | Ataques 86.04-74.8 | Defesas 80.58-72.89</t>
        </is>
      </c>
      <c r="AF83" t="n">
        <v>2</v>
      </c>
      <c r="AG83" t="n">
        <v>1</v>
      </c>
    </row>
    <row r="84">
      <c r="A84" t="inlineStr">
        <is>
          <t>2026-07-02</t>
        </is>
      </c>
      <c r="B84" t="inlineStr">
        <is>
          <t>R32</t>
        </is>
      </c>
      <c r="C84" t="inlineStr">
        <is>
          <t>Spain</t>
        </is>
      </c>
      <c r="D84" t="inlineStr">
        <is>
          <t>Austria</t>
        </is>
      </c>
      <c r="E84" t="n">
        <v>3</v>
      </c>
      <c r="F84" t="n">
        <v>0</v>
      </c>
      <c r="G84" t="inlineStr">
        <is>
          <t>2-1</t>
        </is>
      </c>
      <c r="H84" t="n">
        <v>2</v>
      </c>
      <c r="I84" t="n">
        <v>1</v>
      </c>
      <c r="Y84" t="inlineStr">
        <is>
          <t>20:00</t>
        </is>
      </c>
      <c r="Z84" t="inlineStr">
        <is>
          <t>modelo_v13_janela_movel_3</t>
        </is>
      </c>
      <c r="AA84" t="n">
        <v>1.99</v>
      </c>
      <c r="AB84" t="n">
        <v>0.85</v>
      </c>
      <c r="AC84" t="n">
        <v>90.15000000000001</v>
      </c>
      <c r="AD84" t="n">
        <v>82.5</v>
      </c>
      <c r="AE84" t="inlineStr">
        <is>
          <t>Spain 2-1 Austria | xG 1.99-0.85 | Forças 90.15-82.5 | Ataques 94.33-81.45 | Defesas 96.93-80.31</t>
        </is>
      </c>
      <c r="AF84" t="n">
        <v>2</v>
      </c>
      <c r="AG84" t="n">
        <v>1</v>
      </c>
    </row>
    <row r="85">
      <c r="A85" t="inlineStr">
        <is>
          <t>2026-07-03</t>
        </is>
      </c>
      <c r="B85" t="inlineStr">
        <is>
          <t>R32</t>
        </is>
      </c>
      <c r="C85" t="inlineStr">
        <is>
          <t>Portugal</t>
        </is>
      </c>
      <c r="D85" t="inlineStr">
        <is>
          <t>Croatia</t>
        </is>
      </c>
      <c r="E85" t="n">
        <v>2</v>
      </c>
      <c r="F85" t="n">
        <v>1</v>
      </c>
      <c r="G85" t="inlineStr">
        <is>
          <t>2-1</t>
        </is>
      </c>
      <c r="H85" t="n">
        <v>2</v>
      </c>
      <c r="I85" t="n">
        <v>1</v>
      </c>
      <c r="Y85" t="inlineStr">
        <is>
          <t>00:00</t>
        </is>
      </c>
      <c r="Z85" t="inlineStr">
        <is>
          <t>modelo_v13_janela_movel_3</t>
        </is>
      </c>
      <c r="AA85" t="n">
        <v>1.96</v>
      </c>
      <c r="AB85" t="n">
        <v>1.08</v>
      </c>
      <c r="AC85" t="n">
        <v>88.15000000000001</v>
      </c>
      <c r="AD85" t="n">
        <v>83.2</v>
      </c>
      <c r="AE85" t="inlineStr">
        <is>
          <t>Portugal 2-1 Croatia | xG 1.96-1.08 | Forças 88.15-83.2 | Ataques 95.28-83.24 | Defesas 92.55-79.98</t>
        </is>
      </c>
      <c r="AF85" t="n">
        <v>2</v>
      </c>
      <c r="AG85" t="n">
        <v>1</v>
      </c>
    </row>
    <row r="86">
      <c r="A86" t="inlineStr">
        <is>
          <t>2026-07-03</t>
        </is>
      </c>
      <c r="B86" t="inlineStr">
        <is>
          <t>R32</t>
        </is>
      </c>
      <c r="C86" t="inlineStr">
        <is>
          <t>Switzerland</t>
        </is>
      </c>
      <c r="D86" t="inlineStr">
        <is>
          <t>Algeria</t>
        </is>
      </c>
      <c r="E86" t="n">
        <v>2</v>
      </c>
      <c r="F86" t="n">
        <v>0</v>
      </c>
      <c r="G86" t="inlineStr">
        <is>
          <t>1-1</t>
        </is>
      </c>
      <c r="H86" t="n">
        <v>1</v>
      </c>
      <c r="I86" t="n">
        <v>1</v>
      </c>
      <c r="Y86" t="inlineStr">
        <is>
          <t>04:00</t>
        </is>
      </c>
      <c r="Z86" t="inlineStr">
        <is>
          <t>modelo_v13_janela_movel_3</t>
        </is>
      </c>
      <c r="AA86" t="n">
        <v>1.37</v>
      </c>
      <c r="AB86" t="n">
        <v>1.27</v>
      </c>
      <c r="AC86" t="n">
        <v>82.09999999999999</v>
      </c>
      <c r="AD86" t="n">
        <v>80.87</v>
      </c>
      <c r="AE86" t="inlineStr">
        <is>
          <t>Switzerland 1-1 Algeria | xG 1.37-1.27 | Forças 82.1-80.87 | Ataques 78.79-82.79 | Defesas 88.03-82.7</t>
        </is>
      </c>
      <c r="AF86" t="n">
        <v>1</v>
      </c>
      <c r="AG86" t="n">
        <v>1</v>
      </c>
    </row>
    <row r="87">
      <c r="A87" t="inlineStr">
        <is>
          <t>2026-07-03</t>
        </is>
      </c>
      <c r="B87" t="inlineStr">
        <is>
          <t>R32</t>
        </is>
      </c>
      <c r="C87" t="inlineStr">
        <is>
          <t>Australia</t>
        </is>
      </c>
      <c r="D87" t="inlineStr">
        <is>
          <t>Egypt</t>
        </is>
      </c>
      <c r="E87" t="n">
        <v>1</v>
      </c>
      <c r="F87" t="n">
        <v>1</v>
      </c>
      <c r="G87" t="inlineStr">
        <is>
          <t>2-2</t>
        </is>
      </c>
      <c r="H87" t="n">
        <v>2</v>
      </c>
      <c r="I87" t="n">
        <v>2</v>
      </c>
      <c r="Y87" t="inlineStr">
        <is>
          <t>19:00</t>
        </is>
      </c>
      <c r="Z87" t="inlineStr">
        <is>
          <t>modelo_v13_janela_movel_3</t>
        </is>
      </c>
      <c r="AA87" t="n">
        <v>1.46</v>
      </c>
      <c r="AB87" t="n">
        <v>2.02</v>
      </c>
      <c r="AC87" t="n">
        <v>76.26000000000001</v>
      </c>
      <c r="AD87" t="n">
        <v>77.93000000000001</v>
      </c>
      <c r="AE87" t="inlineStr">
        <is>
          <t>Australia 2-2 Egypt | xG 1.46-2.02 | Forças 76.26-77.93 | Ataques 72.51-92.19 | Defesas 71.58-70.48</t>
        </is>
      </c>
      <c r="AF87" t="n">
        <v>2</v>
      </c>
      <c r="AG87" t="n">
        <v>2</v>
      </c>
    </row>
    <row r="88">
      <c r="A88" t="inlineStr">
        <is>
          <t>2026-07-03</t>
        </is>
      </c>
      <c r="B88" t="inlineStr">
        <is>
          <t>R32</t>
        </is>
      </c>
      <c r="C88" t="inlineStr">
        <is>
          <t>Argentina</t>
        </is>
      </c>
      <c r="D88" t="inlineStr">
        <is>
          <t>Cape Verde</t>
        </is>
      </c>
      <c r="E88" t="n">
        <v>3</v>
      </c>
      <c r="F88" t="n">
        <v>2</v>
      </c>
      <c r="G88" t="inlineStr">
        <is>
          <t>3-0</t>
        </is>
      </c>
      <c r="H88" t="n">
        <v>3</v>
      </c>
      <c r="I88" t="n">
        <v>0</v>
      </c>
      <c r="Y88" t="inlineStr">
        <is>
          <t>23:00</t>
        </is>
      </c>
      <c r="Z88" t="inlineStr">
        <is>
          <t>modelo_v13_janela_movel_3</t>
        </is>
      </c>
      <c r="AA88" t="n">
        <v>2.83</v>
      </c>
      <c r="AB88" t="n">
        <v>0.41</v>
      </c>
      <c r="AC88" t="n">
        <v>87.81</v>
      </c>
      <c r="AD88" t="n">
        <v>72.95999999999999</v>
      </c>
      <c r="AE88" t="inlineStr">
        <is>
          <t>Argentina 3-0 Cape Verde | xG 2.83-0.41 | Forças 87.81-72.96 | Ataques 94.35-65.89 | Defesas 91.69-68.42</t>
        </is>
      </c>
      <c r="AF88" t="n">
        <v>3</v>
      </c>
      <c r="AG88" t="n">
        <v>0</v>
      </c>
    </row>
    <row r="89">
      <c r="A89" t="inlineStr">
        <is>
          <t>2026-07-04</t>
        </is>
      </c>
      <c r="B89" t="inlineStr">
        <is>
          <t>R32</t>
        </is>
      </c>
      <c r="C89" t="inlineStr">
        <is>
          <t>Colombia</t>
        </is>
      </c>
      <c r="D89" t="inlineStr">
        <is>
          <t>Ghana</t>
        </is>
      </c>
      <c r="E89" t="n">
        <v>1</v>
      </c>
      <c r="F89" t="n">
        <v>0</v>
      </c>
      <c r="G89" t="inlineStr">
        <is>
          <t>2-2</t>
        </is>
      </c>
      <c r="H89" t="n">
        <v>2</v>
      </c>
      <c r="I89" t="n">
        <v>2</v>
      </c>
      <c r="Y89" t="inlineStr">
        <is>
          <t>02:30</t>
        </is>
      </c>
      <c r="Z89" t="inlineStr">
        <is>
          <t>modelo_v13_janela_movel_3</t>
        </is>
      </c>
      <c r="AA89" t="n">
        <v>1.91</v>
      </c>
      <c r="AB89" t="n">
        <v>1.4</v>
      </c>
      <c r="AC89" t="n">
        <v>81.83</v>
      </c>
      <c r="AD89" t="n">
        <v>75.04000000000001</v>
      </c>
      <c r="AE89" t="inlineStr">
        <is>
          <t>Colombia 2-2 Ghana | xG 1.91-1.4 | Forças 81.83-75.04 | Ataques 82.12-83.72 | Defesas 79.3-70.59</t>
        </is>
      </c>
      <c r="AF89" t="n">
        <v>2</v>
      </c>
      <c r="AG89" t="n">
        <v>2</v>
      </c>
    </row>
    <row r="90">
      <c r="A90" t="inlineStr">
        <is>
          <t>2026-07-04</t>
        </is>
      </c>
      <c r="B90" t="inlineStr">
        <is>
          <t>R16</t>
        </is>
      </c>
      <c r="C90" t="inlineStr">
        <is>
          <t>Canada</t>
        </is>
      </c>
      <c r="D90" t="inlineStr">
        <is>
          <t>Morocco</t>
        </is>
      </c>
      <c r="E90" t="n">
        <v>0</v>
      </c>
      <c r="F90" t="n">
        <v>3</v>
      </c>
      <c r="G90" t="inlineStr">
        <is>
          <t>2-2</t>
        </is>
      </c>
      <c r="H90" t="n">
        <v>2</v>
      </c>
      <c r="I90" t="n">
        <v>2</v>
      </c>
      <c r="Y90" t="inlineStr">
        <is>
          <t>18:00</t>
        </is>
      </c>
      <c r="Z90" t="inlineStr">
        <is>
          <t>modelo_v13_janela_movel_3</t>
        </is>
      </c>
      <c r="AA90" t="n">
        <v>1.47</v>
      </c>
      <c r="AB90" t="n">
        <v>1.68</v>
      </c>
      <c r="AC90" t="n">
        <v>79.18000000000001</v>
      </c>
      <c r="AD90" t="n">
        <v>83.98</v>
      </c>
      <c r="AE90" t="inlineStr">
        <is>
          <t>Canada 2-2 Morocco | xG 1.47-1.68 | Forças 79.18-83.98 | Ataques 76.54-82.98 | Defesas 78.23-84.39</t>
        </is>
      </c>
      <c r="AF90" t="n">
        <v>2</v>
      </c>
      <c r="AG90" t="n">
        <v>2</v>
      </c>
    </row>
    <row r="91">
      <c r="A91" t="inlineStr">
        <is>
          <t>2026-07-04</t>
        </is>
      </c>
      <c r="B91" t="inlineStr">
        <is>
          <t>R16</t>
        </is>
      </c>
      <c r="C91" t="inlineStr">
        <is>
          <t>Paraguay</t>
        </is>
      </c>
      <c r="D91" t="inlineStr">
        <is>
          <t>France</t>
        </is>
      </c>
      <c r="E91" t="n">
        <v>0</v>
      </c>
      <c r="F91" t="n">
        <v>1</v>
      </c>
      <c r="G91" t="inlineStr">
        <is>
          <t>1-3</t>
        </is>
      </c>
      <c r="H91" t="n">
        <v>1</v>
      </c>
      <c r="I91" t="n">
        <v>3</v>
      </c>
      <c r="Y91" t="inlineStr">
        <is>
          <t>22:00</t>
        </is>
      </c>
      <c r="Z91" t="inlineStr">
        <is>
          <t>modelo_v13_janela_movel_3</t>
        </is>
      </c>
      <c r="AA91" t="n">
        <v>0.77</v>
      </c>
      <c r="AB91" t="n">
        <v>2.82</v>
      </c>
      <c r="AC91" t="n">
        <v>77.11</v>
      </c>
      <c r="AD91" t="n">
        <v>89.66</v>
      </c>
      <c r="AE91" t="inlineStr">
        <is>
          <t>Paraguay 1-3 France | xG 0.77-2.82 | Forças 77.11-89.66 | Ataques 78.32-96.87 | Defesas 69.19-92.32</t>
        </is>
      </c>
      <c r="AF91" t="n">
        <v>1</v>
      </c>
      <c r="AG91" t="n">
        <v>3</v>
      </c>
    </row>
    <row r="92">
      <c r="A92" t="inlineStr">
        <is>
          <t>2026-07-05</t>
        </is>
      </c>
      <c r="B92" t="inlineStr">
        <is>
          <t>R16</t>
        </is>
      </c>
      <c r="C92" t="inlineStr">
        <is>
          <t>Brazil</t>
        </is>
      </c>
      <c r="D92" t="inlineStr">
        <is>
          <t>Norway</t>
        </is>
      </c>
      <c r="E92" t="n">
        <v>1</v>
      </c>
      <c r="F92" t="n">
        <v>2</v>
      </c>
      <c r="G92" t="inlineStr">
        <is>
          <t>2-1</t>
        </is>
      </c>
      <c r="H92" t="n">
        <v>2</v>
      </c>
      <c r="I92" t="n">
        <v>1</v>
      </c>
      <c r="Y92" t="inlineStr">
        <is>
          <t>21:00</t>
        </is>
      </c>
      <c r="Z92" t="inlineStr">
        <is>
          <t>modelo_v13_janela_movel_3</t>
        </is>
      </c>
      <c r="AA92" t="n">
        <v>1.87</v>
      </c>
      <c r="AB92" t="n">
        <v>1.25</v>
      </c>
      <c r="AC92" t="n">
        <v>86.89</v>
      </c>
      <c r="AD92" t="n">
        <v>82.38</v>
      </c>
      <c r="AE92" t="inlineStr">
        <is>
          <t>Brazil 2-1 Norway | xG 1.87-1.25 | Forças 86.89-82.38 | Ataques 95.28-89.51 | Defesas 92.74-83.05</t>
        </is>
      </c>
      <c r="AF92" t="n">
        <v>2</v>
      </c>
      <c r="AG92" t="n">
        <v>1</v>
      </c>
    </row>
    <row r="93">
      <c r="A93" t="inlineStr">
        <is>
          <t>2026-07-06</t>
        </is>
      </c>
      <c r="B93" t="inlineStr">
        <is>
          <t>R16</t>
        </is>
      </c>
      <c r="C93" t="inlineStr">
        <is>
          <t>Mexico</t>
        </is>
      </c>
      <c r="D93" t="inlineStr">
        <is>
          <t>England</t>
        </is>
      </c>
      <c r="E93" t="n">
        <v>2</v>
      </c>
      <c r="F93" t="n">
        <v>3</v>
      </c>
      <c r="G93" t="inlineStr">
        <is>
          <t>1-2</t>
        </is>
      </c>
      <c r="H93" t="n">
        <v>1</v>
      </c>
      <c r="I93" t="n">
        <v>2</v>
      </c>
      <c r="Y93" t="inlineStr">
        <is>
          <t>01:00</t>
        </is>
      </c>
      <c r="Z93" t="inlineStr">
        <is>
          <t>modelo_v13_janela_movel_3</t>
        </is>
      </c>
      <c r="AA93" t="n">
        <v>1.21</v>
      </c>
      <c r="AB93" t="n">
        <v>2.12</v>
      </c>
      <c r="AC93" t="n">
        <v>81.7</v>
      </c>
      <c r="AD93" t="n">
        <v>89.54000000000001</v>
      </c>
      <c r="AE93" t="inlineStr">
        <is>
          <t>Mexico 1-2 England | xG 1.21-2.12 | Forças 81.7-89.54 | Ataques 81.09-96.21 | Defesas 77.64-96.21</t>
        </is>
      </c>
      <c r="AF93" t="n">
        <v>1</v>
      </c>
      <c r="AG93" t="n">
        <v>2</v>
      </c>
    </row>
    <row r="94" ht="16" customHeight="1" s="25">
      <c r="A94" t="inlineStr">
        <is>
          <t>2026-07-06</t>
        </is>
      </c>
      <c r="B94" t="inlineStr">
        <is>
          <t>R16</t>
        </is>
      </c>
      <c r="C94" t="inlineStr">
        <is>
          <t>Portugal</t>
        </is>
      </c>
      <c r="D94" t="inlineStr">
        <is>
          <t>Spain</t>
        </is>
      </c>
      <c r="E94" t="n">
        <v>0</v>
      </c>
      <c r="F94" t="n">
        <v>1</v>
      </c>
      <c r="G94" t="inlineStr">
        <is>
          <t>1-1</t>
        </is>
      </c>
      <c r="H94" t="n">
        <v>1</v>
      </c>
      <c r="I94" t="n">
        <v>1</v>
      </c>
      <c r="Y94" t="inlineStr">
        <is>
          <t>20:00</t>
        </is>
      </c>
      <c r="Z94" t="inlineStr">
        <is>
          <t>modelo_v13_janela_movel_3</t>
        </is>
      </c>
      <c r="AA94" t="n">
        <v>1.35</v>
      </c>
      <c r="AB94" t="n">
        <v>1.54</v>
      </c>
      <c r="AC94" t="n">
        <v>88.15000000000001</v>
      </c>
      <c r="AD94" t="n">
        <v>90.15000000000001</v>
      </c>
      <c r="AE94" t="inlineStr">
        <is>
          <t>Portugal 1-1 Spain | xG 1.35-1.54 | Forças 88.15-90.15 | Ataques 95.28-94.33 | Defesas 92.55-96.93</t>
        </is>
      </c>
      <c r="AF94" t="n">
        <v>1</v>
      </c>
      <c r="AG94" t="n">
        <v>1</v>
      </c>
    </row>
    <row r="95">
      <c r="A95" t="inlineStr">
        <is>
          <t>2026-07-07</t>
        </is>
      </c>
      <c r="B95" t="inlineStr">
        <is>
          <t>R16</t>
        </is>
      </c>
      <c r="C95" t="inlineStr">
        <is>
          <t>United States</t>
        </is>
      </c>
      <c r="D95" t="inlineStr">
        <is>
          <t>Belgium</t>
        </is>
      </c>
      <c r="E95" t="n">
        <v>1</v>
      </c>
      <c r="F95" t="n">
        <v>4</v>
      </c>
      <c r="G95" t="inlineStr">
        <is>
          <t>2-2</t>
        </is>
      </c>
      <c r="H95" t="n">
        <v>2</v>
      </c>
      <c r="I95" t="n">
        <v>2</v>
      </c>
      <c r="Y95" t="inlineStr">
        <is>
          <t>01:00</t>
        </is>
      </c>
      <c r="Z95" t="inlineStr">
        <is>
          <t>modelo_v13_janela_movel_3</t>
        </is>
      </c>
      <c r="AA95" t="n">
        <v>1.62</v>
      </c>
      <c r="AB95" t="n">
        <v>1.89</v>
      </c>
      <c r="AC95" t="n">
        <v>83.48999999999999</v>
      </c>
      <c r="AD95" t="n">
        <v>86.34</v>
      </c>
      <c r="AE95" t="inlineStr">
        <is>
          <t>United States 2-2 Belgium | xG 1.62-1.89 | Forças 83.49-86.34 | Ataques 86.04-94.92 | Defesas 80.58-89.85</t>
        </is>
      </c>
      <c r="AF95" t="n">
        <v>2</v>
      </c>
      <c r="AG95" t="n">
        <v>2</v>
      </c>
    </row>
    <row r="96">
      <c r="A96" t="inlineStr">
        <is>
          <t>2026-07-07</t>
        </is>
      </c>
      <c r="B96" t="inlineStr">
        <is>
          <t>R16</t>
        </is>
      </c>
      <c r="C96" t="inlineStr">
        <is>
          <t>Argentina</t>
        </is>
      </c>
      <c r="D96" t="inlineStr">
        <is>
          <t>Egypt</t>
        </is>
      </c>
      <c r="E96" t="n">
        <v>3</v>
      </c>
      <c r="F96" t="n">
        <v>2</v>
      </c>
      <c r="G96" t="inlineStr">
        <is>
          <t>3-1</t>
        </is>
      </c>
      <c r="H96" t="n">
        <v>3</v>
      </c>
      <c r="I96" t="n">
        <v>1</v>
      </c>
      <c r="Y96" t="inlineStr">
        <is>
          <t>17:00</t>
        </is>
      </c>
      <c r="Z96" t="inlineStr">
        <is>
          <t>modelo_v13_janela_movel_3</t>
        </is>
      </c>
      <c r="AA96" t="n">
        <v>2.3</v>
      </c>
      <c r="AB96" t="n">
        <v>1.22</v>
      </c>
      <c r="AC96" t="n">
        <v>87.81</v>
      </c>
      <c r="AD96" t="n">
        <v>77.93000000000001</v>
      </c>
      <c r="AE96" t="inlineStr">
        <is>
          <t>Argentina 3-1 Egypt | xG 2.3-1.22 | Forças 87.81-77.93 | Ataques 94.35-92.19 | Defesas 91.69-70.48</t>
        </is>
      </c>
      <c r="AF96" t="n">
        <v>3</v>
      </c>
      <c r="AG96" t="n">
        <v>1</v>
      </c>
    </row>
    <row r="97">
      <c r="A97" t="inlineStr">
        <is>
          <t>2026-07-07</t>
        </is>
      </c>
      <c r="B97" t="inlineStr">
        <is>
          <t>R16</t>
        </is>
      </c>
      <c r="C97" t="inlineStr">
        <is>
          <t>Switzerland</t>
        </is>
      </c>
      <c r="D97" t="inlineStr">
        <is>
          <t>Colombia</t>
        </is>
      </c>
      <c r="E97" t="n">
        <v>0</v>
      </c>
      <c r="F97" t="n">
        <v>0</v>
      </c>
      <c r="G97" t="inlineStr">
        <is>
          <t>1-1</t>
        </is>
      </c>
      <c r="H97" t="n">
        <v>1</v>
      </c>
      <c r="I97" t="n">
        <v>1</v>
      </c>
      <c r="Y97" t="inlineStr">
        <is>
          <t>21:00</t>
        </is>
      </c>
      <c r="Z97" t="inlineStr">
        <is>
          <t>modelo_v13_janela_movel_3</t>
        </is>
      </c>
      <c r="AA97" t="n">
        <v>1.43</v>
      </c>
      <c r="AB97" t="n">
        <v>1.28</v>
      </c>
      <c r="AC97" t="n">
        <v>82.09999999999999</v>
      </c>
      <c r="AD97" t="n">
        <v>81.83</v>
      </c>
      <c r="AE97" t="inlineStr">
        <is>
          <t>Switzerland 1-1 Colombia | xG 1.43-1.28 | Forças 82.1-81.83 | Ataques 78.79-82.12 | Defesas 88.03-79.3</t>
        </is>
      </c>
      <c r="AF97" t="n">
        <v>1</v>
      </c>
      <c r="AG97" t="n">
        <v>1</v>
      </c>
    </row>
    <row r="98">
      <c r="A98" t="inlineStr">
        <is>
          <t>2026-07-09</t>
        </is>
      </c>
      <c r="B98" t="inlineStr">
        <is>
          <t>QF</t>
        </is>
      </c>
      <c r="C98" t="inlineStr">
        <is>
          <t>Morocco</t>
        </is>
      </c>
      <c r="D98" t="inlineStr">
        <is>
          <t>France</t>
        </is>
      </c>
      <c r="E98" t="n">
        <v>0</v>
      </c>
      <c r="F98" t="n">
        <v>2</v>
      </c>
      <c r="G98" t="inlineStr">
        <is>
          <t>1-2</t>
        </is>
      </c>
      <c r="H98" t="n">
        <v>1</v>
      </c>
      <c r="I98" t="n">
        <v>2</v>
      </c>
      <c r="Y98" t="inlineStr">
        <is>
          <t>21:00</t>
        </is>
      </c>
      <c r="Z98" t="inlineStr">
        <is>
          <t>modelo_v13_janela_movel_3</t>
        </is>
      </c>
      <c r="AA98" t="n">
        <v>1.06</v>
      </c>
      <c r="AB98" t="n">
        <v>1.91</v>
      </c>
      <c r="AC98" t="n">
        <v>83.98</v>
      </c>
      <c r="AD98" t="n">
        <v>89.66</v>
      </c>
      <c r="AE98" t="inlineStr">
        <is>
          <t>Morocco 1-2 France | xG 1.06-1.91 | Forças 83.98-89.66 | Ataques 82.98-96.87 | Defesas 84.39-92.32</t>
        </is>
      </c>
      <c r="AF98" t="n">
        <v>1</v>
      </c>
      <c r="AG98" t="n">
        <v>2</v>
      </c>
    </row>
    <row r="99">
      <c r="A99" t="inlineStr">
        <is>
          <t>2026-07-10</t>
        </is>
      </c>
      <c r="B99" t="inlineStr">
        <is>
          <t>QF</t>
        </is>
      </c>
      <c r="C99" t="inlineStr">
        <is>
          <t>Spain</t>
        </is>
      </c>
      <c r="D99" t="inlineStr">
        <is>
          <t>Belgium</t>
        </is>
      </c>
      <c r="E99" t="n">
        <v>2</v>
      </c>
      <c r="F99" t="n">
        <v>1</v>
      </c>
      <c r="G99" t="inlineStr">
        <is>
          <t>2-2</t>
        </is>
      </c>
      <c r="H99" t="n">
        <v>2</v>
      </c>
      <c r="I99" t="n">
        <v>2</v>
      </c>
      <c r="Y99" t="inlineStr">
        <is>
          <t>20:00</t>
        </is>
      </c>
      <c r="Z99" t="inlineStr">
        <is>
          <t>modelo_v13_janela_movel_3</t>
        </is>
      </c>
      <c r="AA99" t="n">
        <v>1.65</v>
      </c>
      <c r="AB99" t="n">
        <v>1.3</v>
      </c>
      <c r="AC99" t="n">
        <v>90.15000000000001</v>
      </c>
      <c r="AD99" t="n">
        <v>86.34</v>
      </c>
      <c r="AE99" t="inlineStr">
        <is>
          <t>Spain 2-2 Belgium | xG 1.65-1.3 | Forças 90.15-86.34 | Ataques 94.33-94.92 | Defesas 96.93-89.85</t>
        </is>
      </c>
      <c r="AF99" t="n">
        <v>2</v>
      </c>
      <c r="AG99" t="n">
        <v>2</v>
      </c>
    </row>
    <row r="100">
      <c r="A100" t="inlineStr">
        <is>
          <t>2026-07-11</t>
        </is>
      </c>
      <c r="B100" t="inlineStr">
        <is>
          <t>QF</t>
        </is>
      </c>
      <c r="C100" t="inlineStr">
        <is>
          <t>Norway</t>
        </is>
      </c>
      <c r="D100" t="inlineStr">
        <is>
          <t>England</t>
        </is>
      </c>
      <c r="E100" t="n">
        <v>1</v>
      </c>
      <c r="F100" t="n">
        <v>2</v>
      </c>
      <c r="G100" t="inlineStr">
        <is>
          <t>1-2</t>
        </is>
      </c>
      <c r="H100" t="n">
        <v>1</v>
      </c>
      <c r="I100" t="n">
        <v>2</v>
      </c>
      <c r="Y100" t="inlineStr">
        <is>
          <t>22:00</t>
        </is>
      </c>
      <c r="Z100" t="inlineStr">
        <is>
          <t>modelo_v13_janela_movel_3</t>
        </is>
      </c>
      <c r="AA100" t="n">
        <v>1.1</v>
      </c>
      <c r="AB100" t="n">
        <v>1.96</v>
      </c>
      <c r="AC100" t="n">
        <v>82.38</v>
      </c>
      <c r="AD100" t="n">
        <v>89.54000000000001</v>
      </c>
      <c r="AE100" t="inlineStr">
        <is>
          <t>Norway 1-2 England | xG 1.1-1.96 | Forças 82.38-89.54 | Ataques 89.51-96.21 | Defesas 83.05-96.21</t>
        </is>
      </c>
      <c r="AF100" t="n">
        <v>1</v>
      </c>
      <c r="AG100" t="n">
        <v>2</v>
      </c>
    </row>
    <row r="101">
      <c r="A101" t="inlineStr">
        <is>
          <t>2026-07-12</t>
        </is>
      </c>
      <c r="B101" t="inlineStr">
        <is>
          <t>QF</t>
        </is>
      </c>
      <c r="C101" t="inlineStr">
        <is>
          <t>Argentina</t>
        </is>
      </c>
      <c r="D101" t="inlineStr">
        <is>
          <t>Switzerland</t>
        </is>
      </c>
      <c r="E101" t="n">
        <v>3</v>
      </c>
      <c r="F101" t="n">
        <v>1</v>
      </c>
      <c r="G101" t="inlineStr">
        <is>
          <t>2-1</t>
        </is>
      </c>
      <c r="H101" t="n">
        <v>2</v>
      </c>
      <c r="I101" t="n">
        <v>1</v>
      </c>
      <c r="Y101" t="inlineStr">
        <is>
          <t>02:00</t>
        </is>
      </c>
      <c r="Z101" t="inlineStr">
        <is>
          <t>modelo_v13_janela_movel_3</t>
        </is>
      </c>
      <c r="AA101" t="n">
        <v>1.74</v>
      </c>
      <c r="AB101" t="n">
        <v>0.97</v>
      </c>
      <c r="AC101" t="n">
        <v>87.81</v>
      </c>
      <c r="AD101" t="n">
        <v>82.09999999999999</v>
      </c>
      <c r="AE101" t="inlineStr">
        <is>
          <t>Argentina 2-1 Switzerland | xG 1.74-0.97 | Forças 87.81-82.1 | Ataques 94.35-78.79 | Defesas 91.69-88.03</t>
        </is>
      </c>
      <c r="AF101" t="n">
        <v>2</v>
      </c>
      <c r="AG101" t="n">
        <v>1</v>
      </c>
    </row>
    <row r="102">
      <c r="A102" t="inlineStr">
        <is>
          <t>2026-07-14</t>
        </is>
      </c>
      <c r="B102" t="inlineStr">
        <is>
          <t>SF</t>
        </is>
      </c>
      <c r="C102" t="inlineStr">
        <is>
          <t>France</t>
        </is>
      </c>
      <c r="D102" t="inlineStr">
        <is>
          <t>Spain</t>
        </is>
      </c>
      <c r="E102" t="n">
        <v>0</v>
      </c>
      <c r="F102" t="n">
        <v>2</v>
      </c>
      <c r="G102" t="inlineStr">
        <is>
          <t>1-1</t>
        </is>
      </c>
      <c r="H102" t="n">
        <v>1</v>
      </c>
      <c r="I102" t="n">
        <v>1</v>
      </c>
      <c r="Y102" t="inlineStr">
        <is>
          <t>20:00</t>
        </is>
      </c>
      <c r="Z102" t="inlineStr">
        <is>
          <t>modelo_v13_janela_movel_3</t>
        </is>
      </c>
      <c r="AA102" t="n">
        <v>1.43</v>
      </c>
      <c r="AB102" t="n">
        <v>1.51</v>
      </c>
      <c r="AC102" t="n">
        <v>89.66</v>
      </c>
      <c r="AD102" t="n">
        <v>90.15000000000001</v>
      </c>
      <c r="AE102" t="inlineStr">
        <is>
          <t>France 1-1 Spain | xG 1.43-1.51 | Forças 89.66-90.15 | Ataques 96.87-94.33 | Defesas 92.32-96.93</t>
        </is>
      </c>
      <c r="AF102" t="n">
        <v>1</v>
      </c>
      <c r="AG102" t="n">
        <v>1</v>
      </c>
    </row>
    <row r="103">
      <c r="A103" t="inlineStr">
        <is>
          <t>2026-07-15</t>
        </is>
      </c>
      <c r="B103" t="inlineStr">
        <is>
          <t>SF</t>
        </is>
      </c>
      <c r="C103" t="inlineStr">
        <is>
          <t>England</t>
        </is>
      </c>
      <c r="D103" t="inlineStr">
        <is>
          <t>Argentina</t>
        </is>
      </c>
      <c r="E103" t="n">
        <v>1</v>
      </c>
      <c r="F103" t="n">
        <v>2</v>
      </c>
      <c r="G103" t="inlineStr">
        <is>
          <t>2-2</t>
        </is>
      </c>
      <c r="H103" t="n">
        <v>2</v>
      </c>
      <c r="I103" t="n">
        <v>2</v>
      </c>
      <c r="Y103" t="inlineStr">
        <is>
          <t>20:00</t>
        </is>
      </c>
      <c r="Z103" t="inlineStr">
        <is>
          <t>modelo_v13_janela_movel_3</t>
        </is>
      </c>
      <c r="AA103" t="n">
        <v>1.6</v>
      </c>
      <c r="AB103" t="n">
        <v>1.35</v>
      </c>
      <c r="AC103" t="n">
        <v>89.54000000000001</v>
      </c>
      <c r="AD103" t="n">
        <v>87.81</v>
      </c>
      <c r="AE103" t="inlineStr">
        <is>
          <t>England 2-2 Argentina | xG 1.6-1.35 | Forças 89.54-87.81 | Ataques 96.21-94.35 | Defesas 96.21-91.69</t>
        </is>
      </c>
      <c r="AF103" t="n">
        <v>2</v>
      </c>
      <c r="AG103" t="n">
        <v>2</v>
      </c>
    </row>
    <row r="104">
      <c r="A104" t="inlineStr">
        <is>
          <t>2026-07-18</t>
        </is>
      </c>
      <c r="B104" t="inlineStr">
        <is>
          <t>3P</t>
        </is>
      </c>
      <c r="C104" t="inlineStr">
        <is>
          <t>France</t>
        </is>
      </c>
      <c r="D104" t="inlineStr">
        <is>
          <t>England</t>
        </is>
      </c>
      <c r="E104" t="n">
        <v>4</v>
      </c>
      <c r="F104" t="n">
        <v>6</v>
      </c>
      <c r="G104" t="inlineStr">
        <is>
          <t>1-1</t>
        </is>
      </c>
      <c r="H104" t="n">
        <v>1</v>
      </c>
      <c r="I104" t="n">
        <v>1</v>
      </c>
      <c r="Y104" t="inlineStr">
        <is>
          <t>22:00</t>
        </is>
      </c>
      <c r="Z104" t="inlineStr">
        <is>
          <t>modelo_v13_janela_movel_3</t>
        </is>
      </c>
      <c r="AA104" t="n">
        <v>1.46</v>
      </c>
      <c r="AB104" t="n">
        <v>1.54</v>
      </c>
      <c r="AC104" t="n">
        <v>89.66</v>
      </c>
      <c r="AD104" t="n">
        <v>89.54000000000001</v>
      </c>
      <c r="AE104" t="inlineStr">
        <is>
          <t>France 1-1 England | xG 1.46-1.54 | Forças 89.66-89.54 | Ataques 96.87-96.21 | Defesas 92.32-96.21</t>
        </is>
      </c>
      <c r="AF104" t="n">
        <v>1</v>
      </c>
      <c r="AG104" t="n">
        <v>1</v>
      </c>
    </row>
    <row r="105">
      <c r="A105" t="inlineStr">
        <is>
          <t>2026-07-19</t>
        </is>
      </c>
      <c r="B105" t="inlineStr">
        <is>
          <t>FINAL</t>
        </is>
      </c>
      <c r="C105" t="inlineStr">
        <is>
          <t>Spain</t>
        </is>
      </c>
      <c r="D105" t="inlineStr">
        <is>
          <t>Argentina</t>
        </is>
      </c>
      <c r="E105" t="n">
        <v>1</v>
      </c>
      <c r="F105" t="n">
        <v>0</v>
      </c>
      <c r="G105" t="inlineStr">
        <is>
          <t>2-2</t>
        </is>
      </c>
      <c r="H105" t="n">
        <v>2</v>
      </c>
      <c r="I105" t="n">
        <v>2</v>
      </c>
      <c r="Y105" t="inlineStr">
        <is>
          <t>20:00</t>
        </is>
      </c>
      <c r="Z105" t="inlineStr">
        <is>
          <t>modelo_v13_janela_movel_3</t>
        </is>
      </c>
      <c r="AA105" t="n">
        <v>1.57</v>
      </c>
      <c r="AB105" t="n">
        <v>1.32</v>
      </c>
      <c r="AC105" t="n">
        <v>90.15000000000001</v>
      </c>
      <c r="AD105" t="n">
        <v>87.81</v>
      </c>
      <c r="AE105" t="inlineStr">
        <is>
          <t>Spain 2-2 Argentina | xG 1.57-1.32 | Forças 90.15-87.81 | Ataques 94.33-94.35 | Defesas 96.93-91.69</t>
        </is>
      </c>
      <c r="AF105" t="n">
        <v>2</v>
      </c>
      <c r="AG105" t="n">
        <v>2</v>
      </c>
    </row>
    <row r="141" ht="16" customHeight="1" s="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style="25" min="1" max="2"/>
    <col width="18" customWidth="1" style="25" min="2" max="2"/>
    <col width="22" customWidth="1" style="25" min="3" max="4"/>
    <col width="22" customWidth="1" style="25" min="4" max="4"/>
    <col width="14" customWidth="1" style="25" min="5" max="5"/>
    <col width="28" customWidth="1" style="25" min="6" max="6"/>
    <col width="10" customWidth="1" style="25" min="7" max="8"/>
    <col width="10" customWidth="1" style="25" min="8" max="8"/>
    <col width="28" customWidth="1" style="25" min="9" max="9"/>
    <col width="10" customWidth="1" style="25" min="10" max="11"/>
    <col width="10" customWidth="1" style="25" min="11" max="11"/>
    <col width="18" customWidth="1" style="25" min="12" max="12"/>
    <col width="12" customWidth="1" style="25" min="13" max="13"/>
    <col width="28" customWidth="1" style="25" min="14" max="14"/>
    <col width="20" customWidth="1" style="25" min="15" max="15"/>
    <col width="75" customWidth="1" style="25" min="16" max="16"/>
    <col width="22" customWidth="1" style="25" min="17" max="17"/>
  </cols>
  <sheetData>
    <row r="1">
      <c r="A1" s="32" t="inlineStr">
        <is>
          <t>Status</t>
        </is>
      </c>
      <c r="B1" s="32" t="inlineStr">
        <is>
          <t>game_id</t>
        </is>
      </c>
      <c r="C1" s="32" t="inlineStr">
        <is>
          <t>data_hora</t>
        </is>
      </c>
      <c r="D1" s="32" t="inlineStr">
        <is>
          <t>atualizacao_programada</t>
        </is>
      </c>
      <c r="E1" s="32" t="inlineStr">
        <is>
          <t>fase</t>
        </is>
      </c>
      <c r="F1" s="32" t="inlineStr">
        <is>
          <t>grupo</t>
        </is>
      </c>
      <c r="G1" s="32" t="inlineStr">
        <is>
          <t>equipa_a</t>
        </is>
      </c>
      <c r="H1" s="32" t="inlineStr">
        <is>
          <t>sigla_a</t>
        </is>
      </c>
      <c r="I1" s="32" t="inlineStr">
        <is>
          <t>golos_a</t>
        </is>
      </c>
      <c r="J1" s="32" t="inlineStr">
        <is>
          <t>equipa_b</t>
        </is>
      </c>
      <c r="K1" s="32" t="inlineStr">
        <is>
          <t>sigla_b</t>
        </is>
      </c>
      <c r="L1" s="32" t="inlineStr">
        <is>
          <t>golos_b</t>
        </is>
      </c>
      <c r="M1" s="32" t="inlineStr">
        <is>
          <t>estado</t>
        </is>
      </c>
      <c r="N1" s="32" t="inlineStr">
        <is>
          <t>resultado</t>
        </is>
      </c>
      <c r="O1" s="32" t="inlineStr">
        <is>
          <t>vencedor</t>
        </is>
      </c>
      <c r="P1" s="32" t="inlineStr">
        <is>
          <t>atualizado_pos_jogo</t>
        </is>
      </c>
      <c r="Q1" s="32" t="inlineStr">
        <is>
          <t>fonte</t>
        </is>
      </c>
      <c r="R1" s="32" t="inlineStr">
        <is>
          <t>ultima_atualizacao</t>
        </is>
      </c>
    </row>
    <row r="2">
      <c r="A2" s="33" t="inlineStr">
        <is>
          <t>Atualizado com Regra 2h15</t>
        </is>
      </c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  <c r="M2" s="33" t="n"/>
      <c r="N2" s="33" t="n"/>
      <c r="O2" s="33" t="n"/>
      <c r="P2" s="33" t="n"/>
      <c r="Q2" s="33" t="n"/>
      <c r="R2" s="33" t="n"/>
    </row>
    <row r="3">
      <c r="A3" s="33" t="inlineStr">
        <is>
          <t>Complete</t>
        </is>
      </c>
      <c r="B3" s="33" t="inlineStr">
        <is>
          <t>400021443</t>
        </is>
      </c>
      <c r="C3" s="33" t="inlineStr">
        <is>
          <t>2026-06-11 20:00</t>
        </is>
      </c>
      <c r="D3" s="33" t="inlineStr">
        <is>
          <t>2026-06-11 22:15</t>
        </is>
      </c>
      <c r="E3" s="33" t="inlineStr">
        <is>
          <t>First Stage</t>
        </is>
      </c>
      <c r="F3" s="33" t="inlineStr">
        <is>
          <t>Group A</t>
        </is>
      </c>
      <c r="G3" s="33" t="inlineStr">
        <is>
          <t>Mexico</t>
        </is>
      </c>
      <c r="H3" s="33" t="inlineStr">
        <is>
          <t>MEX</t>
        </is>
      </c>
      <c r="I3" s="33" t="n">
        <v>2</v>
      </c>
      <c r="J3" s="33" t="inlineStr">
        <is>
          <t>South Africa</t>
        </is>
      </c>
      <c r="K3" s="33" t="inlineStr">
        <is>
          <t>RSA</t>
        </is>
      </c>
      <c r="L3" s="33" t="n">
        <v>0</v>
      </c>
      <c r="M3" s="33" t="inlineStr">
        <is>
          <t>0</t>
        </is>
      </c>
      <c r="N3" s="33" t="inlineStr">
        <is>
          <t>2-0</t>
        </is>
      </c>
      <c r="O3" s="33" t="inlineStr">
        <is>
          <t>Mexico</t>
        </is>
      </c>
      <c r="P3" s="33" t="inlineStr">
        <is>
          <t>Sim</t>
        </is>
      </c>
      <c r="Q3" s="33" t="inlineStr">
        <is>
          <t>https://www.fifa.com/en/tournaments/mens/worldcup/canadamexicousa2026/scores-fixtures?country=PT&amp;wtw-filter=ALL</t>
        </is>
      </c>
      <c r="R3" s="33" t="inlineStr">
        <is>
          <t>2026-10-14 21:45:27</t>
        </is>
      </c>
    </row>
    <row r="4">
      <c r="A4" s="33" t="inlineStr">
        <is>
          <t>Complete</t>
        </is>
      </c>
      <c r="B4" s="33" t="inlineStr">
        <is>
          <t>400021441</t>
        </is>
      </c>
      <c r="C4" s="33" t="inlineStr">
        <is>
          <t>2026-06-12 03:00</t>
        </is>
      </c>
      <c r="D4" s="33" t="inlineStr">
        <is>
          <t>2026-06-12 05:15</t>
        </is>
      </c>
      <c r="E4" s="33" t="inlineStr">
        <is>
          <t>First Stage</t>
        </is>
      </c>
      <c r="F4" s="33" t="inlineStr">
        <is>
          <t>Group A</t>
        </is>
      </c>
      <c r="G4" s="33" t="inlineStr">
        <is>
          <t>Korea Republic</t>
        </is>
      </c>
      <c r="H4" s="33" t="inlineStr">
        <is>
          <t>KOR</t>
        </is>
      </c>
      <c r="I4" s="33" t="n">
        <v>2</v>
      </c>
      <c r="J4" s="33" t="inlineStr">
        <is>
          <t>Czechia</t>
        </is>
      </c>
      <c r="K4" s="33" t="inlineStr">
        <is>
          <t>CZE</t>
        </is>
      </c>
      <c r="L4" s="33" t="n">
        <v>1</v>
      </c>
      <c r="M4" s="33" t="inlineStr">
        <is>
          <t>0</t>
        </is>
      </c>
      <c r="N4" s="33" t="inlineStr">
        <is>
          <t>2-1</t>
        </is>
      </c>
      <c r="O4" s="33" t="inlineStr">
        <is>
          <t>Korea Republic</t>
        </is>
      </c>
      <c r="P4" s="33" t="inlineStr">
        <is>
          <t>Sim</t>
        </is>
      </c>
      <c r="Q4" s="33" t="inlineStr">
        <is>
          <t>https://www.fifa.com/en/tournaments/mens/worldcup/canadamexicousa2026/scores-fixtures?country=PT&amp;wtw-filter=ALL</t>
        </is>
      </c>
      <c r="R4" s="33" t="inlineStr">
        <is>
          <t>2026-10-14 21:45:27</t>
        </is>
      </c>
    </row>
    <row r="5">
      <c r="A5" s="33" t="inlineStr">
        <is>
          <t>Complete</t>
        </is>
      </c>
      <c r="B5" s="33" t="inlineStr">
        <is>
          <t>400021449</t>
        </is>
      </c>
      <c r="C5" s="33" t="inlineStr">
        <is>
          <t>2026-06-12 20:00</t>
        </is>
      </c>
      <c r="D5" s="33" t="inlineStr">
        <is>
          <t>2026-06-12 22:15</t>
        </is>
      </c>
      <c r="E5" s="33" t="inlineStr">
        <is>
          <t>First Stage</t>
        </is>
      </c>
      <c r="F5" s="33" t="inlineStr">
        <is>
          <t>Group B</t>
        </is>
      </c>
      <c r="G5" s="33" t="inlineStr">
        <is>
          <t>Canada</t>
        </is>
      </c>
      <c r="H5" s="33" t="inlineStr">
        <is>
          <t>CAN</t>
        </is>
      </c>
      <c r="I5" s="33" t="n">
        <v>1</v>
      </c>
      <c r="J5" s="33" t="inlineStr">
        <is>
          <t>Bosnia and Herzegovina</t>
        </is>
      </c>
      <c r="K5" s="33" t="inlineStr">
        <is>
          <t>BIH</t>
        </is>
      </c>
      <c r="L5" s="33" t="n">
        <v>1</v>
      </c>
      <c r="M5" s="33" t="inlineStr">
        <is>
          <t>0</t>
        </is>
      </c>
      <c r="N5" s="33" t="inlineStr">
        <is>
          <t>1-1</t>
        </is>
      </c>
      <c r="O5" s="33" t="inlineStr">
        <is>
          <t>Empate</t>
        </is>
      </c>
      <c r="P5" s="33" t="inlineStr">
        <is>
          <t>Sim</t>
        </is>
      </c>
      <c r="Q5" s="33" t="inlineStr">
        <is>
          <t>https://www.fifa.com/en/tournaments/mens/worldcup/canadamexicousa2026/scores-fixtures?country=PT&amp;wtw-filter=ALL</t>
        </is>
      </c>
      <c r="R5" s="33" t="inlineStr">
        <is>
          <t>2026-10-14 21:45:27</t>
        </is>
      </c>
    </row>
    <row r="6">
      <c r="A6" s="33" t="inlineStr">
        <is>
          <t>Complete</t>
        </is>
      </c>
      <c r="B6" s="33" t="inlineStr">
        <is>
          <t>400021458</t>
        </is>
      </c>
      <c r="C6" s="33" t="inlineStr">
        <is>
          <t>2026-06-13 02:00</t>
        </is>
      </c>
      <c r="D6" s="33" t="inlineStr">
        <is>
          <t>2026-06-13 04:15</t>
        </is>
      </c>
      <c r="E6" s="33" t="inlineStr">
        <is>
          <t>First Stage</t>
        </is>
      </c>
      <c r="F6" s="33" t="inlineStr">
        <is>
          <t>Group D</t>
        </is>
      </c>
      <c r="G6" s="33" t="inlineStr">
        <is>
          <t>USA</t>
        </is>
      </c>
      <c r="H6" s="33" t="inlineStr">
        <is>
          <t>USA</t>
        </is>
      </c>
      <c r="I6" s="33" t="n">
        <v>4</v>
      </c>
      <c r="J6" s="33" t="inlineStr">
        <is>
          <t>Paraguay</t>
        </is>
      </c>
      <c r="K6" s="33" t="inlineStr">
        <is>
          <t>PAR</t>
        </is>
      </c>
      <c r="L6" s="33" t="n">
        <v>1</v>
      </c>
      <c r="M6" s="33" t="inlineStr">
        <is>
          <t>0</t>
        </is>
      </c>
      <c r="N6" s="33" t="inlineStr">
        <is>
          <t>4-1</t>
        </is>
      </c>
      <c r="O6" s="33" t="inlineStr">
        <is>
          <t>USA</t>
        </is>
      </c>
      <c r="P6" s="33" t="inlineStr">
        <is>
          <t>Sim</t>
        </is>
      </c>
      <c r="Q6" s="33" t="inlineStr">
        <is>
          <t>https://www.fifa.com/en/tournaments/mens/worldcup/canadamexicousa2026/scores-fixtures?country=PT&amp;wtw-filter=ALL</t>
        </is>
      </c>
      <c r="R6" s="33" t="inlineStr">
        <is>
          <t>2026-10-14 21:45:27</t>
        </is>
      </c>
    </row>
    <row r="7">
      <c r="A7" s="33" t="inlineStr">
        <is>
          <t>Complete</t>
        </is>
      </c>
      <c r="B7" s="33" t="inlineStr">
        <is>
          <t>400021447</t>
        </is>
      </c>
      <c r="C7" s="33" t="inlineStr">
        <is>
          <t>2026-06-13 20:00</t>
        </is>
      </c>
      <c r="D7" s="33" t="inlineStr">
        <is>
          <t>2026-06-13 22:15</t>
        </is>
      </c>
      <c r="E7" s="33" t="inlineStr">
        <is>
          <t>First Stage</t>
        </is>
      </c>
      <c r="F7" s="33" t="inlineStr">
        <is>
          <t>Group B</t>
        </is>
      </c>
      <c r="G7" s="33" t="inlineStr">
        <is>
          <t>Qatar</t>
        </is>
      </c>
      <c r="H7" s="33" t="inlineStr">
        <is>
          <t>QAT</t>
        </is>
      </c>
      <c r="I7" s="33" t="n">
        <v>1</v>
      </c>
      <c r="J7" s="33" t="inlineStr">
        <is>
          <t>Switzerland</t>
        </is>
      </c>
      <c r="K7" s="33" t="inlineStr">
        <is>
          <t>SUI</t>
        </is>
      </c>
      <c r="L7" s="33" t="n">
        <v>1</v>
      </c>
      <c r="M7" s="33" t="inlineStr">
        <is>
          <t>0</t>
        </is>
      </c>
      <c r="N7" s="33" t="inlineStr">
        <is>
          <t>1-1</t>
        </is>
      </c>
      <c r="O7" s="33" t="inlineStr">
        <is>
          <t>Empate</t>
        </is>
      </c>
      <c r="P7" s="33" t="inlineStr">
        <is>
          <t>Sim</t>
        </is>
      </c>
      <c r="Q7" s="33" t="inlineStr">
        <is>
          <t>https://www.fifa.com/en/tournaments/mens/worldcup/canadamexicousa2026/scores-fixtures?country=PT&amp;wtw-filter=ALL</t>
        </is>
      </c>
      <c r="R7" s="33" t="inlineStr">
        <is>
          <t>2026-10-14 21:45:27</t>
        </is>
      </c>
    </row>
    <row r="8">
      <c r="A8" s="33" t="inlineStr">
        <is>
          <t>Complete</t>
        </is>
      </c>
      <c r="B8" s="33" t="inlineStr">
        <is>
          <t>400021456</t>
        </is>
      </c>
      <c r="C8" s="33" t="inlineStr">
        <is>
          <t>2026-06-13 23:00</t>
        </is>
      </c>
      <c r="D8" s="33" t="inlineStr">
        <is>
          <t>2026-06-14 01:15</t>
        </is>
      </c>
      <c r="E8" s="33" t="inlineStr">
        <is>
          <t>First Stage</t>
        </is>
      </c>
      <c r="F8" s="33" t="inlineStr">
        <is>
          <t>Group C</t>
        </is>
      </c>
      <c r="G8" s="33" t="inlineStr">
        <is>
          <t>Brazil</t>
        </is>
      </c>
      <c r="H8" s="33" t="inlineStr">
        <is>
          <t>BRA</t>
        </is>
      </c>
      <c r="I8" s="33" t="n">
        <v>1</v>
      </c>
      <c r="J8" s="33" t="inlineStr">
        <is>
          <t>Morocco</t>
        </is>
      </c>
      <c r="K8" s="33" t="inlineStr">
        <is>
          <t>MAR</t>
        </is>
      </c>
      <c r="L8" s="33" t="n">
        <v>1</v>
      </c>
      <c r="M8" s="33" t="inlineStr">
        <is>
          <t>0</t>
        </is>
      </c>
      <c r="N8" s="33" t="inlineStr">
        <is>
          <t>1-1</t>
        </is>
      </c>
      <c r="O8" s="33" t="inlineStr">
        <is>
          <t>Empate</t>
        </is>
      </c>
      <c r="P8" s="33" t="inlineStr">
        <is>
          <t>Sim</t>
        </is>
      </c>
      <c r="Q8" s="33" t="inlineStr">
        <is>
          <t>https://www.fifa.com/en/tournaments/mens/worldcup/canadamexicousa2026/scores-fixtures?country=PT&amp;wtw-filter=ALL</t>
        </is>
      </c>
      <c r="R8" s="33" t="inlineStr">
        <is>
          <t>2026-10-14 21:45:27</t>
        </is>
      </c>
    </row>
    <row r="9">
      <c r="A9" s="33" t="inlineStr">
        <is>
          <t>Complete</t>
        </is>
      </c>
      <c r="B9" s="33" t="inlineStr">
        <is>
          <t>400021453</t>
        </is>
      </c>
      <c r="C9" s="33" t="inlineStr">
        <is>
          <t>2026-06-14 02:00</t>
        </is>
      </c>
      <c r="D9" s="33" t="inlineStr">
        <is>
          <t>2026-06-14 04:15</t>
        </is>
      </c>
      <c r="E9" s="33" t="inlineStr">
        <is>
          <t>First Stage</t>
        </is>
      </c>
      <c r="F9" s="33" t="inlineStr">
        <is>
          <t>Group C</t>
        </is>
      </c>
      <c r="G9" s="33" t="inlineStr">
        <is>
          <t>Haiti</t>
        </is>
      </c>
      <c r="H9" s="33" t="inlineStr">
        <is>
          <t>HAI</t>
        </is>
      </c>
      <c r="I9" s="33" t="n">
        <v>0</v>
      </c>
      <c r="J9" s="33" t="inlineStr">
        <is>
          <t>Scotland</t>
        </is>
      </c>
      <c r="K9" s="33" t="inlineStr">
        <is>
          <t>SCO</t>
        </is>
      </c>
      <c r="L9" s="33" t="n">
        <v>1</v>
      </c>
      <c r="M9" s="33" t="inlineStr">
        <is>
          <t>0</t>
        </is>
      </c>
      <c r="N9" s="33" t="inlineStr">
        <is>
          <t>0-1</t>
        </is>
      </c>
      <c r="O9" s="33" t="inlineStr">
        <is>
          <t>Scotland</t>
        </is>
      </c>
      <c r="P9" s="33" t="inlineStr">
        <is>
          <t>Sim</t>
        </is>
      </c>
      <c r="Q9" s="33" t="inlineStr">
        <is>
          <t>https://www.fifa.com/en/tournaments/mens/worldcup/canadamexicousa2026/scores-fixtures?country=PT&amp;wtw-filter=ALL</t>
        </is>
      </c>
      <c r="R9" s="33" t="inlineStr">
        <is>
          <t>2026-10-14 21:45:27</t>
        </is>
      </c>
    </row>
    <row r="10">
      <c r="A10" s="33" t="inlineStr">
        <is>
          <t>Complete</t>
        </is>
      </c>
      <c r="B10" s="33" t="inlineStr">
        <is>
          <t>400021463</t>
        </is>
      </c>
      <c r="C10" s="33" t="inlineStr">
        <is>
          <t>2026-06-14 05:00</t>
        </is>
      </c>
      <c r="D10" s="33" t="inlineStr">
        <is>
          <t>2026-06-14 07:15</t>
        </is>
      </c>
      <c r="E10" s="33" t="inlineStr">
        <is>
          <t>First Stage</t>
        </is>
      </c>
      <c r="F10" s="33" t="inlineStr">
        <is>
          <t>Group D</t>
        </is>
      </c>
      <c r="G10" s="33" t="inlineStr">
        <is>
          <t>Australia</t>
        </is>
      </c>
      <c r="H10" s="33" t="inlineStr">
        <is>
          <t>AUS</t>
        </is>
      </c>
      <c r="I10" s="33" t="n">
        <v>2</v>
      </c>
      <c r="J10" s="33" t="inlineStr">
        <is>
          <t>Türkiye</t>
        </is>
      </c>
      <c r="K10" s="33" t="inlineStr">
        <is>
          <t>TUR</t>
        </is>
      </c>
      <c r="L10" s="33" t="n">
        <v>0</v>
      </c>
      <c r="M10" s="33" t="inlineStr">
        <is>
          <t>0</t>
        </is>
      </c>
      <c r="N10" s="33" t="inlineStr">
        <is>
          <t>2-0</t>
        </is>
      </c>
      <c r="O10" s="33" t="inlineStr">
        <is>
          <t>Australia</t>
        </is>
      </c>
      <c r="P10" s="33" t="inlineStr">
        <is>
          <t>Sim</t>
        </is>
      </c>
      <c r="Q10" s="33" t="inlineStr">
        <is>
          <t>https://www.fifa.com/en/tournaments/mens/worldcup/canadamexicousa2026/scores-fixtures?country=PT&amp;wtw-filter=ALL</t>
        </is>
      </c>
      <c r="R10" s="33" t="inlineStr">
        <is>
          <t>2026-10-14 21:45:27</t>
        </is>
      </c>
    </row>
    <row r="11">
      <c r="A11" s="33" t="inlineStr">
        <is>
          <t>Complete</t>
        </is>
      </c>
      <c r="B11" s="33" t="inlineStr">
        <is>
          <t>400021464</t>
        </is>
      </c>
      <c r="C11" s="33" t="inlineStr">
        <is>
          <t>2026-06-14 18:00</t>
        </is>
      </c>
      <c r="D11" s="33" t="inlineStr">
        <is>
          <t>2026-06-14 20:15</t>
        </is>
      </c>
      <c r="E11" s="33" t="inlineStr">
        <is>
          <t>First Stage</t>
        </is>
      </c>
      <c r="F11" s="33" t="inlineStr">
        <is>
          <t>Group E</t>
        </is>
      </c>
      <c r="G11" s="33" t="inlineStr">
        <is>
          <t>Germany</t>
        </is>
      </c>
      <c r="H11" s="33" t="inlineStr">
        <is>
          <t>GER</t>
        </is>
      </c>
      <c r="I11" s="33" t="n">
        <v>7</v>
      </c>
      <c r="J11" s="33" t="inlineStr">
        <is>
          <t>Curaçao</t>
        </is>
      </c>
      <c r="K11" s="33" t="inlineStr">
        <is>
          <t>CUW</t>
        </is>
      </c>
      <c r="L11" s="33" t="n">
        <v>1</v>
      </c>
      <c r="M11" s="33" t="inlineStr">
        <is>
          <t>0</t>
        </is>
      </c>
      <c r="N11" s="33" t="inlineStr">
        <is>
          <t>7-1</t>
        </is>
      </c>
      <c r="O11" s="33" t="inlineStr">
        <is>
          <t>Germany</t>
        </is>
      </c>
      <c r="P11" s="33" t="inlineStr">
        <is>
          <t>Sim</t>
        </is>
      </c>
      <c r="Q11" s="33" t="inlineStr">
        <is>
          <t>https://www.fifa.com/en/tournaments/mens/worldcup/canadamexicousa2026/scores-fixtures?country=PT&amp;wtw-filter=ALL</t>
        </is>
      </c>
      <c r="R11" s="33" t="inlineStr">
        <is>
          <t>2026-10-14 21:45:27</t>
        </is>
      </c>
    </row>
    <row r="12">
      <c r="A12" s="33" t="inlineStr">
        <is>
          <t>Complete</t>
        </is>
      </c>
      <c r="B12" s="33" t="inlineStr">
        <is>
          <t>400021470</t>
        </is>
      </c>
      <c r="C12" s="33" t="inlineStr">
        <is>
          <t>2026-06-14 21:00</t>
        </is>
      </c>
      <c r="D12" s="33" t="inlineStr">
        <is>
          <t>2026-06-14 23:15</t>
        </is>
      </c>
      <c r="E12" s="33" t="inlineStr">
        <is>
          <t>First Stage</t>
        </is>
      </c>
      <c r="F12" s="33" t="inlineStr">
        <is>
          <t>Group F</t>
        </is>
      </c>
      <c r="G12" s="33" t="inlineStr">
        <is>
          <t>Netherlands</t>
        </is>
      </c>
      <c r="H12" s="33" t="inlineStr">
        <is>
          <t>NED</t>
        </is>
      </c>
      <c r="I12" s="33" t="n">
        <v>2</v>
      </c>
      <c r="J12" s="33" t="inlineStr">
        <is>
          <t>Japan</t>
        </is>
      </c>
      <c r="K12" s="33" t="inlineStr">
        <is>
          <t>JPN</t>
        </is>
      </c>
      <c r="L12" s="33" t="n">
        <v>2</v>
      </c>
      <c r="M12" s="33" t="inlineStr">
        <is>
          <t>0</t>
        </is>
      </c>
      <c r="N12" s="33" t="inlineStr">
        <is>
          <t>2-2</t>
        </is>
      </c>
      <c r="O12" s="33" t="inlineStr">
        <is>
          <t>Empate</t>
        </is>
      </c>
      <c r="P12" s="33" t="inlineStr">
        <is>
          <t>Sim</t>
        </is>
      </c>
      <c r="Q12" s="33" t="inlineStr">
        <is>
          <t>https://www.fifa.com/en/tournaments/mens/worldcup/canadamexicousa2026/scores-fixtures?country=PT&amp;wtw-filter=ALL</t>
        </is>
      </c>
      <c r="R12" s="33" t="inlineStr">
        <is>
          <t>2026-10-14 21:45:27</t>
        </is>
      </c>
    </row>
    <row r="13">
      <c r="A13" s="33" t="inlineStr">
        <is>
          <t>Complete</t>
        </is>
      </c>
      <c r="B13" s="33" t="inlineStr">
        <is>
          <t>400021467</t>
        </is>
      </c>
      <c r="C13" s="33" t="inlineStr">
        <is>
          <t>2026-06-15 00:00</t>
        </is>
      </c>
      <c r="D13" s="33" t="inlineStr">
        <is>
          <t>2026-06-15 02:15</t>
        </is>
      </c>
      <c r="E13" s="33" t="inlineStr">
        <is>
          <t>First Stage</t>
        </is>
      </c>
      <c r="F13" s="33" t="inlineStr">
        <is>
          <t>Group E</t>
        </is>
      </c>
      <c r="G13" s="33" t="inlineStr">
        <is>
          <t>Côte d'Ivoire</t>
        </is>
      </c>
      <c r="H13" s="33" t="inlineStr">
        <is>
          <t>CIV</t>
        </is>
      </c>
      <c r="I13" s="33" t="n">
        <v>1</v>
      </c>
      <c r="J13" s="33" t="inlineStr">
        <is>
          <t>Ecuador</t>
        </is>
      </c>
      <c r="K13" s="33" t="inlineStr">
        <is>
          <t>ECU</t>
        </is>
      </c>
      <c r="L13" s="33" t="n">
        <v>0</v>
      </c>
      <c r="M13" s="33" t="inlineStr">
        <is>
          <t>0</t>
        </is>
      </c>
      <c r="N13" s="33" t="inlineStr">
        <is>
          <t>1-0</t>
        </is>
      </c>
      <c r="O13" s="33" t="inlineStr">
        <is>
          <t>Côte d'Ivoire</t>
        </is>
      </c>
      <c r="P13" s="33" t="inlineStr">
        <is>
          <t>Sim</t>
        </is>
      </c>
      <c r="Q13" s="33" t="inlineStr">
        <is>
          <t>https://www.fifa.com/en/tournaments/mens/worldcup/canadamexicousa2026/scores-fixtures?country=PT&amp;wtw-filter=ALL</t>
        </is>
      </c>
      <c r="R13" s="33" t="inlineStr">
        <is>
          <t>2026-10-14 21:45:27</t>
        </is>
      </c>
    </row>
    <row r="14">
      <c r="A14" s="33" t="inlineStr">
        <is>
          <t>Complete</t>
        </is>
      </c>
      <c r="B14" s="33" t="inlineStr">
        <is>
          <t>400021474</t>
        </is>
      </c>
      <c r="C14" s="33" t="inlineStr">
        <is>
          <t>2026-06-15 03:00</t>
        </is>
      </c>
      <c r="D14" s="33" t="inlineStr">
        <is>
          <t>2026-06-15 05:15</t>
        </is>
      </c>
      <c r="E14" s="33" t="inlineStr">
        <is>
          <t>First Stage</t>
        </is>
      </c>
      <c r="F14" s="33" t="inlineStr">
        <is>
          <t>Group F</t>
        </is>
      </c>
      <c r="G14" s="33" t="inlineStr">
        <is>
          <t>Sweden</t>
        </is>
      </c>
      <c r="H14" s="33" t="inlineStr">
        <is>
          <t>SWE</t>
        </is>
      </c>
      <c r="I14" s="33" t="n">
        <v>5</v>
      </c>
      <c r="J14" s="33" t="inlineStr">
        <is>
          <t>Tunisia</t>
        </is>
      </c>
      <c r="K14" s="33" t="inlineStr">
        <is>
          <t>TUN</t>
        </is>
      </c>
      <c r="L14" s="33" t="n">
        <v>1</v>
      </c>
      <c r="M14" s="33" t="inlineStr">
        <is>
          <t>0</t>
        </is>
      </c>
      <c r="N14" s="33" t="inlineStr">
        <is>
          <t>5-1</t>
        </is>
      </c>
      <c r="O14" s="33" t="inlineStr">
        <is>
          <t>Sweden</t>
        </is>
      </c>
      <c r="P14" s="33" t="inlineStr">
        <is>
          <t>Sim</t>
        </is>
      </c>
      <c r="Q14" s="33" t="inlineStr">
        <is>
          <t>https://www.fifa.com/en/tournaments/mens/worldcup/canadamexicousa2026/scores-fixtures?country=PT&amp;wtw-filter=ALL</t>
        </is>
      </c>
      <c r="R14" s="33" t="inlineStr">
        <is>
          <t>2026-10-14 21:45:27</t>
        </is>
      </c>
    </row>
    <row r="15">
      <c r="A15" s="33" t="n"/>
      <c r="B15" s="33" t="inlineStr">
        <is>
          <t>400021482</t>
        </is>
      </c>
      <c r="C15" s="33" t="inlineStr">
        <is>
          <t>2026-06-15 17:00</t>
        </is>
      </c>
      <c r="D15" s="33" t="inlineStr">
        <is>
          <t>2026-06-15 19:15</t>
        </is>
      </c>
      <c r="E15" s="33" t="inlineStr">
        <is>
          <t>First Stage</t>
        </is>
      </c>
      <c r="F15" s="33" t="inlineStr">
        <is>
          <t>Group H</t>
        </is>
      </c>
      <c r="G15" s="33" t="inlineStr">
        <is>
          <t>Spain</t>
        </is>
      </c>
      <c r="H15" s="33" t="inlineStr">
        <is>
          <t>ESP</t>
        </is>
      </c>
      <c r="I15" s="33" t="n">
        <v>0</v>
      </c>
      <c r="J15" s="33" t="inlineStr">
        <is>
          <t>Cabo Verde</t>
        </is>
      </c>
      <c r="K15" s="33" t="inlineStr">
        <is>
          <t>CPV</t>
        </is>
      </c>
      <c r="L15" s="33" t="n">
        <v>0</v>
      </c>
      <c r="M15" s="33" t="inlineStr">
        <is>
          <t>0</t>
        </is>
      </c>
      <c r="N15" s="33" t="inlineStr">
        <is>
          <t>0-0</t>
        </is>
      </c>
      <c r="O15" s="33" t="inlineStr">
        <is>
          <t>Empate</t>
        </is>
      </c>
      <c r="P15" s="33" t="inlineStr">
        <is>
          <t>Sim</t>
        </is>
      </c>
      <c r="Q15" s="33" t="inlineStr">
        <is>
          <t>https://www.fifa.com/en/tournaments/mens/worldcup/canadamexicousa2026/scores-fixtures?country=PT&amp;wtw-filter=ALL</t>
        </is>
      </c>
      <c r="R15" s="33" t="inlineStr">
        <is>
          <t>2026-10-14 21:45:27</t>
        </is>
      </c>
    </row>
    <row r="16">
      <c r="A16" s="33" t="inlineStr">
        <is>
          <t>Complete</t>
        </is>
      </c>
      <c r="B16" s="33" t="inlineStr">
        <is>
          <t>400021478</t>
        </is>
      </c>
      <c r="C16" s="33" t="inlineStr">
        <is>
          <t>2026-06-15 20:00</t>
        </is>
      </c>
      <c r="D16" s="33" t="inlineStr">
        <is>
          <t>2026-06-15 22:15</t>
        </is>
      </c>
      <c r="E16" s="33" t="inlineStr">
        <is>
          <t>First Stage</t>
        </is>
      </c>
      <c r="F16" s="33" t="inlineStr">
        <is>
          <t>Group G</t>
        </is>
      </c>
      <c r="G16" s="33" t="inlineStr">
        <is>
          <t>Belgium</t>
        </is>
      </c>
      <c r="H16" s="33" t="inlineStr">
        <is>
          <t>BEL</t>
        </is>
      </c>
      <c r="I16" s="33" t="n">
        <v>1</v>
      </c>
      <c r="J16" s="33" t="inlineStr">
        <is>
          <t>Egypt</t>
        </is>
      </c>
      <c r="K16" s="33" t="inlineStr">
        <is>
          <t>EGY</t>
        </is>
      </c>
      <c r="L16" s="33" t="n">
        <v>1</v>
      </c>
      <c r="M16" s="33" t="inlineStr">
        <is>
          <t>0</t>
        </is>
      </c>
      <c r="N16" s="33" t="inlineStr">
        <is>
          <t>1-1</t>
        </is>
      </c>
      <c r="O16" s="33" t="inlineStr">
        <is>
          <t>Empate</t>
        </is>
      </c>
      <c r="P16" s="33" t="inlineStr">
        <is>
          <t>Sim</t>
        </is>
      </c>
      <c r="Q16" s="33" t="inlineStr">
        <is>
          <t>https://www.fifa.com/en/tournaments/mens/worldcup/canadamexicousa2026/scores-fixtures?country=PT&amp;wtw-filter=ALL</t>
        </is>
      </c>
      <c r="R16" s="33" t="inlineStr">
        <is>
          <t>2026-10-14 21:45:27</t>
        </is>
      </c>
    </row>
    <row r="17">
      <c r="A17" s="33" t="inlineStr">
        <is>
          <t>Complete</t>
        </is>
      </c>
      <c r="B17" s="33" t="inlineStr">
        <is>
          <t>400021486</t>
        </is>
      </c>
      <c r="C17" s="33" t="inlineStr">
        <is>
          <t>2026-06-15 23:00</t>
        </is>
      </c>
      <c r="D17" s="33" t="inlineStr">
        <is>
          <t>2026-06-16 01:15</t>
        </is>
      </c>
      <c r="E17" s="33" t="inlineStr">
        <is>
          <t>First Stage</t>
        </is>
      </c>
      <c r="F17" s="33" t="inlineStr">
        <is>
          <t>Group H</t>
        </is>
      </c>
      <c r="G17" s="33" t="inlineStr">
        <is>
          <t>Saudi Arabia</t>
        </is>
      </c>
      <c r="H17" s="33" t="inlineStr">
        <is>
          <t>KSA</t>
        </is>
      </c>
      <c r="I17" s="33" t="n">
        <v>1</v>
      </c>
      <c r="J17" s="33" t="inlineStr">
        <is>
          <t>Uruguay</t>
        </is>
      </c>
      <c r="K17" s="33" t="inlineStr">
        <is>
          <t>URU</t>
        </is>
      </c>
      <c r="L17" s="33" t="n">
        <v>1</v>
      </c>
      <c r="M17" s="33" t="inlineStr">
        <is>
          <t>0</t>
        </is>
      </c>
      <c r="N17" s="33" t="inlineStr">
        <is>
          <t>1-1</t>
        </is>
      </c>
      <c r="O17" s="33" t="inlineStr">
        <is>
          <t>Empate</t>
        </is>
      </c>
      <c r="P17" s="33" t="inlineStr">
        <is>
          <t>Sim</t>
        </is>
      </c>
      <c r="Q17" s="33" t="inlineStr">
        <is>
          <t>https://www.fifa.com/en/tournaments/mens/worldcup/canadamexicousa2026/scores-fixtures?country=PT&amp;wtw-filter=ALL</t>
        </is>
      </c>
      <c r="R17" s="33" t="inlineStr">
        <is>
          <t>2026-10-14 21:45:27</t>
        </is>
      </c>
    </row>
    <row r="18">
      <c r="A18" s="33" t="n"/>
      <c r="B18" s="33" t="inlineStr">
        <is>
          <t>400021476</t>
        </is>
      </c>
      <c r="C18" s="33" t="inlineStr">
        <is>
          <t>2026-06-16 02:00</t>
        </is>
      </c>
      <c r="D18" s="33" t="inlineStr">
        <is>
          <t>2026-06-16 04:15</t>
        </is>
      </c>
      <c r="E18" s="33" t="inlineStr">
        <is>
          <t>First Stage</t>
        </is>
      </c>
      <c r="F18" s="33" t="inlineStr">
        <is>
          <t>Group G</t>
        </is>
      </c>
      <c r="G18" s="33" t="inlineStr">
        <is>
          <t>IR Iran</t>
        </is>
      </c>
      <c r="H18" s="33" t="inlineStr">
        <is>
          <t>IRN</t>
        </is>
      </c>
      <c r="I18" s="33" t="n">
        <v>2</v>
      </c>
      <c r="J18" s="33" t="inlineStr">
        <is>
          <t>New Zealand</t>
        </is>
      </c>
      <c r="K18" s="33" t="inlineStr">
        <is>
          <t>NZL</t>
        </is>
      </c>
      <c r="L18" s="33" t="n">
        <v>2</v>
      </c>
      <c r="M18" s="33" t="inlineStr">
        <is>
          <t>0</t>
        </is>
      </c>
      <c r="N18" s="33" t="inlineStr">
        <is>
          <t>2-2</t>
        </is>
      </c>
      <c r="O18" s="33" t="inlineStr">
        <is>
          <t>Empate</t>
        </is>
      </c>
      <c r="P18" s="33" t="inlineStr">
        <is>
          <t>Sim</t>
        </is>
      </c>
      <c r="Q18" s="33" t="inlineStr">
        <is>
          <t>https://www.fifa.com/en/tournaments/mens/worldcup/canadamexicousa2026/scores-fixtures?country=PT&amp;wtw-filter=ALL</t>
        </is>
      </c>
      <c r="R18" s="33" t="inlineStr">
        <is>
          <t>2026-10-14 21:45:27</t>
        </is>
      </c>
    </row>
    <row r="19">
      <c r="A19" s="33" t="inlineStr">
        <is>
          <t>Complete</t>
        </is>
      </c>
      <c r="B19" s="33" t="inlineStr">
        <is>
          <t>400021490</t>
        </is>
      </c>
      <c r="C19" s="33" t="inlineStr">
        <is>
          <t>2026-06-16 20:00</t>
        </is>
      </c>
      <c r="D19" s="33" t="inlineStr">
        <is>
          <t>2026-06-16 22:15</t>
        </is>
      </c>
      <c r="E19" s="33" t="inlineStr">
        <is>
          <t>First Stage</t>
        </is>
      </c>
      <c r="F19" s="33" t="inlineStr">
        <is>
          <t>Group I</t>
        </is>
      </c>
      <c r="G19" s="33" t="inlineStr">
        <is>
          <t>France</t>
        </is>
      </c>
      <c r="H19" s="33" t="inlineStr">
        <is>
          <t>FRA</t>
        </is>
      </c>
      <c r="I19" s="33" t="n">
        <v>3</v>
      </c>
      <c r="J19" s="33" t="inlineStr">
        <is>
          <t>Senegal</t>
        </is>
      </c>
      <c r="K19" s="33" t="inlineStr">
        <is>
          <t>SEN</t>
        </is>
      </c>
      <c r="L19" s="33" t="n">
        <v>1</v>
      </c>
      <c r="M19" s="33" t="inlineStr">
        <is>
          <t>0</t>
        </is>
      </c>
      <c r="N19" s="33" t="inlineStr">
        <is>
          <t>3-1</t>
        </is>
      </c>
      <c r="O19" s="33" t="inlineStr">
        <is>
          <t>France</t>
        </is>
      </c>
      <c r="P19" s="33" t="inlineStr">
        <is>
          <t>Sim</t>
        </is>
      </c>
      <c r="Q19" s="33" t="inlineStr">
        <is>
          <t>https://www.fifa.com/en/tournaments/mens/worldcup/canadamexicousa2026/scores-fixtures?country=PT&amp;wtw-filter=ALL</t>
        </is>
      </c>
      <c r="R19" s="33" t="inlineStr">
        <is>
          <t>2026-10-14 21:45:27</t>
        </is>
      </c>
    </row>
    <row r="20">
      <c r="A20" s="33" t="inlineStr">
        <is>
          <t>Complete</t>
        </is>
      </c>
      <c r="B20" s="33" t="inlineStr">
        <is>
          <t>400021488</t>
        </is>
      </c>
      <c r="C20" s="33" t="inlineStr">
        <is>
          <t>2026-06-16 23:00</t>
        </is>
      </c>
      <c r="D20" s="33" t="inlineStr">
        <is>
          <t>2026-06-17 01:15</t>
        </is>
      </c>
      <c r="E20" s="33" t="inlineStr">
        <is>
          <t>First Stage</t>
        </is>
      </c>
      <c r="F20" s="33" t="inlineStr">
        <is>
          <t>Group I</t>
        </is>
      </c>
      <c r="G20" s="33" t="inlineStr">
        <is>
          <t>Iraq</t>
        </is>
      </c>
      <c r="H20" s="33" t="inlineStr">
        <is>
          <t>IRQ</t>
        </is>
      </c>
      <c r="I20" s="33" t="n">
        <v>1</v>
      </c>
      <c r="J20" s="33" t="inlineStr">
        <is>
          <t>Norway</t>
        </is>
      </c>
      <c r="K20" s="33" t="inlineStr">
        <is>
          <t>NOR</t>
        </is>
      </c>
      <c r="L20" s="33" t="n">
        <v>4</v>
      </c>
      <c r="M20" s="33" t="inlineStr">
        <is>
          <t>0</t>
        </is>
      </c>
      <c r="N20" s="33" t="inlineStr">
        <is>
          <t>1-4</t>
        </is>
      </c>
      <c r="O20" s="33" t="inlineStr">
        <is>
          <t>Norway</t>
        </is>
      </c>
      <c r="P20" s="33" t="inlineStr">
        <is>
          <t>Sim</t>
        </is>
      </c>
      <c r="Q20" s="33" t="inlineStr">
        <is>
          <t>https://www.fifa.com/en/tournaments/mens/worldcup/canadamexicousa2026/scores-fixtures?country=PT&amp;wtw-filter=ALL</t>
        </is>
      </c>
      <c r="R20" s="33" t="inlineStr">
        <is>
          <t>2026-10-14 21:45:27</t>
        </is>
      </c>
    </row>
    <row r="21">
      <c r="A21" s="33" t="inlineStr">
        <is>
          <t>Complete</t>
        </is>
      </c>
      <c r="B21" s="33" t="inlineStr">
        <is>
          <t>400021496</t>
        </is>
      </c>
      <c r="C21" s="33" t="inlineStr">
        <is>
          <t>2026-06-17 02:00</t>
        </is>
      </c>
      <c r="D21" s="33" t="inlineStr">
        <is>
          <t>2026-06-17 04:15</t>
        </is>
      </c>
      <c r="E21" s="33" t="inlineStr">
        <is>
          <t>First Stage</t>
        </is>
      </c>
      <c r="F21" s="33" t="inlineStr">
        <is>
          <t>Group J</t>
        </is>
      </c>
      <c r="G21" s="33" t="inlineStr">
        <is>
          <t>Argentina</t>
        </is>
      </c>
      <c r="H21" s="33" t="inlineStr">
        <is>
          <t>ARG</t>
        </is>
      </c>
      <c r="I21" s="33" t="n">
        <v>3</v>
      </c>
      <c r="J21" s="33" t="inlineStr">
        <is>
          <t>Algeria</t>
        </is>
      </c>
      <c r="K21" s="33" t="inlineStr">
        <is>
          <t>ALG</t>
        </is>
      </c>
      <c r="L21" s="33" t="n">
        <v>0</v>
      </c>
      <c r="M21" s="33" t="inlineStr">
        <is>
          <t>0</t>
        </is>
      </c>
      <c r="N21" s="33" t="inlineStr">
        <is>
          <t>3-0</t>
        </is>
      </c>
      <c r="O21" s="33" t="inlineStr">
        <is>
          <t>Argentina</t>
        </is>
      </c>
      <c r="P21" s="33" t="inlineStr">
        <is>
          <t>Sim</t>
        </is>
      </c>
      <c r="Q21" s="33" t="inlineStr">
        <is>
          <t>https://www.fifa.com/en/tournaments/mens/worldcup/canadamexicousa2026/scores-fixtures?country=PT&amp;wtw-filter=ALL</t>
        </is>
      </c>
      <c r="R21" s="33" t="inlineStr">
        <is>
          <t>2026-10-14 21:45:27</t>
        </is>
      </c>
    </row>
    <row r="22">
      <c r="A22" s="33" t="inlineStr">
        <is>
          <t>Complete</t>
        </is>
      </c>
      <c r="B22" s="33" t="inlineStr">
        <is>
          <t>400021498</t>
        </is>
      </c>
      <c r="C22" s="33" t="inlineStr">
        <is>
          <t>2026-06-17 05:00</t>
        </is>
      </c>
      <c r="D22" s="33" t="inlineStr">
        <is>
          <t>2026-06-17 07:15</t>
        </is>
      </c>
      <c r="E22" s="33" t="inlineStr">
        <is>
          <t>First Stage</t>
        </is>
      </c>
      <c r="F22" s="33" t="inlineStr">
        <is>
          <t>Group J</t>
        </is>
      </c>
      <c r="G22" s="33" t="inlineStr">
        <is>
          <t>Austria</t>
        </is>
      </c>
      <c r="H22" s="33" t="inlineStr">
        <is>
          <t>AUT</t>
        </is>
      </c>
      <c r="I22" s="33" t="n">
        <v>3</v>
      </c>
      <c r="J22" s="33" t="inlineStr">
        <is>
          <t>Jordan</t>
        </is>
      </c>
      <c r="K22" s="33" t="inlineStr">
        <is>
          <t>JOR</t>
        </is>
      </c>
      <c r="L22" s="33" t="n">
        <v>1</v>
      </c>
      <c r="M22" s="33" t="inlineStr">
        <is>
          <t>0</t>
        </is>
      </c>
      <c r="N22" s="33" t="inlineStr">
        <is>
          <t>3-1</t>
        </is>
      </c>
      <c r="O22" s="33" t="inlineStr">
        <is>
          <t>Austria</t>
        </is>
      </c>
      <c r="P22" s="33" t="inlineStr">
        <is>
          <t>Sim</t>
        </is>
      </c>
      <c r="Q22" s="33" t="inlineStr">
        <is>
          <t>https://www.fifa.com/en/tournaments/mens/worldcup/canadamexicousa2026/scores-fixtures?country=PT&amp;wtw-filter=ALL</t>
        </is>
      </c>
      <c r="R22" s="33" t="inlineStr">
        <is>
          <t>2026-10-14 21:45:27</t>
        </is>
      </c>
    </row>
    <row r="23">
      <c r="A23" s="33" t="inlineStr">
        <is>
          <t>Complete</t>
        </is>
      </c>
      <c r="B23" s="33" t="inlineStr">
        <is>
          <t>400021502</t>
        </is>
      </c>
      <c r="C23" s="33" t="inlineStr">
        <is>
          <t>2026-06-17 18:00</t>
        </is>
      </c>
      <c r="D23" s="33" t="inlineStr">
        <is>
          <t>2026-06-17 20:15</t>
        </is>
      </c>
      <c r="E23" s="33" t="inlineStr">
        <is>
          <t>First Stage</t>
        </is>
      </c>
      <c r="F23" s="33" t="inlineStr">
        <is>
          <t>Group K</t>
        </is>
      </c>
      <c r="G23" s="33" t="inlineStr">
        <is>
          <t>Portugal</t>
        </is>
      </c>
      <c r="H23" s="33" t="inlineStr">
        <is>
          <t>POR</t>
        </is>
      </c>
      <c r="I23" s="33" t="n">
        <v>1</v>
      </c>
      <c r="J23" s="33" t="inlineStr">
        <is>
          <t>Congo DR</t>
        </is>
      </c>
      <c r="K23" s="33" t="inlineStr">
        <is>
          <t>COD</t>
        </is>
      </c>
      <c r="L23" s="33" t="n">
        <v>1</v>
      </c>
      <c r="M23" s="33" t="inlineStr">
        <is>
          <t>0</t>
        </is>
      </c>
      <c r="N23" s="33" t="inlineStr">
        <is>
          <t>1-1</t>
        </is>
      </c>
      <c r="O23" s="33" t="inlineStr">
        <is>
          <t>Empate</t>
        </is>
      </c>
      <c r="P23" s="33" t="inlineStr">
        <is>
          <t>Sim</t>
        </is>
      </c>
      <c r="Q23" s="33" t="inlineStr">
        <is>
          <t>https://www.fifa.com/en/tournaments/mens/worldcup/canadamexicousa2026/scores-fixtures?country=PT&amp;wtw-filter=ALL</t>
        </is>
      </c>
      <c r="R23" s="33" t="inlineStr">
        <is>
          <t>2026-10-14 21:45:27</t>
        </is>
      </c>
    </row>
    <row r="24">
      <c r="A24" s="33" t="inlineStr">
        <is>
          <t>Complete</t>
        </is>
      </c>
      <c r="B24" s="33" t="inlineStr">
        <is>
          <t>400021507</t>
        </is>
      </c>
      <c r="C24" s="33" t="inlineStr">
        <is>
          <t>2026-06-17 21:00</t>
        </is>
      </c>
      <c r="D24" s="33" t="inlineStr">
        <is>
          <t>2026-06-17 23:15</t>
        </is>
      </c>
      <c r="E24" s="33" t="inlineStr">
        <is>
          <t>First Stage</t>
        </is>
      </c>
      <c r="F24" s="33" t="inlineStr">
        <is>
          <t>Group L</t>
        </is>
      </c>
      <c r="G24" s="33" t="inlineStr">
        <is>
          <t>England</t>
        </is>
      </c>
      <c r="H24" s="33" t="inlineStr">
        <is>
          <t>ENG</t>
        </is>
      </c>
      <c r="I24" s="33" t="n">
        <v>4</v>
      </c>
      <c r="J24" s="33" t="inlineStr">
        <is>
          <t>Croatia</t>
        </is>
      </c>
      <c r="K24" s="33" t="inlineStr">
        <is>
          <t>CRO</t>
        </is>
      </c>
      <c r="L24" s="33" t="n">
        <v>2</v>
      </c>
      <c r="M24" s="33" t="inlineStr">
        <is>
          <t>0</t>
        </is>
      </c>
      <c r="N24" s="33" t="inlineStr">
        <is>
          <t>4-2</t>
        </is>
      </c>
      <c r="O24" s="33" t="inlineStr">
        <is>
          <t>England</t>
        </is>
      </c>
      <c r="P24" s="33" t="inlineStr">
        <is>
          <t>Sim</t>
        </is>
      </c>
      <c r="Q24" s="33" t="inlineStr">
        <is>
          <t>https://www.fifa.com/en/tournaments/mens/worldcup/canadamexicousa2026/scores-fixtures?country=PT&amp;wtw-filter=ALL</t>
        </is>
      </c>
      <c r="R24" s="33" t="inlineStr">
        <is>
          <t>2026-10-14 21:45:27</t>
        </is>
      </c>
    </row>
    <row r="25">
      <c r="A25" s="33" t="inlineStr">
        <is>
          <t>Complete</t>
        </is>
      </c>
      <c r="B25" s="33" t="inlineStr">
        <is>
          <t>400021510</t>
        </is>
      </c>
      <c r="C25" s="33" t="inlineStr">
        <is>
          <t>2026-06-18 00:00</t>
        </is>
      </c>
      <c r="D25" s="33" t="inlineStr">
        <is>
          <t>2026-06-18 02:15</t>
        </is>
      </c>
      <c r="E25" s="33" t="inlineStr">
        <is>
          <t>First Stage</t>
        </is>
      </c>
      <c r="F25" s="33" t="inlineStr">
        <is>
          <t>Group L</t>
        </is>
      </c>
      <c r="G25" s="33" t="inlineStr">
        <is>
          <t>Ghana</t>
        </is>
      </c>
      <c r="H25" s="33" t="inlineStr">
        <is>
          <t>GHA</t>
        </is>
      </c>
      <c r="I25" s="33" t="n">
        <v>1</v>
      </c>
      <c r="J25" s="33" t="inlineStr">
        <is>
          <t>Panama</t>
        </is>
      </c>
      <c r="K25" s="33" t="inlineStr">
        <is>
          <t>PAN</t>
        </is>
      </c>
      <c r="L25" s="33" t="n">
        <v>0</v>
      </c>
      <c r="M25" s="33" t="inlineStr">
        <is>
          <t>0</t>
        </is>
      </c>
      <c r="N25" s="33" t="inlineStr">
        <is>
          <t>1-0</t>
        </is>
      </c>
      <c r="O25" s="33" t="inlineStr">
        <is>
          <t>Ghana</t>
        </is>
      </c>
      <c r="P25" s="33" t="inlineStr">
        <is>
          <t>Sim</t>
        </is>
      </c>
      <c r="Q25" s="33" t="inlineStr">
        <is>
          <t>https://www.fifa.com/en/tournaments/mens/worldcup/canadamexicousa2026/scores-fixtures?country=PT&amp;wtw-filter=ALL</t>
        </is>
      </c>
      <c r="R25" s="33" t="inlineStr">
        <is>
          <t>2026-10-14 21:45:27</t>
        </is>
      </c>
    </row>
    <row r="26">
      <c r="A26" s="33" t="inlineStr">
        <is>
          <t>Complete</t>
        </is>
      </c>
      <c r="B26" s="33" t="inlineStr">
        <is>
          <t>400021504</t>
        </is>
      </c>
      <c r="C26" s="33" t="inlineStr">
        <is>
          <t>2026-06-18 03:00</t>
        </is>
      </c>
      <c r="D26" s="33" t="inlineStr">
        <is>
          <t>2026-06-18 05:15</t>
        </is>
      </c>
      <c r="E26" s="33" t="inlineStr">
        <is>
          <t>First Stage</t>
        </is>
      </c>
      <c r="F26" s="33" t="inlineStr">
        <is>
          <t>Group K</t>
        </is>
      </c>
      <c r="G26" s="33" t="inlineStr">
        <is>
          <t>Uzbekistan</t>
        </is>
      </c>
      <c r="H26" s="33" t="inlineStr">
        <is>
          <t>UZB</t>
        </is>
      </c>
      <c r="I26" s="33" t="n">
        <v>1</v>
      </c>
      <c r="J26" s="33" t="inlineStr">
        <is>
          <t>Colombia</t>
        </is>
      </c>
      <c r="K26" s="33" t="inlineStr">
        <is>
          <t>COL</t>
        </is>
      </c>
      <c r="L26" s="33" t="n">
        <v>3</v>
      </c>
      <c r="M26" s="33" t="inlineStr">
        <is>
          <t>0</t>
        </is>
      </c>
      <c r="N26" s="33" t="inlineStr">
        <is>
          <t>1-3</t>
        </is>
      </c>
      <c r="O26" s="33" t="inlineStr">
        <is>
          <t>Colombia</t>
        </is>
      </c>
      <c r="P26" s="33" t="inlineStr">
        <is>
          <t>Sim</t>
        </is>
      </c>
      <c r="Q26" s="33" t="inlineStr">
        <is>
          <t>https://www.fifa.com/en/tournaments/mens/worldcup/canadamexicousa2026/scores-fixtures?country=PT&amp;wtw-filter=ALL</t>
        </is>
      </c>
      <c r="R26" s="33" t="inlineStr">
        <is>
          <t>2026-10-14 21:45:27</t>
        </is>
      </c>
    </row>
    <row r="27">
      <c r="A27" s="33" t="inlineStr">
        <is>
          <t>Complete</t>
        </is>
      </c>
      <c r="B27" s="33" t="inlineStr">
        <is>
          <t>400021440</t>
        </is>
      </c>
      <c r="C27" s="33" t="inlineStr">
        <is>
          <t>2026-06-18 17:00</t>
        </is>
      </c>
      <c r="D27" s="33" t="inlineStr">
        <is>
          <t>2026-06-18 19:15</t>
        </is>
      </c>
      <c r="E27" s="33" t="inlineStr">
        <is>
          <t>First Stage</t>
        </is>
      </c>
      <c r="F27" s="33" t="inlineStr">
        <is>
          <t>Group A</t>
        </is>
      </c>
      <c r="G27" s="33" t="inlineStr">
        <is>
          <t>Czechia</t>
        </is>
      </c>
      <c r="H27" s="33" t="inlineStr">
        <is>
          <t>CZE</t>
        </is>
      </c>
      <c r="I27" s="33" t="n">
        <v>1</v>
      </c>
      <c r="J27" s="33" t="inlineStr">
        <is>
          <t>South Africa</t>
        </is>
      </c>
      <c r="K27" s="33" t="inlineStr">
        <is>
          <t>RSA</t>
        </is>
      </c>
      <c r="L27" s="33" t="n">
        <v>1</v>
      </c>
      <c r="M27" s="33" t="inlineStr">
        <is>
          <t>0</t>
        </is>
      </c>
      <c r="N27" s="33" t="inlineStr">
        <is>
          <t>1-1</t>
        </is>
      </c>
      <c r="O27" s="33" t="inlineStr">
        <is>
          <t>Empate</t>
        </is>
      </c>
      <c r="P27" s="33" t="inlineStr">
        <is>
          <t>Sim</t>
        </is>
      </c>
      <c r="Q27" s="33" t="inlineStr">
        <is>
          <t>https://www.fifa.com/en/tournaments/mens/worldcup/canadamexicousa2026/scores-fixtures?country=PT&amp;wtw-filter=ALL</t>
        </is>
      </c>
      <c r="R27" s="33" t="inlineStr">
        <is>
          <t>2026-10-14 21:45:27</t>
        </is>
      </c>
    </row>
    <row r="28">
      <c r="A28" s="33" t="inlineStr">
        <is>
          <t>Complete</t>
        </is>
      </c>
      <c r="B28" s="33" t="inlineStr">
        <is>
          <t>400021446</t>
        </is>
      </c>
      <c r="C28" s="33" t="inlineStr">
        <is>
          <t>2026-06-18 20:00</t>
        </is>
      </c>
      <c r="D28" s="33" t="inlineStr">
        <is>
          <t>2026-06-18 22:15</t>
        </is>
      </c>
      <c r="E28" s="33" t="inlineStr">
        <is>
          <t>First Stage</t>
        </is>
      </c>
      <c r="F28" s="33" t="inlineStr">
        <is>
          <t>Group B</t>
        </is>
      </c>
      <c r="G28" s="33" t="inlineStr">
        <is>
          <t>Switzerland</t>
        </is>
      </c>
      <c r="H28" s="33" t="inlineStr">
        <is>
          <t>SUI</t>
        </is>
      </c>
      <c r="I28" s="33" t="n">
        <v>4</v>
      </c>
      <c r="J28" s="33" t="inlineStr">
        <is>
          <t>Bosnia and Herzegovina</t>
        </is>
      </c>
      <c r="K28" s="33" t="inlineStr">
        <is>
          <t>BIH</t>
        </is>
      </c>
      <c r="L28" s="33" t="n">
        <v>1</v>
      </c>
      <c r="M28" s="33" t="inlineStr">
        <is>
          <t>0</t>
        </is>
      </c>
      <c r="N28" s="33" t="inlineStr">
        <is>
          <t>4-1</t>
        </is>
      </c>
      <c r="O28" s="33" t="inlineStr">
        <is>
          <t>Switzerland</t>
        </is>
      </c>
      <c r="P28" s="33" t="inlineStr">
        <is>
          <t>Sim</t>
        </is>
      </c>
      <c r="Q28" s="33" t="inlineStr">
        <is>
          <t>https://www.fifa.com/en/tournaments/mens/worldcup/canadamexicousa2026/scores-fixtures?country=PT&amp;wtw-filter=ALL</t>
        </is>
      </c>
      <c r="R28" s="33" t="inlineStr">
        <is>
          <t>2026-10-14 21:45:27</t>
        </is>
      </c>
    </row>
    <row r="29">
      <c r="A29" s="33" t="inlineStr">
        <is>
          <t>Complete</t>
        </is>
      </c>
      <c r="B29" s="33" t="inlineStr">
        <is>
          <t>400021450</t>
        </is>
      </c>
      <c r="C29" s="33" t="inlineStr">
        <is>
          <t>2026-06-18 23:00</t>
        </is>
      </c>
      <c r="D29" s="33" t="inlineStr">
        <is>
          <t>2026-06-19 01:15</t>
        </is>
      </c>
      <c r="E29" s="33" t="inlineStr">
        <is>
          <t>First Stage</t>
        </is>
      </c>
      <c r="F29" s="33" t="inlineStr">
        <is>
          <t>Group B</t>
        </is>
      </c>
      <c r="G29" s="33" t="inlineStr">
        <is>
          <t>Canada</t>
        </is>
      </c>
      <c r="H29" s="33" t="inlineStr">
        <is>
          <t>CAN</t>
        </is>
      </c>
      <c r="I29" s="33" t="n">
        <v>6</v>
      </c>
      <c r="J29" s="33" t="inlineStr">
        <is>
          <t>Qatar</t>
        </is>
      </c>
      <c r="K29" s="33" t="inlineStr">
        <is>
          <t>QAT</t>
        </is>
      </c>
      <c r="L29" s="33" t="n">
        <v>0</v>
      </c>
      <c r="M29" s="33" t="inlineStr">
        <is>
          <t>0</t>
        </is>
      </c>
      <c r="N29" s="33" t="inlineStr">
        <is>
          <t>6-0</t>
        </is>
      </c>
      <c r="O29" s="33" t="inlineStr">
        <is>
          <t>Canada</t>
        </is>
      </c>
      <c r="P29" s="33" t="inlineStr">
        <is>
          <t>Sim</t>
        </is>
      </c>
      <c r="Q29" s="33" t="inlineStr">
        <is>
          <t>https://www.fifa.com/en/tournaments/mens/worldcup/canadamexicousa2026/scores-fixtures?country=PT&amp;wtw-filter=ALL</t>
        </is>
      </c>
      <c r="R29" s="33" t="inlineStr">
        <is>
          <t>2026-10-14 21:45:27</t>
        </is>
      </c>
    </row>
    <row r="30">
      <c r="A30" s="33" t="n"/>
      <c r="B30" s="33" t="inlineStr">
        <is>
          <t>400021442</t>
        </is>
      </c>
      <c r="C30" s="33" t="inlineStr">
        <is>
          <t>2026-06-19 02:00</t>
        </is>
      </c>
      <c r="D30" s="33" t="inlineStr">
        <is>
          <t>2026-06-19 04:15</t>
        </is>
      </c>
      <c r="E30" s="33" t="inlineStr">
        <is>
          <t>First Stage</t>
        </is>
      </c>
      <c r="F30" s="33" t="inlineStr">
        <is>
          <t>Group A</t>
        </is>
      </c>
      <c r="G30" s="33" t="inlineStr">
        <is>
          <t>Mexico</t>
        </is>
      </c>
      <c r="H30" s="33" t="inlineStr">
        <is>
          <t>MEX</t>
        </is>
      </c>
      <c r="I30" s="33" t="n">
        <v>1</v>
      </c>
      <c r="J30" s="33" t="inlineStr">
        <is>
          <t>Korea Republic</t>
        </is>
      </c>
      <c r="K30" s="33" t="inlineStr">
        <is>
          <t>KOR</t>
        </is>
      </c>
      <c r="L30" s="33" t="n">
        <v>0</v>
      </c>
      <c r="M30" s="33" t="inlineStr">
        <is>
          <t>0</t>
        </is>
      </c>
      <c r="N30" s="33" t="inlineStr">
        <is>
          <t>1-0</t>
        </is>
      </c>
      <c r="O30" s="33" t="inlineStr">
        <is>
          <t>Mexico</t>
        </is>
      </c>
      <c r="P30" s="33" t="inlineStr">
        <is>
          <t>Sim</t>
        </is>
      </c>
      <c r="Q30" s="33" t="inlineStr">
        <is>
          <t>https://www.fifa.com/en/tournaments/mens/worldcup/canadamexicousa2026/scores-fixtures?country=PT&amp;wtw-filter=ALL</t>
        </is>
      </c>
      <c r="R30" s="33" t="inlineStr">
        <is>
          <t>2026-10-14 21:45:27</t>
        </is>
      </c>
    </row>
    <row r="31">
      <c r="A31" s="33" t="inlineStr">
        <is>
          <t>Complete</t>
        </is>
      </c>
      <c r="B31" s="33" t="inlineStr">
        <is>
          <t>400021462</t>
        </is>
      </c>
      <c r="C31" s="33" t="inlineStr">
        <is>
          <t>2026-06-19 20:00</t>
        </is>
      </c>
      <c r="D31" s="33" t="inlineStr">
        <is>
          <t>2026-06-19 22:15</t>
        </is>
      </c>
      <c r="E31" s="33" t="inlineStr">
        <is>
          <t>First Stage</t>
        </is>
      </c>
      <c r="F31" s="33" t="inlineStr">
        <is>
          <t>Group D</t>
        </is>
      </c>
      <c r="G31" s="33" t="inlineStr">
        <is>
          <t>USA</t>
        </is>
      </c>
      <c r="H31" s="33" t="inlineStr">
        <is>
          <t>USA</t>
        </is>
      </c>
      <c r="I31" s="33" t="n">
        <v>2</v>
      </c>
      <c r="J31" s="33" t="inlineStr">
        <is>
          <t>Australia</t>
        </is>
      </c>
      <c r="K31" s="33" t="inlineStr">
        <is>
          <t>AUS</t>
        </is>
      </c>
      <c r="L31" s="33" t="n">
        <v>0</v>
      </c>
      <c r="M31" s="33" t="inlineStr">
        <is>
          <t>0</t>
        </is>
      </c>
      <c r="N31" s="33" t="inlineStr">
        <is>
          <t>2-0</t>
        </is>
      </c>
      <c r="O31" s="33" t="inlineStr">
        <is>
          <t>USA</t>
        </is>
      </c>
      <c r="P31" s="33" t="inlineStr">
        <is>
          <t>Sim</t>
        </is>
      </c>
      <c r="Q31" s="33" t="inlineStr">
        <is>
          <t>https://www.fifa.com/en/tournaments/mens/worldcup/canadamexicousa2026/scores-fixtures?country=PT&amp;wtw-filter=ALL</t>
        </is>
      </c>
      <c r="R31" s="33" t="inlineStr">
        <is>
          <t>2026-10-14 21:45:27</t>
        </is>
      </c>
    </row>
    <row r="32">
      <c r="A32" s="33" t="inlineStr">
        <is>
          <t>Complete</t>
        </is>
      </c>
      <c r="B32" s="33" t="inlineStr">
        <is>
          <t>400021454</t>
        </is>
      </c>
      <c r="C32" s="33" t="inlineStr">
        <is>
          <t>2026-06-19 23:00</t>
        </is>
      </c>
      <c r="D32" s="33" t="inlineStr">
        <is>
          <t>2026-06-20 01:15</t>
        </is>
      </c>
      <c r="E32" s="33" t="inlineStr">
        <is>
          <t>First Stage</t>
        </is>
      </c>
      <c r="F32" s="33" t="inlineStr">
        <is>
          <t>Group C</t>
        </is>
      </c>
      <c r="G32" s="33" t="inlineStr">
        <is>
          <t>Scotland</t>
        </is>
      </c>
      <c r="H32" s="33" t="inlineStr">
        <is>
          <t>SCO</t>
        </is>
      </c>
      <c r="I32" s="33" t="n">
        <v>0</v>
      </c>
      <c r="J32" s="33" t="inlineStr">
        <is>
          <t>Morocco</t>
        </is>
      </c>
      <c r="K32" s="33" t="inlineStr">
        <is>
          <t>MAR</t>
        </is>
      </c>
      <c r="L32" s="33" t="n">
        <v>1</v>
      </c>
      <c r="M32" s="33" t="inlineStr">
        <is>
          <t>0</t>
        </is>
      </c>
      <c r="N32" s="33" t="inlineStr">
        <is>
          <t>0-1</t>
        </is>
      </c>
      <c r="O32" s="33" t="inlineStr">
        <is>
          <t>Morocco</t>
        </is>
      </c>
      <c r="P32" s="33" t="inlineStr">
        <is>
          <t>Sim</t>
        </is>
      </c>
      <c r="Q32" s="33" t="inlineStr">
        <is>
          <t>https://www.fifa.com/en/tournaments/mens/worldcup/canadamexicousa2026/scores-fixtures?country=PT&amp;wtw-filter=ALL</t>
        </is>
      </c>
      <c r="R32" s="33" t="inlineStr">
        <is>
          <t>2026-10-14 21:45:27</t>
        </is>
      </c>
    </row>
    <row r="33">
      <c r="A33" s="33" t="inlineStr">
        <is>
          <t>Complete</t>
        </is>
      </c>
      <c r="B33" s="33" t="inlineStr">
        <is>
          <t>400021457</t>
        </is>
      </c>
      <c r="C33" s="33" t="inlineStr">
        <is>
          <t>2026-06-20 01:30</t>
        </is>
      </c>
      <c r="D33" s="33" t="inlineStr">
        <is>
          <t>2026-06-20 03:45</t>
        </is>
      </c>
      <c r="E33" s="33" t="inlineStr">
        <is>
          <t>First Stage</t>
        </is>
      </c>
      <c r="F33" s="33" t="inlineStr">
        <is>
          <t>Group C</t>
        </is>
      </c>
      <c r="G33" s="33" t="inlineStr">
        <is>
          <t>Brazil</t>
        </is>
      </c>
      <c r="H33" s="33" t="inlineStr">
        <is>
          <t>BRA</t>
        </is>
      </c>
      <c r="I33" s="33" t="n">
        <v>3</v>
      </c>
      <c r="J33" s="33" t="inlineStr">
        <is>
          <t>Haiti</t>
        </is>
      </c>
      <c r="K33" s="33" t="inlineStr">
        <is>
          <t>HAI</t>
        </is>
      </c>
      <c r="L33" s="33" t="n">
        <v>0</v>
      </c>
      <c r="M33" s="33" t="inlineStr">
        <is>
          <t>0</t>
        </is>
      </c>
      <c r="N33" s="33" t="inlineStr">
        <is>
          <t>3-0</t>
        </is>
      </c>
      <c r="O33" s="33" t="inlineStr">
        <is>
          <t>Brazil</t>
        </is>
      </c>
      <c r="P33" s="33" t="inlineStr">
        <is>
          <t>Sim</t>
        </is>
      </c>
      <c r="Q33" s="33" t="inlineStr">
        <is>
          <t>https://www.fifa.com/en/tournaments/mens/worldcup/canadamexicousa2026/scores-fixtures?country=PT&amp;wtw-filter=ALL</t>
        </is>
      </c>
      <c r="R33" s="33" t="inlineStr">
        <is>
          <t>2026-10-14 21:45:27</t>
        </is>
      </c>
    </row>
    <row r="34">
      <c r="A34" s="33" t="inlineStr">
        <is>
          <t>Complete</t>
        </is>
      </c>
      <c r="B34" s="33" t="inlineStr">
        <is>
          <t>400021460</t>
        </is>
      </c>
      <c r="C34" s="33" t="inlineStr">
        <is>
          <t>2026-06-20 04:00</t>
        </is>
      </c>
      <c r="D34" s="33" t="inlineStr">
        <is>
          <t>2026-06-20 06:15</t>
        </is>
      </c>
      <c r="E34" s="33" t="inlineStr">
        <is>
          <t>First Stage</t>
        </is>
      </c>
      <c r="F34" s="33" t="inlineStr">
        <is>
          <t>Group D</t>
        </is>
      </c>
      <c r="G34" s="33" t="inlineStr">
        <is>
          <t>Türkiye</t>
        </is>
      </c>
      <c r="H34" s="33" t="inlineStr">
        <is>
          <t>TUR</t>
        </is>
      </c>
      <c r="I34" s="33" t="n">
        <v>0</v>
      </c>
      <c r="J34" s="33" t="inlineStr">
        <is>
          <t>Paraguay</t>
        </is>
      </c>
      <c r="K34" s="33" t="inlineStr">
        <is>
          <t>PAR</t>
        </is>
      </c>
      <c r="L34" s="33" t="n">
        <v>1</v>
      </c>
      <c r="M34" s="33" t="inlineStr">
        <is>
          <t>0</t>
        </is>
      </c>
      <c r="N34" s="33" t="inlineStr">
        <is>
          <t>0-1</t>
        </is>
      </c>
      <c r="O34" s="33" t="inlineStr">
        <is>
          <t>Paraguay</t>
        </is>
      </c>
      <c r="P34" s="33" t="inlineStr">
        <is>
          <t>Sim</t>
        </is>
      </c>
      <c r="Q34" s="33" t="inlineStr">
        <is>
          <t>https://www.fifa.com/en/tournaments/mens/worldcup/canadamexicousa2026/scores-fixtures?country=PT&amp;wtw-filter=ALL</t>
        </is>
      </c>
      <c r="R34" s="33" t="inlineStr">
        <is>
          <t>2026-10-14 21:45:27</t>
        </is>
      </c>
    </row>
    <row r="35">
      <c r="A35" s="33" t="inlineStr">
        <is>
          <t>Complete</t>
        </is>
      </c>
      <c r="B35" s="33" t="inlineStr">
        <is>
          <t>400021472</t>
        </is>
      </c>
      <c r="C35" s="33" t="inlineStr">
        <is>
          <t>2026-06-20 18:00</t>
        </is>
      </c>
      <c r="D35" s="33" t="inlineStr">
        <is>
          <t>2026-06-20 20:15</t>
        </is>
      </c>
      <c r="E35" s="33" t="inlineStr">
        <is>
          <t>First Stage</t>
        </is>
      </c>
      <c r="F35" s="33" t="inlineStr">
        <is>
          <t>Group F</t>
        </is>
      </c>
      <c r="G35" s="33" t="inlineStr">
        <is>
          <t>Netherlands</t>
        </is>
      </c>
      <c r="H35" s="33" t="inlineStr">
        <is>
          <t>NED</t>
        </is>
      </c>
      <c r="I35" s="33" t="n">
        <v>5</v>
      </c>
      <c r="J35" s="33" t="inlineStr">
        <is>
          <t>Sweden</t>
        </is>
      </c>
      <c r="K35" s="33" t="inlineStr">
        <is>
          <t>SWE</t>
        </is>
      </c>
      <c r="L35" s="33" t="n">
        <v>1</v>
      </c>
      <c r="M35" s="33" t="inlineStr">
        <is>
          <t>0</t>
        </is>
      </c>
      <c r="N35" s="33" t="inlineStr">
        <is>
          <t>5-1</t>
        </is>
      </c>
      <c r="O35" s="33" t="inlineStr">
        <is>
          <t>Netherlands</t>
        </is>
      </c>
      <c r="P35" s="33" t="inlineStr">
        <is>
          <t>Sim</t>
        </is>
      </c>
      <c r="Q35" s="33" t="inlineStr">
        <is>
          <t>https://www.fifa.com/en/tournaments/mens/worldcup/canadamexicousa2026/scores-fixtures?country=PT&amp;wtw-filter=ALL</t>
        </is>
      </c>
      <c r="R35" s="33" t="inlineStr">
        <is>
          <t>2026-10-14 21:45:27</t>
        </is>
      </c>
    </row>
    <row r="36">
      <c r="A36" s="33" t="inlineStr">
        <is>
          <t>Complete</t>
        </is>
      </c>
      <c r="B36" s="33" t="inlineStr">
        <is>
          <t>400021469</t>
        </is>
      </c>
      <c r="C36" s="33" t="inlineStr">
        <is>
          <t>2026-06-20 21:00</t>
        </is>
      </c>
      <c r="D36" s="33" t="inlineStr">
        <is>
          <t>2026-06-20 23:15</t>
        </is>
      </c>
      <c r="E36" s="33" t="inlineStr">
        <is>
          <t>First Stage</t>
        </is>
      </c>
      <c r="F36" s="33" t="inlineStr">
        <is>
          <t>Group E</t>
        </is>
      </c>
      <c r="G36" s="33" t="inlineStr">
        <is>
          <t>Germany</t>
        </is>
      </c>
      <c r="H36" s="33" t="inlineStr">
        <is>
          <t>GER</t>
        </is>
      </c>
      <c r="I36" s="33" t="n">
        <v>2</v>
      </c>
      <c r="J36" s="33" t="inlineStr">
        <is>
          <t>Côte d'Ivoire</t>
        </is>
      </c>
      <c r="K36" s="33" t="inlineStr">
        <is>
          <t>CIV</t>
        </is>
      </c>
      <c r="L36" s="33" t="n">
        <v>1</v>
      </c>
      <c r="M36" s="33" t="inlineStr">
        <is>
          <t>0</t>
        </is>
      </c>
      <c r="N36" s="33" t="inlineStr">
        <is>
          <t>2-1</t>
        </is>
      </c>
      <c r="O36" s="33" t="inlineStr">
        <is>
          <t>Germany</t>
        </is>
      </c>
      <c r="P36" s="33" t="inlineStr">
        <is>
          <t>Sim</t>
        </is>
      </c>
      <c r="Q36" s="33" t="inlineStr">
        <is>
          <t>https://www.fifa.com/en/tournaments/mens/worldcup/canadamexicousa2026/scores-fixtures?country=PT&amp;wtw-filter=ALL</t>
        </is>
      </c>
      <c r="R36" s="33" t="inlineStr">
        <is>
          <t>2026-10-14 21:45:27</t>
        </is>
      </c>
    </row>
    <row r="37">
      <c r="A37" s="33" t="inlineStr">
        <is>
          <t>Complete</t>
        </is>
      </c>
      <c r="B37" s="33" t="inlineStr">
        <is>
          <t>400021465</t>
        </is>
      </c>
      <c r="C37" s="33" t="inlineStr">
        <is>
          <t>2026-06-21 01:00</t>
        </is>
      </c>
      <c r="D37" s="33" t="inlineStr">
        <is>
          <t>2026-06-21 03:15</t>
        </is>
      </c>
      <c r="E37" s="33" t="inlineStr">
        <is>
          <t>First Stage</t>
        </is>
      </c>
      <c r="F37" s="33" t="inlineStr">
        <is>
          <t>Group E</t>
        </is>
      </c>
      <c r="G37" s="33" t="inlineStr">
        <is>
          <t>Ecuador</t>
        </is>
      </c>
      <c r="H37" s="33" t="inlineStr">
        <is>
          <t>ECU</t>
        </is>
      </c>
      <c r="I37" s="33" t="n">
        <v>0</v>
      </c>
      <c r="J37" s="33" t="inlineStr">
        <is>
          <t>Curaçao</t>
        </is>
      </c>
      <c r="K37" s="33" t="inlineStr">
        <is>
          <t>CUW</t>
        </is>
      </c>
      <c r="L37" s="33" t="n">
        <v>0</v>
      </c>
      <c r="M37" s="33" t="inlineStr">
        <is>
          <t>0</t>
        </is>
      </c>
      <c r="N37" s="33" t="inlineStr">
        <is>
          <t>0-0</t>
        </is>
      </c>
      <c r="O37" s="33" t="inlineStr">
        <is>
          <t>Empate</t>
        </is>
      </c>
      <c r="P37" s="33" t="inlineStr">
        <is>
          <t>Sim</t>
        </is>
      </c>
      <c r="Q37" s="33" t="inlineStr">
        <is>
          <t>https://www.fifa.com/en/tournaments/mens/worldcup/canadamexicousa2026/scores-fixtures?country=PT&amp;wtw-filter=ALL</t>
        </is>
      </c>
      <c r="R37" s="33" t="inlineStr">
        <is>
          <t>2026-10-14 21:45:27</t>
        </is>
      </c>
    </row>
    <row r="38">
      <c r="A38" s="33" t="inlineStr">
        <is>
          <t>Complete</t>
        </is>
      </c>
      <c r="B38" s="33" t="inlineStr">
        <is>
          <t>400021475</t>
        </is>
      </c>
      <c r="C38" s="33" t="inlineStr">
        <is>
          <t>2026-06-21 05:00</t>
        </is>
      </c>
      <c r="D38" s="33" t="inlineStr">
        <is>
          <t>2026-06-21 07:15</t>
        </is>
      </c>
      <c r="E38" s="33" t="inlineStr">
        <is>
          <t>First Stage</t>
        </is>
      </c>
      <c r="F38" s="33" t="inlineStr">
        <is>
          <t>Group F</t>
        </is>
      </c>
      <c r="G38" s="33" t="inlineStr">
        <is>
          <t>Tunisia</t>
        </is>
      </c>
      <c r="H38" s="33" t="inlineStr">
        <is>
          <t>TUN</t>
        </is>
      </c>
      <c r="I38" s="33" t="n">
        <v>0</v>
      </c>
      <c r="J38" s="33" t="inlineStr">
        <is>
          <t>Japan</t>
        </is>
      </c>
      <c r="K38" s="33" t="inlineStr">
        <is>
          <t>JPN</t>
        </is>
      </c>
      <c r="L38" s="33" t="n">
        <v>4</v>
      </c>
      <c r="M38" s="33" t="inlineStr">
        <is>
          <t>0</t>
        </is>
      </c>
      <c r="N38" s="33" t="inlineStr">
        <is>
          <t>0-4</t>
        </is>
      </c>
      <c r="O38" s="33" t="inlineStr">
        <is>
          <t>Japan</t>
        </is>
      </c>
      <c r="P38" s="33" t="inlineStr">
        <is>
          <t>Sim</t>
        </is>
      </c>
      <c r="Q38" s="33" t="inlineStr">
        <is>
          <t>https://www.fifa.com/en/tournaments/mens/worldcup/canadamexicousa2026/scores-fixtures?country=PT&amp;wtw-filter=ALL</t>
        </is>
      </c>
      <c r="R38" s="33" t="inlineStr">
        <is>
          <t>2026-10-14 21:45:27</t>
        </is>
      </c>
    </row>
    <row r="39">
      <c r="A39" s="33" t="inlineStr">
        <is>
          <t>Complete</t>
        </is>
      </c>
      <c r="B39" s="33" t="inlineStr">
        <is>
          <t>400021483</t>
        </is>
      </c>
      <c r="C39" s="33" t="inlineStr">
        <is>
          <t>2026-06-21 17:00</t>
        </is>
      </c>
      <c r="D39" s="33" t="inlineStr">
        <is>
          <t>2026-06-21 19:15</t>
        </is>
      </c>
      <c r="E39" s="33" t="inlineStr">
        <is>
          <t>First Stage</t>
        </is>
      </c>
      <c r="F39" s="33" t="inlineStr">
        <is>
          <t>Group H</t>
        </is>
      </c>
      <c r="G39" s="33" t="inlineStr">
        <is>
          <t>Spain</t>
        </is>
      </c>
      <c r="H39" s="33" t="inlineStr">
        <is>
          <t>ESP</t>
        </is>
      </c>
      <c r="I39" s="33" t="n">
        <v>4</v>
      </c>
      <c r="J39" s="33" t="inlineStr">
        <is>
          <t>Saudi Arabia</t>
        </is>
      </c>
      <c r="K39" s="33" t="inlineStr">
        <is>
          <t>KSA</t>
        </is>
      </c>
      <c r="L39" s="33" t="n">
        <v>0</v>
      </c>
      <c r="M39" s="33" t="inlineStr">
        <is>
          <t>0</t>
        </is>
      </c>
      <c r="N39" s="33" t="inlineStr">
        <is>
          <t>4-0</t>
        </is>
      </c>
      <c r="O39" s="33" t="inlineStr">
        <is>
          <t>Spain</t>
        </is>
      </c>
      <c r="P39" s="33" t="inlineStr">
        <is>
          <t>Sim</t>
        </is>
      </c>
      <c r="Q39" s="33" t="inlineStr">
        <is>
          <t>https://www.fifa.com/en/tournaments/mens/worldcup/canadamexicousa2026/scores-fixtures?country=PT&amp;wtw-filter=ALL</t>
        </is>
      </c>
      <c r="R39" s="33" t="inlineStr">
        <is>
          <t>2026-10-14 21:45:27</t>
        </is>
      </c>
    </row>
    <row r="40">
      <c r="A40" s="33" t="n"/>
      <c r="B40" s="33" t="inlineStr">
        <is>
          <t>400021477</t>
        </is>
      </c>
      <c r="C40" s="33" t="inlineStr">
        <is>
          <t>2026-06-21 20:00</t>
        </is>
      </c>
      <c r="D40" s="33" t="inlineStr">
        <is>
          <t>2026-06-21 22:15</t>
        </is>
      </c>
      <c r="E40" s="33" t="inlineStr">
        <is>
          <t>First Stage</t>
        </is>
      </c>
      <c r="F40" s="33" t="inlineStr">
        <is>
          <t>Group G</t>
        </is>
      </c>
      <c r="G40" s="33" t="inlineStr">
        <is>
          <t>Belgium</t>
        </is>
      </c>
      <c r="H40" s="33" t="inlineStr">
        <is>
          <t>BEL</t>
        </is>
      </c>
      <c r="I40" s="33" t="n">
        <v>0</v>
      </c>
      <c r="J40" s="33" t="inlineStr">
        <is>
          <t>IR Iran</t>
        </is>
      </c>
      <c r="K40" s="33" t="inlineStr">
        <is>
          <t>IRN</t>
        </is>
      </c>
      <c r="L40" s="33" t="n">
        <v>0</v>
      </c>
      <c r="M40" s="33" t="inlineStr">
        <is>
          <t>0</t>
        </is>
      </c>
      <c r="N40" s="33" t="inlineStr">
        <is>
          <t>0-0</t>
        </is>
      </c>
      <c r="O40" s="33" t="inlineStr">
        <is>
          <t>Empate</t>
        </is>
      </c>
      <c r="P40" s="33" t="inlineStr">
        <is>
          <t>Sim</t>
        </is>
      </c>
      <c r="Q40" s="33" t="inlineStr">
        <is>
          <t>https://www.fifa.com/en/tournaments/mens/worldcup/canadamexicousa2026/scores-fixtures?country=PT&amp;wtw-filter=ALL</t>
        </is>
      </c>
      <c r="R40" s="33" t="inlineStr">
        <is>
          <t>2026-10-14 21:45:27</t>
        </is>
      </c>
    </row>
    <row r="41">
      <c r="A41" s="33" t="n"/>
      <c r="B41" s="33" t="inlineStr">
        <is>
          <t>400021487</t>
        </is>
      </c>
      <c r="C41" s="33" t="inlineStr">
        <is>
          <t>2026-06-21 23:00</t>
        </is>
      </c>
      <c r="D41" s="33" t="inlineStr">
        <is>
          <t>2026-06-22 01:15</t>
        </is>
      </c>
      <c r="E41" s="33" t="inlineStr">
        <is>
          <t>First Stage</t>
        </is>
      </c>
      <c r="F41" s="33" t="inlineStr">
        <is>
          <t>Group H</t>
        </is>
      </c>
      <c r="G41" s="33" t="inlineStr">
        <is>
          <t>Uruguay</t>
        </is>
      </c>
      <c r="H41" s="33" t="inlineStr">
        <is>
          <t>URU</t>
        </is>
      </c>
      <c r="I41" s="33" t="n">
        <v>2</v>
      </c>
      <c r="J41" s="33" t="inlineStr">
        <is>
          <t>Cabo Verde</t>
        </is>
      </c>
      <c r="K41" s="33" t="inlineStr">
        <is>
          <t>CPV</t>
        </is>
      </c>
      <c r="L41" s="33" t="n">
        <v>2</v>
      </c>
      <c r="M41" s="33" t="inlineStr">
        <is>
          <t>0</t>
        </is>
      </c>
      <c r="N41" s="33" t="inlineStr">
        <is>
          <t>2-2</t>
        </is>
      </c>
      <c r="O41" s="33" t="inlineStr">
        <is>
          <t>Empate</t>
        </is>
      </c>
      <c r="P41" s="33" t="inlineStr">
        <is>
          <t>Sim</t>
        </is>
      </c>
      <c r="Q41" s="33" t="inlineStr">
        <is>
          <t>https://www.fifa.com/en/tournaments/mens/worldcup/canadamexicousa2026/scores-fixtures?country=PT&amp;wtw-filter=ALL</t>
        </is>
      </c>
      <c r="R41" s="33" t="inlineStr">
        <is>
          <t>2026-10-14 21:45:27</t>
        </is>
      </c>
    </row>
    <row r="42">
      <c r="A42" s="33" t="inlineStr">
        <is>
          <t>Complete</t>
        </is>
      </c>
      <c r="B42" s="33" t="inlineStr">
        <is>
          <t>400021480</t>
        </is>
      </c>
      <c r="C42" s="33" t="inlineStr">
        <is>
          <t>2026-06-22 02:00</t>
        </is>
      </c>
      <c r="D42" s="33" t="inlineStr">
        <is>
          <t>2026-06-22 04:15</t>
        </is>
      </c>
      <c r="E42" s="33" t="inlineStr">
        <is>
          <t>First Stage</t>
        </is>
      </c>
      <c r="F42" s="33" t="inlineStr">
        <is>
          <t>Group G</t>
        </is>
      </c>
      <c r="G42" s="33" t="inlineStr">
        <is>
          <t>New Zealand</t>
        </is>
      </c>
      <c r="H42" s="33" t="inlineStr">
        <is>
          <t>NZL</t>
        </is>
      </c>
      <c r="I42" s="33" t="n">
        <v>1</v>
      </c>
      <c r="J42" s="33" t="inlineStr">
        <is>
          <t>Egypt</t>
        </is>
      </c>
      <c r="K42" s="33" t="inlineStr">
        <is>
          <t>EGY</t>
        </is>
      </c>
      <c r="L42" s="33" t="n">
        <v>3</v>
      </c>
      <c r="M42" s="33" t="inlineStr">
        <is>
          <t>0</t>
        </is>
      </c>
      <c r="N42" s="33" t="inlineStr">
        <is>
          <t>1-3</t>
        </is>
      </c>
      <c r="O42" s="33" t="inlineStr">
        <is>
          <t>Egypt</t>
        </is>
      </c>
      <c r="P42" s="33" t="inlineStr">
        <is>
          <t>Sim</t>
        </is>
      </c>
      <c r="Q42" s="33" t="inlineStr">
        <is>
          <t>https://www.fifa.com/en/tournaments/mens/worldcup/canadamexicousa2026/scores-fixtures?country=PT&amp;wtw-filter=ALL</t>
        </is>
      </c>
      <c r="R42" s="33" t="inlineStr">
        <is>
          <t>2026-10-14 21:45:27</t>
        </is>
      </c>
    </row>
    <row r="43">
      <c r="A43" s="33" t="inlineStr">
        <is>
          <t>Complete</t>
        </is>
      </c>
      <c r="B43" s="33" t="inlineStr">
        <is>
          <t>400021494</t>
        </is>
      </c>
      <c r="C43" s="33" t="inlineStr">
        <is>
          <t>2026-06-22 18:00</t>
        </is>
      </c>
      <c r="D43" s="33" t="inlineStr">
        <is>
          <t>2026-06-22 20:15</t>
        </is>
      </c>
      <c r="E43" s="33" t="inlineStr">
        <is>
          <t>First Stage</t>
        </is>
      </c>
      <c r="F43" s="33" t="inlineStr">
        <is>
          <t>Group J</t>
        </is>
      </c>
      <c r="G43" s="33" t="inlineStr">
        <is>
          <t>Argentina</t>
        </is>
      </c>
      <c r="H43" s="33" t="inlineStr">
        <is>
          <t>ARG</t>
        </is>
      </c>
      <c r="I43" s="33" t="n">
        <v>2</v>
      </c>
      <c r="J43" s="33" t="inlineStr">
        <is>
          <t>Austria</t>
        </is>
      </c>
      <c r="K43" s="33" t="inlineStr">
        <is>
          <t>AUT</t>
        </is>
      </c>
      <c r="L43" s="33" t="n">
        <v>0</v>
      </c>
      <c r="M43" s="33" t="inlineStr">
        <is>
          <t>0</t>
        </is>
      </c>
      <c r="N43" s="33" t="inlineStr">
        <is>
          <t>2-0</t>
        </is>
      </c>
      <c r="O43" s="33" t="inlineStr">
        <is>
          <t>Argentina</t>
        </is>
      </c>
      <c r="P43" s="33" t="inlineStr">
        <is>
          <t>Sim</t>
        </is>
      </c>
      <c r="Q43" s="33" t="inlineStr">
        <is>
          <t>https://www.fifa.com/en/tournaments/mens/worldcup/canadamexicousa2026/scores-fixtures?country=PT&amp;wtw-filter=ALL</t>
        </is>
      </c>
      <c r="R43" s="33" t="inlineStr">
        <is>
          <t>2026-10-14 21:45:27</t>
        </is>
      </c>
    </row>
    <row r="44">
      <c r="A44" s="33" t="inlineStr">
        <is>
          <t>Complete</t>
        </is>
      </c>
      <c r="B44" s="33" t="inlineStr">
        <is>
          <t>400021492</t>
        </is>
      </c>
      <c r="C44" s="33" t="inlineStr">
        <is>
          <t>2026-06-22 22:00</t>
        </is>
      </c>
      <c r="D44" s="33" t="inlineStr">
        <is>
          <t>2026-06-23 00:15</t>
        </is>
      </c>
      <c r="E44" s="33" t="inlineStr">
        <is>
          <t>First Stage</t>
        </is>
      </c>
      <c r="F44" s="33" t="inlineStr">
        <is>
          <t>Group I</t>
        </is>
      </c>
      <c r="G44" s="33" t="inlineStr">
        <is>
          <t>France</t>
        </is>
      </c>
      <c r="H44" s="33" t="inlineStr">
        <is>
          <t>FRA</t>
        </is>
      </c>
      <c r="I44" s="33" t="n">
        <v>3</v>
      </c>
      <c r="J44" s="33" t="inlineStr">
        <is>
          <t>Iraq</t>
        </is>
      </c>
      <c r="K44" s="33" t="inlineStr">
        <is>
          <t>IRQ</t>
        </is>
      </c>
      <c r="L44" s="33" t="n">
        <v>0</v>
      </c>
      <c r="M44" s="33" t="inlineStr">
        <is>
          <t>0</t>
        </is>
      </c>
      <c r="N44" s="33" t="inlineStr">
        <is>
          <t>3-0</t>
        </is>
      </c>
      <c r="O44" s="33" t="inlineStr">
        <is>
          <t>France</t>
        </is>
      </c>
      <c r="P44" s="33" t="inlineStr">
        <is>
          <t>Sim</t>
        </is>
      </c>
      <c r="Q44" s="33" t="inlineStr">
        <is>
          <t>https://www.fifa.com/en/tournaments/mens/worldcup/canadamexicousa2026/scores-fixtures?country=PT&amp;wtw-filter=ALL</t>
        </is>
      </c>
      <c r="R44" s="33" t="inlineStr">
        <is>
          <t>2026-10-14 21:45:27</t>
        </is>
      </c>
    </row>
    <row r="45">
      <c r="A45" s="33" t="inlineStr">
        <is>
          <t>Complete</t>
        </is>
      </c>
      <c r="B45" s="33" t="inlineStr">
        <is>
          <t>400021491</t>
        </is>
      </c>
      <c r="C45" s="33" t="inlineStr">
        <is>
          <t>2026-06-23 01:00</t>
        </is>
      </c>
      <c r="D45" s="33" t="inlineStr">
        <is>
          <t>2026-06-23 03:15</t>
        </is>
      </c>
      <c r="E45" s="33" t="inlineStr">
        <is>
          <t>First Stage</t>
        </is>
      </c>
      <c r="F45" s="33" t="inlineStr">
        <is>
          <t>Group I</t>
        </is>
      </c>
      <c r="G45" s="33" t="inlineStr">
        <is>
          <t>Norway</t>
        </is>
      </c>
      <c r="H45" s="33" t="inlineStr">
        <is>
          <t>NOR</t>
        </is>
      </c>
      <c r="I45" s="33" t="n">
        <v>3</v>
      </c>
      <c r="J45" s="33" t="inlineStr">
        <is>
          <t>Senegal</t>
        </is>
      </c>
      <c r="K45" s="33" t="inlineStr">
        <is>
          <t>SEN</t>
        </is>
      </c>
      <c r="L45" s="33" t="n">
        <v>2</v>
      </c>
      <c r="M45" s="33" t="inlineStr">
        <is>
          <t>0</t>
        </is>
      </c>
      <c r="N45" s="33" t="inlineStr">
        <is>
          <t>3-2</t>
        </is>
      </c>
      <c r="O45" s="33" t="inlineStr">
        <is>
          <t>Norway</t>
        </is>
      </c>
      <c r="P45" s="33" t="inlineStr">
        <is>
          <t>Sim</t>
        </is>
      </c>
      <c r="Q45" s="33" t="inlineStr">
        <is>
          <t>https://www.fifa.com/en/tournaments/mens/worldcup/canadamexicousa2026/scores-fixtures?country=PT&amp;wtw-filter=ALL</t>
        </is>
      </c>
      <c r="R45" s="33" t="inlineStr">
        <is>
          <t>2026-10-14 21:45:27</t>
        </is>
      </c>
    </row>
    <row r="46">
      <c r="A46" s="33" t="inlineStr">
        <is>
          <t>Complete</t>
        </is>
      </c>
      <c r="B46" s="33" t="inlineStr">
        <is>
          <t>400021499</t>
        </is>
      </c>
      <c r="C46" s="33" t="inlineStr">
        <is>
          <t>2026-06-23 04:00</t>
        </is>
      </c>
      <c r="D46" s="33" t="inlineStr">
        <is>
          <t>2026-06-23 06:15</t>
        </is>
      </c>
      <c r="E46" s="33" t="inlineStr">
        <is>
          <t>First Stage</t>
        </is>
      </c>
      <c r="F46" s="33" t="inlineStr">
        <is>
          <t>Group J</t>
        </is>
      </c>
      <c r="G46" s="33" t="inlineStr">
        <is>
          <t>Jordan</t>
        </is>
      </c>
      <c r="H46" s="33" t="inlineStr">
        <is>
          <t>JOR</t>
        </is>
      </c>
      <c r="I46" s="33" t="n">
        <v>1</v>
      </c>
      <c r="J46" s="33" t="inlineStr">
        <is>
          <t>Algeria</t>
        </is>
      </c>
      <c r="K46" s="33" t="inlineStr">
        <is>
          <t>ALG</t>
        </is>
      </c>
      <c r="L46" s="33" t="n">
        <v>2</v>
      </c>
      <c r="M46" s="33" t="inlineStr">
        <is>
          <t>0</t>
        </is>
      </c>
      <c r="N46" s="33" t="inlineStr">
        <is>
          <t>1-2</t>
        </is>
      </c>
      <c r="O46" s="33" t="inlineStr">
        <is>
          <t>Algeria</t>
        </is>
      </c>
      <c r="P46" s="33" t="inlineStr">
        <is>
          <t>Sim</t>
        </is>
      </c>
      <c r="Q46" s="33" t="inlineStr">
        <is>
          <t>https://www.fifa.com/en/tournaments/mens/worldcup/canadamexicousa2026/scores-fixtures?country=PT&amp;wtw-filter=ALL</t>
        </is>
      </c>
      <c r="R46" s="33" t="inlineStr">
        <is>
          <t>2026-10-14 21:45:27</t>
        </is>
      </c>
    </row>
    <row r="47">
      <c r="A47" s="33" t="inlineStr">
        <is>
          <t>Complete</t>
        </is>
      </c>
      <c r="B47" s="33" t="inlineStr">
        <is>
          <t>400021503</t>
        </is>
      </c>
      <c r="C47" s="33" t="inlineStr">
        <is>
          <t>2026-06-23 18:00</t>
        </is>
      </c>
      <c r="D47" s="33" t="inlineStr">
        <is>
          <t>2026-06-23 20:15</t>
        </is>
      </c>
      <c r="E47" s="33" t="inlineStr">
        <is>
          <t>First Stage</t>
        </is>
      </c>
      <c r="F47" s="33" t="inlineStr">
        <is>
          <t>Group K</t>
        </is>
      </c>
      <c r="G47" s="33" t="inlineStr">
        <is>
          <t>Portugal</t>
        </is>
      </c>
      <c r="H47" s="33" t="inlineStr">
        <is>
          <t>POR</t>
        </is>
      </c>
      <c r="I47" s="33" t="n">
        <v>5</v>
      </c>
      <c r="J47" s="33" t="inlineStr">
        <is>
          <t>Uzbekistan</t>
        </is>
      </c>
      <c r="K47" s="33" t="inlineStr">
        <is>
          <t>UZB</t>
        </is>
      </c>
      <c r="L47" s="33" t="n">
        <v>0</v>
      </c>
      <c r="M47" s="33" t="inlineStr">
        <is>
          <t>0</t>
        </is>
      </c>
      <c r="N47" s="33" t="inlineStr">
        <is>
          <t>5-0</t>
        </is>
      </c>
      <c r="O47" s="33" t="inlineStr">
        <is>
          <t>Portugal</t>
        </is>
      </c>
      <c r="P47" s="33" t="inlineStr">
        <is>
          <t>Sim</t>
        </is>
      </c>
      <c r="Q47" s="33" t="inlineStr">
        <is>
          <t>https://www.fifa.com/en/tournaments/mens/worldcup/canadamexicousa2026/scores-fixtures?country=PT&amp;wtw-filter=ALL</t>
        </is>
      </c>
      <c r="R47" s="33" t="inlineStr">
        <is>
          <t>2026-10-14 21:45:27</t>
        </is>
      </c>
    </row>
    <row r="48">
      <c r="A48" s="33" t="inlineStr">
        <is>
          <t>Complete</t>
        </is>
      </c>
      <c r="B48" s="33" t="inlineStr">
        <is>
          <t>400021506</t>
        </is>
      </c>
      <c r="C48" s="33" t="inlineStr">
        <is>
          <t>2026-06-23 21:00</t>
        </is>
      </c>
      <c r="D48" s="33" t="inlineStr">
        <is>
          <t>2026-06-23 23:15</t>
        </is>
      </c>
      <c r="E48" s="33" t="inlineStr">
        <is>
          <t>First Stage</t>
        </is>
      </c>
      <c r="F48" s="33" t="inlineStr">
        <is>
          <t>Group L</t>
        </is>
      </c>
      <c r="G48" s="33" t="inlineStr">
        <is>
          <t>England</t>
        </is>
      </c>
      <c r="H48" s="33" t="inlineStr">
        <is>
          <t>ENG</t>
        </is>
      </c>
      <c r="I48" s="33" t="n">
        <v>0</v>
      </c>
      <c r="J48" s="33" t="inlineStr">
        <is>
          <t>Ghana</t>
        </is>
      </c>
      <c r="K48" s="33" t="inlineStr">
        <is>
          <t>GHA</t>
        </is>
      </c>
      <c r="L48" s="33" t="n">
        <v>0</v>
      </c>
      <c r="M48" s="33" t="inlineStr">
        <is>
          <t>0</t>
        </is>
      </c>
      <c r="N48" s="33" t="inlineStr">
        <is>
          <t>0-0</t>
        </is>
      </c>
      <c r="O48" s="33" t="inlineStr">
        <is>
          <t>Empate</t>
        </is>
      </c>
      <c r="P48" s="33" t="inlineStr">
        <is>
          <t>Sim</t>
        </is>
      </c>
      <c r="Q48" s="33" t="inlineStr">
        <is>
          <t>https://www.fifa.com/en/tournaments/mens/worldcup/canadamexicousa2026/scores-fixtures?country=PT&amp;wtw-filter=ALL</t>
        </is>
      </c>
      <c r="R48" s="33" t="inlineStr">
        <is>
          <t>2026-10-14 21:45:27</t>
        </is>
      </c>
    </row>
    <row r="49">
      <c r="A49" s="33" t="inlineStr">
        <is>
          <t>Complete</t>
        </is>
      </c>
      <c r="B49" s="33" t="inlineStr">
        <is>
          <t>400021511</t>
        </is>
      </c>
      <c r="C49" s="33" t="inlineStr">
        <is>
          <t>2026-06-24 00:00</t>
        </is>
      </c>
      <c r="D49" s="33" t="inlineStr">
        <is>
          <t>2026-06-24 02:15</t>
        </is>
      </c>
      <c r="E49" s="33" t="inlineStr">
        <is>
          <t>First Stage</t>
        </is>
      </c>
      <c r="F49" s="33" t="inlineStr">
        <is>
          <t>Group L</t>
        </is>
      </c>
      <c r="G49" s="33" t="inlineStr">
        <is>
          <t>Panama</t>
        </is>
      </c>
      <c r="H49" s="33" t="inlineStr">
        <is>
          <t>PAN</t>
        </is>
      </c>
      <c r="I49" s="33" t="n">
        <v>0</v>
      </c>
      <c r="J49" s="33" t="inlineStr">
        <is>
          <t>Croatia</t>
        </is>
      </c>
      <c r="K49" s="33" t="inlineStr">
        <is>
          <t>CRO</t>
        </is>
      </c>
      <c r="L49" s="33" t="n">
        <v>1</v>
      </c>
      <c r="M49" s="33" t="inlineStr">
        <is>
          <t>0</t>
        </is>
      </c>
      <c r="N49" s="33" t="inlineStr">
        <is>
          <t>0-1</t>
        </is>
      </c>
      <c r="O49" s="33" t="inlineStr">
        <is>
          <t>Croatia</t>
        </is>
      </c>
      <c r="P49" s="33" t="inlineStr">
        <is>
          <t>Sim</t>
        </is>
      </c>
      <c r="Q49" s="33" t="inlineStr">
        <is>
          <t>https://www.fifa.com/en/tournaments/mens/worldcup/canadamexicousa2026/scores-fixtures?country=PT&amp;wtw-filter=ALL</t>
        </is>
      </c>
      <c r="R49" s="33" t="inlineStr">
        <is>
          <t>2026-10-14 21:45:27</t>
        </is>
      </c>
    </row>
    <row r="50">
      <c r="A50" s="33" t="inlineStr">
        <is>
          <t>Complete</t>
        </is>
      </c>
      <c r="B50" s="33" t="inlineStr">
        <is>
          <t>400021501</t>
        </is>
      </c>
      <c r="C50" s="33" t="inlineStr">
        <is>
          <t>2026-06-24 03:00</t>
        </is>
      </c>
      <c r="D50" s="33" t="inlineStr">
        <is>
          <t>2026-06-24 05:15</t>
        </is>
      </c>
      <c r="E50" s="33" t="inlineStr">
        <is>
          <t>First Stage</t>
        </is>
      </c>
      <c r="F50" s="33" t="inlineStr">
        <is>
          <t>Group K</t>
        </is>
      </c>
      <c r="G50" s="33" t="inlineStr">
        <is>
          <t>Colombia</t>
        </is>
      </c>
      <c r="H50" s="33" t="inlineStr">
        <is>
          <t>COL</t>
        </is>
      </c>
      <c r="I50" s="33" t="n">
        <v>1</v>
      </c>
      <c r="J50" s="33" t="inlineStr">
        <is>
          <t>Congo DR</t>
        </is>
      </c>
      <c r="K50" s="33" t="inlineStr">
        <is>
          <t>COD</t>
        </is>
      </c>
      <c r="L50" s="33" t="n">
        <v>0</v>
      </c>
      <c r="M50" s="33" t="inlineStr">
        <is>
          <t>0</t>
        </is>
      </c>
      <c r="N50" s="33" t="inlineStr">
        <is>
          <t>1-0</t>
        </is>
      </c>
      <c r="O50" s="33" t="inlineStr">
        <is>
          <t>Colombia</t>
        </is>
      </c>
      <c r="P50" s="33" t="inlineStr">
        <is>
          <t>Sim</t>
        </is>
      </c>
      <c r="Q50" s="33" t="inlineStr">
        <is>
          <t>https://www.fifa.com/en/tournaments/mens/worldcup/canadamexicousa2026/scores-fixtures?country=PT&amp;wtw-filter=ALL</t>
        </is>
      </c>
      <c r="R50" s="33" t="inlineStr">
        <is>
          <t>2026-10-14 21:45:27</t>
        </is>
      </c>
    </row>
    <row r="51">
      <c r="A51" s="33" t="inlineStr">
        <is>
          <t>Complete</t>
        </is>
      </c>
      <c r="B51" s="33" t="inlineStr">
        <is>
          <t>400021448</t>
        </is>
      </c>
      <c r="C51" s="33" t="inlineStr">
        <is>
          <t>2026-06-24 20:00</t>
        </is>
      </c>
      <c r="D51" s="33" t="inlineStr">
        <is>
          <t>2026-06-24 22:15</t>
        </is>
      </c>
      <c r="E51" s="33" t="inlineStr">
        <is>
          <t>First Stage</t>
        </is>
      </c>
      <c r="F51" s="33" t="inlineStr">
        <is>
          <t>Group B</t>
        </is>
      </c>
      <c r="G51" s="33" t="inlineStr">
        <is>
          <t>Bosnia and Herzegovina</t>
        </is>
      </c>
      <c r="H51" s="33" t="inlineStr">
        <is>
          <t>BIH</t>
        </is>
      </c>
      <c r="I51" s="33" t="n">
        <v>3</v>
      </c>
      <c r="J51" s="33" t="inlineStr">
        <is>
          <t>Qatar</t>
        </is>
      </c>
      <c r="K51" s="33" t="inlineStr">
        <is>
          <t>QAT</t>
        </is>
      </c>
      <c r="L51" s="33" t="n">
        <v>1</v>
      </c>
      <c r="M51" s="33" t="inlineStr">
        <is>
          <t>0</t>
        </is>
      </c>
      <c r="N51" s="33" t="inlineStr">
        <is>
          <t>3-1</t>
        </is>
      </c>
      <c r="O51" s="33" t="inlineStr">
        <is>
          <t>Bosnia and Herzegovina</t>
        </is>
      </c>
      <c r="P51" s="33" t="inlineStr">
        <is>
          <t>Sim</t>
        </is>
      </c>
      <c r="Q51" s="33" t="inlineStr">
        <is>
          <t>https://www.fifa.com/en/tournaments/mens/worldcup/canadamexicousa2026/scores-fixtures?country=PT&amp;wtw-filter=ALL</t>
        </is>
      </c>
      <c r="R51" s="33" t="inlineStr">
        <is>
          <t>2026-10-14 21:45:27</t>
        </is>
      </c>
    </row>
    <row r="52">
      <c r="A52" s="33" t="inlineStr">
        <is>
          <t>Complete</t>
        </is>
      </c>
      <c r="B52" s="33" t="inlineStr">
        <is>
          <t>400021451</t>
        </is>
      </c>
      <c r="C52" s="33" t="inlineStr">
        <is>
          <t>2026-06-24 20:00</t>
        </is>
      </c>
      <c r="D52" s="33" t="inlineStr">
        <is>
          <t>2026-06-24 22:15</t>
        </is>
      </c>
      <c r="E52" s="33" t="inlineStr">
        <is>
          <t>First Stage</t>
        </is>
      </c>
      <c r="F52" s="33" t="inlineStr">
        <is>
          <t>Group B</t>
        </is>
      </c>
      <c r="G52" s="33" t="inlineStr">
        <is>
          <t>Switzerland</t>
        </is>
      </c>
      <c r="H52" s="33" t="inlineStr">
        <is>
          <t>SUI</t>
        </is>
      </c>
      <c r="I52" s="33" t="n">
        <v>2</v>
      </c>
      <c r="J52" s="33" t="inlineStr">
        <is>
          <t>Canada</t>
        </is>
      </c>
      <c r="K52" s="33" t="inlineStr">
        <is>
          <t>CAN</t>
        </is>
      </c>
      <c r="L52" s="33" t="n">
        <v>1</v>
      </c>
      <c r="M52" s="33" t="inlineStr">
        <is>
          <t>0</t>
        </is>
      </c>
      <c r="N52" s="33" t="inlineStr">
        <is>
          <t>2-1</t>
        </is>
      </c>
      <c r="O52" s="33" t="inlineStr">
        <is>
          <t>Switzerland</t>
        </is>
      </c>
      <c r="P52" s="33" t="inlineStr">
        <is>
          <t>Sim</t>
        </is>
      </c>
      <c r="Q52" s="33" t="inlineStr">
        <is>
          <t>https://www.fifa.com/en/tournaments/mens/worldcup/canadamexicousa2026/scores-fixtures?country=PT&amp;wtw-filter=ALL</t>
        </is>
      </c>
      <c r="R52" s="33" t="inlineStr">
        <is>
          <t>2026-10-14 21:45:27</t>
        </is>
      </c>
    </row>
    <row r="53">
      <c r="A53" s="33" t="inlineStr">
        <is>
          <t>Complete</t>
        </is>
      </c>
      <c r="B53" s="33" t="inlineStr">
        <is>
          <t>400021452</t>
        </is>
      </c>
      <c r="C53" s="33" t="inlineStr">
        <is>
          <t>2026-06-24 23:00</t>
        </is>
      </c>
      <c r="D53" s="33" t="inlineStr">
        <is>
          <t>2026-06-25 01:15</t>
        </is>
      </c>
      <c r="E53" s="33" t="inlineStr">
        <is>
          <t>First Stage</t>
        </is>
      </c>
      <c r="F53" s="33" t="inlineStr">
        <is>
          <t>Group C</t>
        </is>
      </c>
      <c r="G53" s="33" t="inlineStr">
        <is>
          <t>Morocco</t>
        </is>
      </c>
      <c r="H53" s="33" t="inlineStr">
        <is>
          <t>MAR</t>
        </is>
      </c>
      <c r="I53" s="33" t="n">
        <v>4</v>
      </c>
      <c r="J53" s="33" t="inlineStr">
        <is>
          <t>Haiti</t>
        </is>
      </c>
      <c r="K53" s="33" t="inlineStr">
        <is>
          <t>HAI</t>
        </is>
      </c>
      <c r="L53" s="33" t="n">
        <v>2</v>
      </c>
      <c r="M53" s="33" t="inlineStr">
        <is>
          <t>0</t>
        </is>
      </c>
      <c r="N53" s="33" t="inlineStr">
        <is>
          <t>4-2</t>
        </is>
      </c>
      <c r="O53" s="33" t="inlineStr">
        <is>
          <t>Morocco</t>
        </is>
      </c>
      <c r="P53" s="33" t="inlineStr">
        <is>
          <t>Sim</t>
        </is>
      </c>
      <c r="Q53" s="33" t="inlineStr">
        <is>
          <t>https://www.fifa.com/en/tournaments/mens/worldcup/canadamexicousa2026/scores-fixtures?country=PT&amp;wtw-filter=ALL</t>
        </is>
      </c>
      <c r="R53" s="33" t="inlineStr">
        <is>
          <t>2026-10-14 21:45:27</t>
        </is>
      </c>
    </row>
    <row r="54">
      <c r="A54" s="33" t="inlineStr">
        <is>
          <t>Complete</t>
        </is>
      </c>
      <c r="B54" s="33" t="inlineStr">
        <is>
          <t>400021455</t>
        </is>
      </c>
      <c r="C54" s="33" t="inlineStr">
        <is>
          <t>2026-06-24 23:00</t>
        </is>
      </c>
      <c r="D54" s="33" t="inlineStr">
        <is>
          <t>2026-06-25 01:15</t>
        </is>
      </c>
      <c r="E54" s="33" t="inlineStr">
        <is>
          <t>First Stage</t>
        </is>
      </c>
      <c r="F54" s="33" t="inlineStr">
        <is>
          <t>Group C</t>
        </is>
      </c>
      <c r="G54" s="33" t="inlineStr">
        <is>
          <t>Scotland</t>
        </is>
      </c>
      <c r="H54" s="33" t="inlineStr">
        <is>
          <t>SCO</t>
        </is>
      </c>
      <c r="I54" s="33" t="n">
        <v>0</v>
      </c>
      <c r="J54" s="33" t="inlineStr">
        <is>
          <t>Brazil</t>
        </is>
      </c>
      <c r="K54" s="33" t="inlineStr">
        <is>
          <t>BRA</t>
        </is>
      </c>
      <c r="L54" s="33" t="n">
        <v>3</v>
      </c>
      <c r="M54" s="33" t="inlineStr">
        <is>
          <t>0</t>
        </is>
      </c>
      <c r="N54" s="33" t="inlineStr">
        <is>
          <t>0-3</t>
        </is>
      </c>
      <c r="O54" s="33" t="inlineStr">
        <is>
          <t>Brazil</t>
        </is>
      </c>
      <c r="P54" s="33" t="inlineStr">
        <is>
          <t>Sim</t>
        </is>
      </c>
      <c r="Q54" s="33" t="inlineStr">
        <is>
          <t>https://www.fifa.com/en/tournaments/mens/worldcup/canadamexicousa2026/scores-fixtures?country=PT&amp;wtw-filter=ALL</t>
        </is>
      </c>
      <c r="R54" s="33" t="inlineStr">
        <is>
          <t>2026-10-14 21:45:27</t>
        </is>
      </c>
    </row>
    <row r="55">
      <c r="A55" s="33" t="inlineStr">
        <is>
          <t>Complete</t>
        </is>
      </c>
      <c r="B55" s="33" t="inlineStr">
        <is>
          <t>400021444</t>
        </is>
      </c>
      <c r="C55" s="33" t="inlineStr">
        <is>
          <t>2026-06-25 02:00</t>
        </is>
      </c>
      <c r="D55" s="33" t="inlineStr">
        <is>
          <t>2026-06-25 04:15</t>
        </is>
      </c>
      <c r="E55" s="33" t="inlineStr">
        <is>
          <t>First Stage</t>
        </is>
      </c>
      <c r="F55" s="33" t="inlineStr">
        <is>
          <t>Group A</t>
        </is>
      </c>
      <c r="G55" s="33" t="inlineStr">
        <is>
          <t>Czechia</t>
        </is>
      </c>
      <c r="H55" s="33" t="inlineStr">
        <is>
          <t>CZE</t>
        </is>
      </c>
      <c r="I55" s="33" t="n">
        <v>0</v>
      </c>
      <c r="J55" s="33" t="inlineStr">
        <is>
          <t>Mexico</t>
        </is>
      </c>
      <c r="K55" s="33" t="inlineStr">
        <is>
          <t>MEX</t>
        </is>
      </c>
      <c r="L55" s="33" t="n">
        <v>3</v>
      </c>
      <c r="M55" s="33" t="inlineStr">
        <is>
          <t>0</t>
        </is>
      </c>
      <c r="N55" s="33" t="inlineStr">
        <is>
          <t>0-3</t>
        </is>
      </c>
      <c r="O55" s="33" t="inlineStr">
        <is>
          <t>Mexico</t>
        </is>
      </c>
      <c r="P55" s="33" t="inlineStr">
        <is>
          <t>Sim</t>
        </is>
      </c>
      <c r="Q55" s="33" t="inlineStr">
        <is>
          <t>https://www.fifa.com/en/tournaments/mens/worldcup/canadamexicousa2026/scores-fixtures?country=PT&amp;wtw-filter=ALL</t>
        </is>
      </c>
      <c r="R55" s="33" t="inlineStr">
        <is>
          <t>2026-10-14 21:45:27</t>
        </is>
      </c>
    </row>
    <row r="56">
      <c r="A56" s="33" t="n"/>
      <c r="B56" s="33" t="inlineStr">
        <is>
          <t>400021445</t>
        </is>
      </c>
      <c r="C56" s="33" t="inlineStr">
        <is>
          <t>2026-06-25 02:00</t>
        </is>
      </c>
      <c r="D56" s="33" t="inlineStr">
        <is>
          <t>2026-06-25 04:15</t>
        </is>
      </c>
      <c r="E56" s="33" t="inlineStr">
        <is>
          <t>First Stage</t>
        </is>
      </c>
      <c r="F56" s="33" t="inlineStr">
        <is>
          <t>Group A</t>
        </is>
      </c>
      <c r="G56" s="33" t="inlineStr">
        <is>
          <t>South Africa</t>
        </is>
      </c>
      <c r="H56" s="33" t="inlineStr">
        <is>
          <t>RSA</t>
        </is>
      </c>
      <c r="I56" s="33" t="n">
        <v>1</v>
      </c>
      <c r="J56" s="33" t="inlineStr">
        <is>
          <t>Korea Republic</t>
        </is>
      </c>
      <c r="K56" s="33" t="inlineStr">
        <is>
          <t>KOR</t>
        </is>
      </c>
      <c r="L56" s="33" t="n">
        <v>0</v>
      </c>
      <c r="M56" s="33" t="inlineStr">
        <is>
          <t>0</t>
        </is>
      </c>
      <c r="N56" s="33" t="inlineStr">
        <is>
          <t>1-0</t>
        </is>
      </c>
      <c r="O56" s="33" t="inlineStr">
        <is>
          <t>South Africa</t>
        </is>
      </c>
      <c r="P56" s="33" t="inlineStr">
        <is>
          <t>Sim</t>
        </is>
      </c>
      <c r="Q56" s="33" t="inlineStr">
        <is>
          <t>https://www.fifa.com/en/tournaments/mens/worldcup/canadamexicousa2026/scores-fixtures?country=PT&amp;wtw-filter=ALL</t>
        </is>
      </c>
      <c r="R56" s="33" t="inlineStr">
        <is>
          <t>2026-10-14 21:45:27</t>
        </is>
      </c>
    </row>
    <row r="57">
      <c r="A57" s="33" t="inlineStr">
        <is>
          <t>Complete</t>
        </is>
      </c>
      <c r="B57" s="33" t="inlineStr">
        <is>
          <t>400021468</t>
        </is>
      </c>
      <c r="C57" s="33" t="inlineStr">
        <is>
          <t>2026-06-25 21:00</t>
        </is>
      </c>
      <c r="D57" s="33" t="inlineStr">
        <is>
          <t>2026-06-25 23:15</t>
        </is>
      </c>
      <c r="E57" s="33" t="inlineStr">
        <is>
          <t>First Stage</t>
        </is>
      </c>
      <c r="F57" s="33" t="inlineStr">
        <is>
          <t>Group E</t>
        </is>
      </c>
      <c r="G57" s="33" t="inlineStr">
        <is>
          <t>Curaçao</t>
        </is>
      </c>
      <c r="H57" s="33" t="inlineStr">
        <is>
          <t>CUW</t>
        </is>
      </c>
      <c r="I57" s="33" t="n">
        <v>0</v>
      </c>
      <c r="J57" s="33" t="inlineStr">
        <is>
          <t>Côte d'Ivoire</t>
        </is>
      </c>
      <c r="K57" s="33" t="inlineStr">
        <is>
          <t>CIV</t>
        </is>
      </c>
      <c r="L57" s="33" t="n">
        <v>2</v>
      </c>
      <c r="M57" s="33" t="inlineStr">
        <is>
          <t>0</t>
        </is>
      </c>
      <c r="N57" s="33" t="inlineStr">
        <is>
          <t>0-2</t>
        </is>
      </c>
      <c r="O57" s="33" t="inlineStr">
        <is>
          <t>Côte d'Ivoire</t>
        </is>
      </c>
      <c r="P57" s="33" t="inlineStr">
        <is>
          <t>Sim</t>
        </is>
      </c>
      <c r="Q57" s="33" t="inlineStr">
        <is>
          <t>https://www.fifa.com/en/tournaments/mens/worldcup/canadamexicousa2026/scores-fixtures?country=PT&amp;wtw-filter=ALL</t>
        </is>
      </c>
      <c r="R57" s="33" t="inlineStr">
        <is>
          <t>2026-10-14 21:45:27</t>
        </is>
      </c>
    </row>
    <row r="58">
      <c r="A58" s="33" t="inlineStr">
        <is>
          <t>Complete</t>
        </is>
      </c>
      <c r="B58" s="33" t="inlineStr">
        <is>
          <t>400021466</t>
        </is>
      </c>
      <c r="C58" s="33" t="inlineStr">
        <is>
          <t>2026-06-25 21:00</t>
        </is>
      </c>
      <c r="D58" s="33" t="inlineStr">
        <is>
          <t>2026-06-25 23:15</t>
        </is>
      </c>
      <c r="E58" s="33" t="inlineStr">
        <is>
          <t>First Stage</t>
        </is>
      </c>
      <c r="F58" s="33" t="inlineStr">
        <is>
          <t>Group E</t>
        </is>
      </c>
      <c r="G58" s="33" t="inlineStr">
        <is>
          <t>Ecuador</t>
        </is>
      </c>
      <c r="H58" s="33" t="inlineStr">
        <is>
          <t>ECU</t>
        </is>
      </c>
      <c r="I58" s="33" t="n">
        <v>2</v>
      </c>
      <c r="J58" s="33" t="inlineStr">
        <is>
          <t>Germany</t>
        </is>
      </c>
      <c r="K58" s="33" t="inlineStr">
        <is>
          <t>GER</t>
        </is>
      </c>
      <c r="L58" s="33" t="n">
        <v>1</v>
      </c>
      <c r="M58" s="33" t="inlineStr">
        <is>
          <t>0</t>
        </is>
      </c>
      <c r="N58" s="33" t="inlineStr">
        <is>
          <t>2-1</t>
        </is>
      </c>
      <c r="O58" s="33" t="inlineStr">
        <is>
          <t>Ecuador</t>
        </is>
      </c>
      <c r="P58" s="33" t="inlineStr">
        <is>
          <t>Sim</t>
        </is>
      </c>
      <c r="Q58" s="33" t="inlineStr">
        <is>
          <t>https://www.fifa.com/en/tournaments/mens/worldcup/canadamexicousa2026/scores-fixtures?country=PT&amp;wtw-filter=ALL</t>
        </is>
      </c>
      <c r="R58" s="33" t="inlineStr">
        <is>
          <t>2026-10-14 21:45:27</t>
        </is>
      </c>
    </row>
    <row r="59">
      <c r="A59" s="33" t="inlineStr">
        <is>
          <t>Complete</t>
        </is>
      </c>
      <c r="B59" s="33" t="inlineStr">
        <is>
          <t>400021471</t>
        </is>
      </c>
      <c r="C59" s="33" t="inlineStr">
        <is>
          <t>2026-06-26 00:00</t>
        </is>
      </c>
      <c r="D59" s="33" t="inlineStr">
        <is>
          <t>2026-06-26 02:15</t>
        </is>
      </c>
      <c r="E59" s="33" t="inlineStr">
        <is>
          <t>First Stage</t>
        </is>
      </c>
      <c r="F59" s="33" t="inlineStr">
        <is>
          <t>Group F</t>
        </is>
      </c>
      <c r="G59" s="33" t="inlineStr">
        <is>
          <t>Japan</t>
        </is>
      </c>
      <c r="H59" s="33" t="inlineStr">
        <is>
          <t>JPN</t>
        </is>
      </c>
      <c r="I59" s="33" t="n">
        <v>1</v>
      </c>
      <c r="J59" s="33" t="inlineStr">
        <is>
          <t>Sweden</t>
        </is>
      </c>
      <c r="K59" s="33" t="inlineStr">
        <is>
          <t>SWE</t>
        </is>
      </c>
      <c r="L59" s="33" t="n">
        <v>1</v>
      </c>
      <c r="M59" s="33" t="inlineStr">
        <is>
          <t>0</t>
        </is>
      </c>
      <c r="N59" s="33" t="inlineStr">
        <is>
          <t>1-1</t>
        </is>
      </c>
      <c r="O59" s="33" t="inlineStr">
        <is>
          <t>Empate</t>
        </is>
      </c>
      <c r="P59" s="33" t="inlineStr">
        <is>
          <t>Sim</t>
        </is>
      </c>
      <c r="Q59" s="33" t="inlineStr">
        <is>
          <t>https://www.fifa.com/en/tournaments/mens/worldcup/canadamexicousa2026/scores-fixtures?country=PT&amp;wtw-filter=ALL</t>
        </is>
      </c>
      <c r="R59" s="33" t="inlineStr">
        <is>
          <t>2026-10-14 21:45:27</t>
        </is>
      </c>
    </row>
    <row r="60">
      <c r="A60" s="33" t="inlineStr">
        <is>
          <t>Complete</t>
        </is>
      </c>
      <c r="B60" s="33" t="inlineStr">
        <is>
          <t>400021473</t>
        </is>
      </c>
      <c r="C60" s="33" t="inlineStr">
        <is>
          <t>2026-06-26 00:00</t>
        </is>
      </c>
      <c r="D60" s="33" t="inlineStr">
        <is>
          <t>2026-06-26 02:15</t>
        </is>
      </c>
      <c r="E60" s="33" t="inlineStr">
        <is>
          <t>First Stage</t>
        </is>
      </c>
      <c r="F60" s="33" t="inlineStr">
        <is>
          <t>Group F</t>
        </is>
      </c>
      <c r="G60" s="33" t="inlineStr">
        <is>
          <t>Tunisia</t>
        </is>
      </c>
      <c r="H60" s="33" t="inlineStr">
        <is>
          <t>TUN</t>
        </is>
      </c>
      <c r="I60" s="33" t="n">
        <v>1</v>
      </c>
      <c r="J60" s="33" t="inlineStr">
        <is>
          <t>Netherlands</t>
        </is>
      </c>
      <c r="K60" s="33" t="inlineStr">
        <is>
          <t>NED</t>
        </is>
      </c>
      <c r="L60" s="33" t="n">
        <v>3</v>
      </c>
      <c r="M60" s="33" t="inlineStr">
        <is>
          <t>0</t>
        </is>
      </c>
      <c r="N60" s="33" t="inlineStr">
        <is>
          <t>1-3</t>
        </is>
      </c>
      <c r="O60" s="33" t="inlineStr">
        <is>
          <t>Netherlands</t>
        </is>
      </c>
      <c r="P60" s="33" t="inlineStr">
        <is>
          <t>Sim</t>
        </is>
      </c>
      <c r="Q60" s="33" t="inlineStr">
        <is>
          <t>https://www.fifa.com/en/tournaments/mens/worldcup/canadamexicousa2026/scores-fixtures?country=PT&amp;wtw-filter=ALL</t>
        </is>
      </c>
      <c r="R60" s="33" t="inlineStr">
        <is>
          <t>2026-10-14 21:45:27</t>
        </is>
      </c>
    </row>
    <row r="61">
      <c r="A61" s="33" t="inlineStr">
        <is>
          <t>Complete</t>
        </is>
      </c>
      <c r="B61" s="33" t="inlineStr">
        <is>
          <t>400021461</t>
        </is>
      </c>
      <c r="C61" s="33" t="inlineStr">
        <is>
          <t>2026-06-26 03:00</t>
        </is>
      </c>
      <c r="D61" s="33" t="inlineStr">
        <is>
          <t>2026-06-26 05:15</t>
        </is>
      </c>
      <c r="E61" s="33" t="inlineStr">
        <is>
          <t>First Stage</t>
        </is>
      </c>
      <c r="F61" s="33" t="inlineStr">
        <is>
          <t>Group D</t>
        </is>
      </c>
      <c r="G61" s="33" t="inlineStr">
        <is>
          <t>Paraguay</t>
        </is>
      </c>
      <c r="H61" s="33" t="inlineStr">
        <is>
          <t>PAR</t>
        </is>
      </c>
      <c r="I61" s="33" t="n">
        <v>0</v>
      </c>
      <c r="J61" s="33" t="inlineStr">
        <is>
          <t>Australia</t>
        </is>
      </c>
      <c r="K61" s="33" t="inlineStr">
        <is>
          <t>AUS</t>
        </is>
      </c>
      <c r="L61" s="33" t="n">
        <v>0</v>
      </c>
      <c r="M61" s="33" t="inlineStr">
        <is>
          <t>0</t>
        </is>
      </c>
      <c r="N61" s="33" t="inlineStr">
        <is>
          <t>0-0</t>
        </is>
      </c>
      <c r="O61" s="33" t="inlineStr">
        <is>
          <t>Empate</t>
        </is>
      </c>
      <c r="P61" s="33" t="inlineStr">
        <is>
          <t>Sim</t>
        </is>
      </c>
      <c r="Q61" s="33" t="inlineStr">
        <is>
          <t>https://www.fifa.com/en/tournaments/mens/worldcup/canadamexicousa2026/scores-fixtures?country=PT&amp;wtw-filter=ALL</t>
        </is>
      </c>
      <c r="R61" s="33" t="inlineStr">
        <is>
          <t>2026-10-14 21:45:27</t>
        </is>
      </c>
    </row>
    <row r="62">
      <c r="A62" s="33" t="inlineStr">
        <is>
          <t>Complete</t>
        </is>
      </c>
      <c r="B62" s="33" t="inlineStr">
        <is>
          <t>400021459</t>
        </is>
      </c>
      <c r="C62" s="33" t="inlineStr">
        <is>
          <t>2026-06-26 03:00</t>
        </is>
      </c>
      <c r="D62" s="33" t="inlineStr">
        <is>
          <t>2026-06-26 05:15</t>
        </is>
      </c>
      <c r="E62" s="33" t="inlineStr">
        <is>
          <t>First Stage</t>
        </is>
      </c>
      <c r="F62" s="33" t="inlineStr">
        <is>
          <t>Group D</t>
        </is>
      </c>
      <c r="G62" s="33" t="inlineStr">
        <is>
          <t>Türkiye</t>
        </is>
      </c>
      <c r="H62" s="33" t="inlineStr">
        <is>
          <t>TUR</t>
        </is>
      </c>
      <c r="I62" s="33" t="n">
        <v>3</v>
      </c>
      <c r="J62" s="33" t="inlineStr">
        <is>
          <t>USA</t>
        </is>
      </c>
      <c r="K62" s="33" t="inlineStr">
        <is>
          <t>USA</t>
        </is>
      </c>
      <c r="L62" s="33" t="n">
        <v>2</v>
      </c>
      <c r="M62" s="33" t="inlineStr">
        <is>
          <t>0</t>
        </is>
      </c>
      <c r="N62" s="33" t="inlineStr">
        <is>
          <t>3-2</t>
        </is>
      </c>
      <c r="O62" s="33" t="inlineStr">
        <is>
          <t>Türkiye</t>
        </is>
      </c>
      <c r="P62" s="33" t="inlineStr">
        <is>
          <t>Sim</t>
        </is>
      </c>
      <c r="Q62" s="33" t="inlineStr">
        <is>
          <t>https://www.fifa.com/en/tournaments/mens/worldcup/canadamexicousa2026/scores-fixtures?country=PT&amp;wtw-filter=ALL</t>
        </is>
      </c>
      <c r="R62" s="33" t="inlineStr">
        <is>
          <t>2026-10-14 21:45:27</t>
        </is>
      </c>
    </row>
    <row r="63">
      <c r="A63" s="33" t="inlineStr">
        <is>
          <t>Complete</t>
        </is>
      </c>
      <c r="B63" s="33" t="inlineStr">
        <is>
          <t>400021489</t>
        </is>
      </c>
      <c r="C63" s="33" t="inlineStr">
        <is>
          <t>2026-06-26 20:00</t>
        </is>
      </c>
      <c r="D63" s="33" t="inlineStr">
        <is>
          <t>2026-06-26 22:15</t>
        </is>
      </c>
      <c r="E63" s="33" t="inlineStr">
        <is>
          <t>First Stage</t>
        </is>
      </c>
      <c r="F63" s="33" t="inlineStr">
        <is>
          <t>Group I</t>
        </is>
      </c>
      <c r="G63" s="33" t="inlineStr">
        <is>
          <t>Norway</t>
        </is>
      </c>
      <c r="H63" s="33" t="inlineStr">
        <is>
          <t>NOR</t>
        </is>
      </c>
      <c r="I63" s="33" t="n">
        <v>1</v>
      </c>
      <c r="J63" s="33" t="inlineStr">
        <is>
          <t>France</t>
        </is>
      </c>
      <c r="K63" s="33" t="inlineStr">
        <is>
          <t>FRA</t>
        </is>
      </c>
      <c r="L63" s="33" t="n">
        <v>4</v>
      </c>
      <c r="M63" s="33" t="inlineStr">
        <is>
          <t>0</t>
        </is>
      </c>
      <c r="N63" s="33" t="inlineStr">
        <is>
          <t>1-4</t>
        </is>
      </c>
      <c r="O63" s="33" t="inlineStr">
        <is>
          <t>France</t>
        </is>
      </c>
      <c r="P63" s="33" t="inlineStr">
        <is>
          <t>Sim</t>
        </is>
      </c>
      <c r="Q63" s="33" t="inlineStr">
        <is>
          <t>https://www.fifa.com/en/tournaments/mens/worldcup/canadamexicousa2026/scores-fixtures?country=PT&amp;wtw-filter=ALL</t>
        </is>
      </c>
      <c r="R63" s="33" t="inlineStr">
        <is>
          <t>2026-10-14 21:45:27</t>
        </is>
      </c>
    </row>
    <row r="64">
      <c r="A64" s="33" t="inlineStr">
        <is>
          <t>Complete</t>
        </is>
      </c>
      <c r="B64" s="33" t="inlineStr">
        <is>
          <t>400021493</t>
        </is>
      </c>
      <c r="C64" s="33" t="inlineStr">
        <is>
          <t>2026-06-26 20:00</t>
        </is>
      </c>
      <c r="D64" s="33" t="inlineStr">
        <is>
          <t>2026-06-26 22:15</t>
        </is>
      </c>
      <c r="E64" s="33" t="inlineStr">
        <is>
          <t>First Stage</t>
        </is>
      </c>
      <c r="F64" s="33" t="inlineStr">
        <is>
          <t>Group I</t>
        </is>
      </c>
      <c r="G64" s="33" t="inlineStr">
        <is>
          <t>Senegal</t>
        </is>
      </c>
      <c r="H64" s="33" t="inlineStr">
        <is>
          <t>SEN</t>
        </is>
      </c>
      <c r="I64" s="33" t="n">
        <v>5</v>
      </c>
      <c r="J64" s="33" t="inlineStr">
        <is>
          <t>Iraq</t>
        </is>
      </c>
      <c r="K64" s="33" t="inlineStr">
        <is>
          <t>IRQ</t>
        </is>
      </c>
      <c r="L64" s="33" t="n">
        <v>0</v>
      </c>
      <c r="M64" s="33" t="inlineStr">
        <is>
          <t>0</t>
        </is>
      </c>
      <c r="N64" s="33" t="inlineStr">
        <is>
          <t>5-0</t>
        </is>
      </c>
      <c r="O64" s="33" t="inlineStr">
        <is>
          <t>Senegal</t>
        </is>
      </c>
      <c r="P64" s="33" t="inlineStr">
        <is>
          <t>Sim</t>
        </is>
      </c>
      <c r="Q64" s="33" t="inlineStr">
        <is>
          <t>https://www.fifa.com/en/tournaments/mens/worldcup/canadamexicousa2026/scores-fixtures?country=PT&amp;wtw-filter=ALL</t>
        </is>
      </c>
      <c r="R64" s="33" t="inlineStr">
        <is>
          <t>2026-10-14 21:45:27</t>
        </is>
      </c>
    </row>
    <row r="65">
      <c r="A65" s="33" t="n"/>
      <c r="B65" s="33" t="inlineStr">
        <is>
          <t>400021485</t>
        </is>
      </c>
      <c r="C65" s="33" t="inlineStr">
        <is>
          <t>2026-06-27 01:00</t>
        </is>
      </c>
      <c r="D65" s="33" t="inlineStr">
        <is>
          <t>2026-06-27 03:15</t>
        </is>
      </c>
      <c r="E65" s="33" t="inlineStr">
        <is>
          <t>First Stage</t>
        </is>
      </c>
      <c r="F65" s="33" t="inlineStr">
        <is>
          <t>Group H</t>
        </is>
      </c>
      <c r="G65" s="33" t="inlineStr">
        <is>
          <t>Cabo Verde</t>
        </is>
      </c>
      <c r="H65" s="33" t="inlineStr">
        <is>
          <t>CPV</t>
        </is>
      </c>
      <c r="I65" s="33" t="n">
        <v>0</v>
      </c>
      <c r="J65" s="33" t="inlineStr">
        <is>
          <t>Saudi Arabia</t>
        </is>
      </c>
      <c r="K65" s="33" t="inlineStr">
        <is>
          <t>KSA</t>
        </is>
      </c>
      <c r="L65" s="33" t="n">
        <v>0</v>
      </c>
      <c r="M65" s="33" t="inlineStr">
        <is>
          <t>0</t>
        </is>
      </c>
      <c r="N65" s="33" t="inlineStr">
        <is>
          <t>0-0</t>
        </is>
      </c>
      <c r="O65" s="33" t="inlineStr">
        <is>
          <t>Empate</t>
        </is>
      </c>
      <c r="P65" s="33" t="inlineStr">
        <is>
          <t>Sim</t>
        </is>
      </c>
      <c r="Q65" s="33" t="inlineStr">
        <is>
          <t>https://www.fifa.com/en/tournaments/mens/worldcup/canadamexicousa2026/scores-fixtures?country=PT&amp;wtw-filter=ALL</t>
        </is>
      </c>
      <c r="R65" s="33" t="inlineStr">
        <is>
          <t>2026-10-14 21:45:27</t>
        </is>
      </c>
    </row>
    <row r="66">
      <c r="A66" s="33" t="inlineStr">
        <is>
          <t>Complete</t>
        </is>
      </c>
      <c r="B66" s="33" t="inlineStr">
        <is>
          <t>400021484</t>
        </is>
      </c>
      <c r="C66" s="33" t="inlineStr">
        <is>
          <t>2026-06-27 01:00</t>
        </is>
      </c>
      <c r="D66" s="33" t="inlineStr">
        <is>
          <t>2026-06-27 03:15</t>
        </is>
      </c>
      <c r="E66" s="33" t="inlineStr">
        <is>
          <t>First Stage</t>
        </is>
      </c>
      <c r="F66" s="33" t="inlineStr">
        <is>
          <t>Group H</t>
        </is>
      </c>
      <c r="G66" s="33" t="inlineStr">
        <is>
          <t>Uruguay</t>
        </is>
      </c>
      <c r="H66" s="33" t="inlineStr">
        <is>
          <t>URU</t>
        </is>
      </c>
      <c r="I66" s="33" t="n">
        <v>0</v>
      </c>
      <c r="J66" s="33" t="inlineStr">
        <is>
          <t>Spain</t>
        </is>
      </c>
      <c r="K66" s="33" t="inlineStr">
        <is>
          <t>ESP</t>
        </is>
      </c>
      <c r="L66" s="33" t="n">
        <v>1</v>
      </c>
      <c r="M66" s="33" t="inlineStr">
        <is>
          <t>0</t>
        </is>
      </c>
      <c r="N66" s="33" t="inlineStr">
        <is>
          <t>0-1</t>
        </is>
      </c>
      <c r="O66" s="33" t="inlineStr">
        <is>
          <t>Spain</t>
        </is>
      </c>
      <c r="P66" s="33" t="inlineStr">
        <is>
          <t>Sim</t>
        </is>
      </c>
      <c r="Q66" s="33" t="inlineStr">
        <is>
          <t>https://www.fifa.com/en/tournaments/mens/worldcup/canadamexicousa2026/scores-fixtures?country=PT&amp;wtw-filter=ALL</t>
        </is>
      </c>
      <c r="R66" s="33" t="inlineStr">
        <is>
          <t>2026-10-14 21:45:27</t>
        </is>
      </c>
    </row>
    <row r="67">
      <c r="A67" s="33" t="n"/>
      <c r="B67" s="33" t="inlineStr">
        <is>
          <t>400021479</t>
        </is>
      </c>
      <c r="C67" s="33" t="inlineStr">
        <is>
          <t>2026-06-27 04:00</t>
        </is>
      </c>
      <c r="D67" s="33" t="inlineStr">
        <is>
          <t>2026-06-27 06:15</t>
        </is>
      </c>
      <c r="E67" s="33" t="inlineStr">
        <is>
          <t>First Stage</t>
        </is>
      </c>
      <c r="F67" s="33" t="inlineStr">
        <is>
          <t>Group G</t>
        </is>
      </c>
      <c r="G67" s="33" t="inlineStr">
        <is>
          <t>Egypt</t>
        </is>
      </c>
      <c r="H67" s="33" t="inlineStr">
        <is>
          <t>EGY</t>
        </is>
      </c>
      <c r="I67" s="33" t="n">
        <v>1</v>
      </c>
      <c r="J67" s="33" t="inlineStr">
        <is>
          <t>IR Iran</t>
        </is>
      </c>
      <c r="K67" s="33" t="inlineStr">
        <is>
          <t>IRN</t>
        </is>
      </c>
      <c r="L67" s="33" t="n">
        <v>1</v>
      </c>
      <c r="M67" s="33" t="inlineStr">
        <is>
          <t>0</t>
        </is>
      </c>
      <c r="N67" s="33" t="inlineStr">
        <is>
          <t>1-1</t>
        </is>
      </c>
      <c r="O67" s="33" t="inlineStr">
        <is>
          <t>Empate</t>
        </is>
      </c>
      <c r="P67" s="33" t="inlineStr">
        <is>
          <t>Sim</t>
        </is>
      </c>
      <c r="Q67" s="33" t="inlineStr">
        <is>
          <t>https://www.fifa.com/en/tournaments/mens/worldcup/canadamexicousa2026/scores-fixtures?country=PT&amp;wtw-filter=ALL</t>
        </is>
      </c>
      <c r="R67" s="33" t="inlineStr">
        <is>
          <t>2026-10-14 21:45:27</t>
        </is>
      </c>
    </row>
    <row r="68">
      <c r="A68" s="33" t="inlineStr">
        <is>
          <t>Complete</t>
        </is>
      </c>
      <c r="B68" s="33" t="inlineStr">
        <is>
          <t>400021481</t>
        </is>
      </c>
      <c r="C68" s="33" t="inlineStr">
        <is>
          <t>2026-06-27 04:00</t>
        </is>
      </c>
      <c r="D68" s="33" t="inlineStr">
        <is>
          <t>2026-06-27 06:15</t>
        </is>
      </c>
      <c r="E68" s="33" t="inlineStr">
        <is>
          <t>First Stage</t>
        </is>
      </c>
      <c r="F68" s="33" t="inlineStr">
        <is>
          <t>Group G</t>
        </is>
      </c>
      <c r="G68" s="33" t="inlineStr">
        <is>
          <t>New Zealand</t>
        </is>
      </c>
      <c r="H68" s="33" t="inlineStr">
        <is>
          <t>NZL</t>
        </is>
      </c>
      <c r="I68" s="33" t="n">
        <v>1</v>
      </c>
      <c r="J68" s="33" t="inlineStr">
        <is>
          <t>Belgium</t>
        </is>
      </c>
      <c r="K68" s="33" t="inlineStr">
        <is>
          <t>BEL</t>
        </is>
      </c>
      <c r="L68" s="33" t="n">
        <v>5</v>
      </c>
      <c r="M68" s="33" t="inlineStr">
        <is>
          <t>0</t>
        </is>
      </c>
      <c r="N68" s="33" t="inlineStr">
        <is>
          <t>1-5</t>
        </is>
      </c>
      <c r="O68" s="33" t="inlineStr">
        <is>
          <t>Belgium</t>
        </is>
      </c>
      <c r="P68" s="33" t="inlineStr">
        <is>
          <t>Sim</t>
        </is>
      </c>
      <c r="Q68" s="33" t="inlineStr">
        <is>
          <t>https://www.fifa.com/en/tournaments/mens/worldcup/canadamexicousa2026/scores-fixtures?country=PT&amp;wtw-filter=ALL</t>
        </is>
      </c>
      <c r="R68" s="33" t="inlineStr">
        <is>
          <t>2026-10-14 21:45:27</t>
        </is>
      </c>
    </row>
    <row r="69">
      <c r="A69" s="33" t="inlineStr">
        <is>
          <t>Complete</t>
        </is>
      </c>
      <c r="B69" s="33" t="inlineStr">
        <is>
          <t>400021509</t>
        </is>
      </c>
      <c r="C69" s="33" t="inlineStr">
        <is>
          <t>2026-06-27 22:00</t>
        </is>
      </c>
      <c r="D69" s="33" t="inlineStr">
        <is>
          <t>2026-06-28 00:15</t>
        </is>
      </c>
      <c r="E69" s="33" t="inlineStr">
        <is>
          <t>First Stage</t>
        </is>
      </c>
      <c r="F69" s="33" t="inlineStr">
        <is>
          <t>Group L</t>
        </is>
      </c>
      <c r="G69" s="33" t="inlineStr">
        <is>
          <t>Croatia</t>
        </is>
      </c>
      <c r="H69" s="33" t="inlineStr">
        <is>
          <t>CRO</t>
        </is>
      </c>
      <c r="I69" s="33" t="n">
        <v>2</v>
      </c>
      <c r="J69" s="33" t="inlineStr">
        <is>
          <t>Ghana</t>
        </is>
      </c>
      <c r="K69" s="33" t="inlineStr">
        <is>
          <t>GHA</t>
        </is>
      </c>
      <c r="L69" s="33" t="n">
        <v>1</v>
      </c>
      <c r="M69" s="33" t="inlineStr">
        <is>
          <t>0</t>
        </is>
      </c>
      <c r="N69" s="33" t="inlineStr">
        <is>
          <t>2-1</t>
        </is>
      </c>
      <c r="O69" s="33" t="inlineStr">
        <is>
          <t>Croatia</t>
        </is>
      </c>
      <c r="P69" s="33" t="inlineStr">
        <is>
          <t>Sim</t>
        </is>
      </c>
      <c r="Q69" s="33" t="inlineStr">
        <is>
          <t>https://www.fifa.com/en/tournaments/mens/worldcup/canadamexicousa2026/scores-fixtures?country=PT&amp;wtw-filter=ALL</t>
        </is>
      </c>
      <c r="R69" s="33" t="inlineStr">
        <is>
          <t>2026-10-14 21:45:27</t>
        </is>
      </c>
    </row>
    <row r="70">
      <c r="A70" s="33" t="inlineStr">
        <is>
          <t>Complete</t>
        </is>
      </c>
      <c r="B70" s="33" t="inlineStr">
        <is>
          <t>400021508</t>
        </is>
      </c>
      <c r="C70" s="33" t="inlineStr">
        <is>
          <t>2026-06-27 22:00</t>
        </is>
      </c>
      <c r="D70" s="33" t="inlineStr">
        <is>
          <t>2026-06-28 00:15</t>
        </is>
      </c>
      <c r="E70" s="33" t="inlineStr">
        <is>
          <t>First Stage</t>
        </is>
      </c>
      <c r="F70" s="33" t="inlineStr">
        <is>
          <t>Group L</t>
        </is>
      </c>
      <c r="G70" s="33" t="inlineStr">
        <is>
          <t>Panama</t>
        </is>
      </c>
      <c r="H70" s="33" t="inlineStr">
        <is>
          <t>PAN</t>
        </is>
      </c>
      <c r="I70" s="33" t="n">
        <v>0</v>
      </c>
      <c r="J70" s="33" t="inlineStr">
        <is>
          <t>England</t>
        </is>
      </c>
      <c r="K70" s="33" t="inlineStr">
        <is>
          <t>ENG</t>
        </is>
      </c>
      <c r="L70" s="33" t="n">
        <v>2</v>
      </c>
      <c r="M70" s="33" t="inlineStr">
        <is>
          <t>0</t>
        </is>
      </c>
      <c r="N70" s="33" t="inlineStr">
        <is>
          <t>0-2</t>
        </is>
      </c>
      <c r="O70" s="33" t="inlineStr">
        <is>
          <t>England</t>
        </is>
      </c>
      <c r="P70" s="33" t="inlineStr">
        <is>
          <t>Sim</t>
        </is>
      </c>
      <c r="Q70" s="33" t="inlineStr">
        <is>
          <t>https://www.fifa.com/en/tournaments/mens/worldcup/canadamexicousa2026/scores-fixtures?country=PT&amp;wtw-filter=ALL</t>
        </is>
      </c>
      <c r="R70" s="33" t="inlineStr">
        <is>
          <t>2026-10-14 21:45:27</t>
        </is>
      </c>
    </row>
    <row r="71">
      <c r="A71" s="33" t="inlineStr">
        <is>
          <t>Complete</t>
        </is>
      </c>
      <c r="B71" s="33" t="inlineStr">
        <is>
          <t>400021505</t>
        </is>
      </c>
      <c r="C71" s="33" t="inlineStr">
        <is>
          <t>2026-06-28 00:30</t>
        </is>
      </c>
      <c r="D71" s="33" t="inlineStr">
        <is>
          <t>2026-06-28 02:45</t>
        </is>
      </c>
      <c r="E71" s="33" t="inlineStr">
        <is>
          <t>First Stage</t>
        </is>
      </c>
      <c r="F71" s="33" t="inlineStr">
        <is>
          <t>Group K</t>
        </is>
      </c>
      <c r="G71" s="33" t="inlineStr">
        <is>
          <t>Colombia</t>
        </is>
      </c>
      <c r="H71" s="33" t="inlineStr">
        <is>
          <t>COL</t>
        </is>
      </c>
      <c r="I71" s="33" t="n">
        <v>0</v>
      </c>
      <c r="J71" s="33" t="inlineStr">
        <is>
          <t>Portugal</t>
        </is>
      </c>
      <c r="K71" s="33" t="inlineStr">
        <is>
          <t>POR</t>
        </is>
      </c>
      <c r="L71" s="33" t="n">
        <v>0</v>
      </c>
      <c r="M71" s="33" t="inlineStr">
        <is>
          <t>0</t>
        </is>
      </c>
      <c r="N71" s="33" t="inlineStr">
        <is>
          <t>0-0</t>
        </is>
      </c>
      <c r="O71" s="33" t="inlineStr">
        <is>
          <t>Empate</t>
        </is>
      </c>
      <c r="P71" s="33" t="inlineStr">
        <is>
          <t>Sim</t>
        </is>
      </c>
      <c r="Q71" s="33" t="inlineStr">
        <is>
          <t>https://www.fifa.com/en/tournaments/mens/worldcup/canadamexicousa2026/scores-fixtures?country=PT&amp;wtw-filter=ALL</t>
        </is>
      </c>
      <c r="R71" s="33" t="inlineStr">
        <is>
          <t>2026-10-14 21:45:27</t>
        </is>
      </c>
    </row>
    <row r="72">
      <c r="A72" s="33" t="inlineStr">
        <is>
          <t>Complete</t>
        </is>
      </c>
      <c r="B72" s="33" t="inlineStr">
        <is>
          <t>400021500</t>
        </is>
      </c>
      <c r="C72" s="33" t="inlineStr">
        <is>
          <t>2026-06-28 00:30</t>
        </is>
      </c>
      <c r="D72" s="33" t="inlineStr">
        <is>
          <t>2026-06-28 02:45</t>
        </is>
      </c>
      <c r="E72" s="33" t="inlineStr">
        <is>
          <t>First Stage</t>
        </is>
      </c>
      <c r="F72" s="33" t="inlineStr">
        <is>
          <t>Group K</t>
        </is>
      </c>
      <c r="G72" s="33" t="inlineStr">
        <is>
          <t>Congo DR</t>
        </is>
      </c>
      <c r="H72" s="33" t="inlineStr">
        <is>
          <t>COD</t>
        </is>
      </c>
      <c r="I72" s="33" t="n">
        <v>3</v>
      </c>
      <c r="J72" s="33" t="inlineStr">
        <is>
          <t>Uzbekistan</t>
        </is>
      </c>
      <c r="K72" s="33" t="inlineStr">
        <is>
          <t>UZB</t>
        </is>
      </c>
      <c r="L72" s="33" t="n">
        <v>1</v>
      </c>
      <c r="M72" s="33" t="inlineStr">
        <is>
          <t>0</t>
        </is>
      </c>
      <c r="N72" s="33" t="inlineStr">
        <is>
          <t>3-1</t>
        </is>
      </c>
      <c r="O72" s="33" t="inlineStr">
        <is>
          <t>Congo DR</t>
        </is>
      </c>
      <c r="P72" s="33" t="inlineStr">
        <is>
          <t>Sim</t>
        </is>
      </c>
      <c r="Q72" s="33" t="inlineStr">
        <is>
          <t>https://www.fifa.com/en/tournaments/mens/worldcup/canadamexicousa2026/scores-fixtures?country=PT&amp;wtw-filter=ALL</t>
        </is>
      </c>
      <c r="R72" s="33" t="inlineStr">
        <is>
          <t>2026-10-14 21:45:27</t>
        </is>
      </c>
    </row>
    <row r="73">
      <c r="A73" s="33" t="inlineStr">
        <is>
          <t>Complete</t>
        </is>
      </c>
      <c r="B73" s="33" t="inlineStr">
        <is>
          <t>400021497</t>
        </is>
      </c>
      <c r="C73" s="33" t="inlineStr">
        <is>
          <t>2026-06-28 03:00</t>
        </is>
      </c>
      <c r="D73" s="33" t="inlineStr">
        <is>
          <t>2026-06-28 05:15</t>
        </is>
      </c>
      <c r="E73" s="33" t="inlineStr">
        <is>
          <t>First Stage</t>
        </is>
      </c>
      <c r="F73" s="33" t="inlineStr">
        <is>
          <t>Group J</t>
        </is>
      </c>
      <c r="G73" s="33" t="inlineStr">
        <is>
          <t>Algeria</t>
        </is>
      </c>
      <c r="H73" s="33" t="inlineStr">
        <is>
          <t>ALG</t>
        </is>
      </c>
      <c r="I73" s="33" t="n">
        <v>3</v>
      </c>
      <c r="J73" s="33" t="inlineStr">
        <is>
          <t>Austria</t>
        </is>
      </c>
      <c r="K73" s="33" t="inlineStr">
        <is>
          <t>AUT</t>
        </is>
      </c>
      <c r="L73" s="33" t="n">
        <v>3</v>
      </c>
      <c r="M73" s="33" t="inlineStr">
        <is>
          <t>0</t>
        </is>
      </c>
      <c r="N73" s="33" t="inlineStr">
        <is>
          <t>3-3</t>
        </is>
      </c>
      <c r="O73" s="33" t="inlineStr">
        <is>
          <t>Empate</t>
        </is>
      </c>
      <c r="P73" s="33" t="inlineStr">
        <is>
          <t>Sim</t>
        </is>
      </c>
      <c r="Q73" s="33" t="inlineStr">
        <is>
          <t>https://www.fifa.com/en/tournaments/mens/worldcup/canadamexicousa2026/scores-fixtures?country=PT&amp;wtw-filter=ALL</t>
        </is>
      </c>
      <c r="R73" s="33" t="inlineStr">
        <is>
          <t>2026-10-14 21:45:27</t>
        </is>
      </c>
    </row>
    <row r="74">
      <c r="A74" s="33" t="inlineStr">
        <is>
          <t>Complete</t>
        </is>
      </c>
      <c r="B74" s="33" t="inlineStr">
        <is>
          <t>400021495</t>
        </is>
      </c>
      <c r="C74" s="33" t="inlineStr">
        <is>
          <t>2026-06-28 03:00</t>
        </is>
      </c>
      <c r="D74" s="33" t="inlineStr">
        <is>
          <t>2026-06-28 05:15</t>
        </is>
      </c>
      <c r="E74" s="33" t="inlineStr">
        <is>
          <t>First Stage</t>
        </is>
      </c>
      <c r="F74" s="33" t="inlineStr">
        <is>
          <t>Group J</t>
        </is>
      </c>
      <c r="G74" s="33" t="inlineStr">
        <is>
          <t>Jordan</t>
        </is>
      </c>
      <c r="H74" s="33" t="inlineStr">
        <is>
          <t>JOR</t>
        </is>
      </c>
      <c r="I74" s="33" t="n">
        <v>1</v>
      </c>
      <c r="J74" s="33" t="inlineStr">
        <is>
          <t>Argentina</t>
        </is>
      </c>
      <c r="K74" s="33" t="inlineStr">
        <is>
          <t>ARG</t>
        </is>
      </c>
      <c r="L74" s="33" t="n">
        <v>3</v>
      </c>
      <c r="M74" s="33" t="inlineStr">
        <is>
          <t>0</t>
        </is>
      </c>
      <c r="N74" s="33" t="inlineStr">
        <is>
          <t>1-3</t>
        </is>
      </c>
      <c r="O74" s="33" t="inlineStr">
        <is>
          <t>Argentina</t>
        </is>
      </c>
      <c r="P74" s="33" t="inlineStr">
        <is>
          <t>Sim</t>
        </is>
      </c>
      <c r="Q74" s="33" t="inlineStr">
        <is>
          <t>https://www.fifa.com/en/tournaments/mens/worldcup/canadamexicousa2026/scores-fixtures?country=PT&amp;wtw-filter=ALL</t>
        </is>
      </c>
      <c r="R74" s="33" t="inlineStr">
        <is>
          <t>2026-10-14 21:45:27</t>
        </is>
      </c>
    </row>
    <row r="75">
      <c r="A75" s="33" t="n"/>
      <c r="B75" s="33" t="inlineStr">
        <is>
          <t>400021518</t>
        </is>
      </c>
      <c r="C75" s="33" t="inlineStr">
        <is>
          <t>2026-06-28 20:00</t>
        </is>
      </c>
      <c r="D75" s="33" t="inlineStr">
        <is>
          <t>2026-06-28 22:15</t>
        </is>
      </c>
      <c r="E75" s="33" t="inlineStr">
        <is>
          <t>Round of 32</t>
        </is>
      </c>
      <c r="F75" s="33" t="inlineStr"/>
      <c r="G75" s="33" t="inlineStr">
        <is>
          <t>South Africa</t>
        </is>
      </c>
      <c r="H75" s="33" t="inlineStr">
        <is>
          <t>RSA</t>
        </is>
      </c>
      <c r="I75" s="33" t="n">
        <v>0</v>
      </c>
      <c r="J75" s="33" t="inlineStr">
        <is>
          <t>Canada</t>
        </is>
      </c>
      <c r="K75" s="33" t="inlineStr">
        <is>
          <t>CAN</t>
        </is>
      </c>
      <c r="L75" s="33" t="n">
        <v>1</v>
      </c>
      <c r="M75" s="33" t="inlineStr">
        <is>
          <t>0</t>
        </is>
      </c>
      <c r="N75" s="33" t="inlineStr">
        <is>
          <t>0-1</t>
        </is>
      </c>
      <c r="O75" s="33" t="inlineStr">
        <is>
          <t>Canada</t>
        </is>
      </c>
      <c r="P75" s="33" t="inlineStr">
        <is>
          <t>Sim</t>
        </is>
      </c>
      <c r="Q75" s="33" t="inlineStr">
        <is>
          <t>https://www.fifa.com/en/tournaments/mens/worldcup/canadamexicousa2026/scores-fixtures?country=PT&amp;wtw-filter=ALL</t>
        </is>
      </c>
      <c r="R75" s="33" t="inlineStr">
        <is>
          <t>2026-10-14 21:45:27</t>
        </is>
      </c>
    </row>
    <row r="76">
      <c r="A76" s="33" t="n"/>
      <c r="B76" s="33" t="inlineStr">
        <is>
          <t>400021516</t>
        </is>
      </c>
      <c r="C76" s="33" t="inlineStr">
        <is>
          <t>2026-06-29 18:00</t>
        </is>
      </c>
      <c r="D76" s="33" t="inlineStr">
        <is>
          <t>2026-06-29 20:15</t>
        </is>
      </c>
      <c r="E76" s="33" t="inlineStr">
        <is>
          <t>Round of 32</t>
        </is>
      </c>
      <c r="F76" s="33" t="inlineStr"/>
      <c r="G76" s="33" t="inlineStr">
        <is>
          <t>Brazil</t>
        </is>
      </c>
      <c r="H76" s="33" t="inlineStr">
        <is>
          <t>BRA</t>
        </is>
      </c>
      <c r="I76" s="33" t="n">
        <v>2</v>
      </c>
      <c r="J76" s="33" t="inlineStr">
        <is>
          <t>Japan</t>
        </is>
      </c>
      <c r="K76" s="33" t="inlineStr">
        <is>
          <t>JPN</t>
        </is>
      </c>
      <c r="L76" s="33" t="n">
        <v>1</v>
      </c>
      <c r="M76" s="33" t="inlineStr">
        <is>
          <t>0</t>
        </is>
      </c>
      <c r="N76" s="33" t="inlineStr">
        <is>
          <t>2-1</t>
        </is>
      </c>
      <c r="O76" s="33" t="inlineStr">
        <is>
          <t>Brazil</t>
        </is>
      </c>
      <c r="P76" s="33" t="inlineStr">
        <is>
          <t>Sim</t>
        </is>
      </c>
      <c r="Q76" s="33" t="inlineStr">
        <is>
          <t>https://www.fifa.com/en/tournaments/mens/worldcup/canadamexicousa2026/scores-fixtures?country=PT&amp;wtw-filter=ALL</t>
        </is>
      </c>
      <c r="R76" s="33" t="inlineStr">
        <is>
          <t>2026-10-14 21:45:27</t>
        </is>
      </c>
    </row>
    <row r="77">
      <c r="A77" s="33" t="n"/>
      <c r="B77" s="33" t="inlineStr">
        <is>
          <t>400021522</t>
        </is>
      </c>
      <c r="C77" s="33" t="inlineStr">
        <is>
          <t>2026-06-30 02:00</t>
        </is>
      </c>
      <c r="D77" s="33" t="inlineStr">
        <is>
          <t>2026-06-30 04:15</t>
        </is>
      </c>
      <c r="E77" s="33" t="inlineStr">
        <is>
          <t>Round of 32</t>
        </is>
      </c>
      <c r="F77" s="33" t="inlineStr"/>
      <c r="G77" s="33" t="inlineStr">
        <is>
          <t>Netherlands</t>
        </is>
      </c>
      <c r="H77" s="33" t="inlineStr">
        <is>
          <t>NED</t>
        </is>
      </c>
      <c r="I77" s="33" t="n">
        <v>1</v>
      </c>
      <c r="J77" s="33" t="inlineStr">
        <is>
          <t>Morocco</t>
        </is>
      </c>
      <c r="K77" s="33" t="inlineStr">
        <is>
          <t>MAR</t>
        </is>
      </c>
      <c r="L77" s="33" t="n">
        <v>1</v>
      </c>
      <c r="M77" s="33" t="inlineStr">
        <is>
          <t>0</t>
        </is>
      </c>
      <c r="N77" s="33" t="inlineStr">
        <is>
          <t>1-1</t>
        </is>
      </c>
      <c r="O77" s="33" t="inlineStr">
        <is>
          <t>Empate</t>
        </is>
      </c>
      <c r="P77" s="33" t="inlineStr">
        <is>
          <t>Sim</t>
        </is>
      </c>
      <c r="Q77" s="33" t="inlineStr">
        <is>
          <t>https://www.fifa.com/en/tournaments/mens/worldcup/canadamexicousa2026/scores-fixtures?country=PT&amp;wtw-filter=ALL</t>
        </is>
      </c>
      <c r="R77" s="33" t="inlineStr">
        <is>
          <t>2026-10-14 21:45:27</t>
        </is>
      </c>
    </row>
    <row r="78">
      <c r="A78" s="33" t="n"/>
      <c r="B78" s="33" t="inlineStr">
        <is>
          <t>400021524</t>
        </is>
      </c>
      <c r="C78" s="33" t="inlineStr">
        <is>
          <t>2026-07-02 01:00</t>
        </is>
      </c>
      <c r="D78" s="33" t="inlineStr">
        <is>
          <t>2026-07-02 03:15</t>
        </is>
      </c>
      <c r="E78" s="33" t="inlineStr">
        <is>
          <t>Round of 32</t>
        </is>
      </c>
      <c r="F78" s="33" t="inlineStr"/>
      <c r="G78" s="33" t="inlineStr">
        <is>
          <t>USA</t>
        </is>
      </c>
      <c r="H78" s="33" t="inlineStr">
        <is>
          <t>USA</t>
        </is>
      </c>
      <c r="I78" s="33" t="n">
        <v>2</v>
      </c>
      <c r="J78" s="33" t="inlineStr">
        <is>
          <t>Bosnia and Herzegovina</t>
        </is>
      </c>
      <c r="K78" s="33" t="inlineStr">
        <is>
          <t>BIH</t>
        </is>
      </c>
      <c r="L78" s="33" t="n">
        <v>0</v>
      </c>
      <c r="M78" s="33" t="inlineStr">
        <is>
          <t>0</t>
        </is>
      </c>
      <c r="N78" s="33" t="inlineStr">
        <is>
          <t>2-0</t>
        </is>
      </c>
      <c r="O78" s="33" t="inlineStr">
        <is>
          <t>USA</t>
        </is>
      </c>
      <c r="P78" s="33" t="inlineStr">
        <is>
          <t>Sim</t>
        </is>
      </c>
      <c r="Q78" s="33" t="inlineStr">
        <is>
          <t>https://www.fifa.com/en/tournaments/mens/worldcup/canadamexicousa2026/scores-fixtures?country=PT&amp;wtw-filter=ALL</t>
        </is>
      </c>
      <c r="R78" s="33" t="inlineStr">
        <is>
          <t>2026-10-14 21:45:27</t>
        </is>
      </c>
    </row>
    <row r="79">
      <c r="A79" s="33" t="n"/>
      <c r="B79" s="33" t="inlineStr">
        <is>
          <t>400021514</t>
        </is>
      </c>
      <c r="C79" s="33" t="inlineStr">
        <is>
          <t>2026-06-30 18:00</t>
        </is>
      </c>
      <c r="D79" s="33" t="inlineStr">
        <is>
          <t>2026-06-30 20:15</t>
        </is>
      </c>
      <c r="E79" s="33" t="inlineStr">
        <is>
          <t>Round of 32</t>
        </is>
      </c>
      <c r="F79" s="33" t="inlineStr"/>
      <c r="G79" s="33" t="inlineStr">
        <is>
          <t>Côte d'Ivoire</t>
        </is>
      </c>
      <c r="H79" s="33" t="inlineStr">
        <is>
          <t>CIV</t>
        </is>
      </c>
      <c r="I79" s="33" t="n">
        <v>1</v>
      </c>
      <c r="J79" s="33" t="inlineStr">
        <is>
          <t>Norway</t>
        </is>
      </c>
      <c r="K79" s="33" t="inlineStr">
        <is>
          <t>NOR</t>
        </is>
      </c>
      <c r="L79" s="33" t="n">
        <v>2</v>
      </c>
      <c r="M79" s="33" t="inlineStr">
        <is>
          <t>0</t>
        </is>
      </c>
      <c r="N79" s="33" t="inlineStr">
        <is>
          <t>1-2</t>
        </is>
      </c>
      <c r="O79" s="33" t="inlineStr">
        <is>
          <t>Norway</t>
        </is>
      </c>
      <c r="P79" s="33" t="inlineStr">
        <is>
          <t>Sim</t>
        </is>
      </c>
      <c r="Q79" s="33" t="inlineStr">
        <is>
          <t>https://www.fifa.com/en/tournaments/mens/worldcup/canadamexicousa2026/scores-fixtures?country=PT&amp;wtw-filter=ALL</t>
        </is>
      </c>
      <c r="R79" s="33" t="inlineStr">
        <is>
          <t>2026-10-14 21:45:27</t>
        </is>
      </c>
    </row>
    <row r="80">
      <c r="A80" s="33" t="n"/>
      <c r="B80" s="33" t="inlineStr">
        <is>
          <t>400021513</t>
        </is>
      </c>
      <c r="C80" s="33" t="inlineStr">
        <is>
          <t>2026-06-29 21:30</t>
        </is>
      </c>
      <c r="D80" s="33" t="inlineStr">
        <is>
          <t>2026-06-29 23:45</t>
        </is>
      </c>
      <c r="E80" s="33" t="inlineStr">
        <is>
          <t>Round of 32</t>
        </is>
      </c>
      <c r="F80" s="33" t="inlineStr"/>
      <c r="G80" s="33" t="inlineStr">
        <is>
          <t>Germany</t>
        </is>
      </c>
      <c r="H80" s="33" t="inlineStr">
        <is>
          <t>GER</t>
        </is>
      </c>
      <c r="I80" s="33" t="n">
        <v>1</v>
      </c>
      <c r="J80" s="33" t="inlineStr">
        <is>
          <t>Paraguay</t>
        </is>
      </c>
      <c r="K80" s="33" t="inlineStr">
        <is>
          <t>PAR</t>
        </is>
      </c>
      <c r="L80" s="33" t="n">
        <v>1</v>
      </c>
      <c r="M80" s="33" t="inlineStr">
        <is>
          <t>0</t>
        </is>
      </c>
      <c r="N80" s="33" t="inlineStr">
        <is>
          <t>1-1</t>
        </is>
      </c>
      <c r="O80" s="33" t="inlineStr">
        <is>
          <t>Empate</t>
        </is>
      </c>
      <c r="P80" s="33" t="inlineStr">
        <is>
          <t>Sim</t>
        </is>
      </c>
      <c r="Q80" s="33" t="inlineStr">
        <is>
          <t>https://www.fifa.com/en/tournaments/mens/worldcup/canadamexicousa2026/scores-fixtures?country=PT&amp;wtw-filter=ALL</t>
        </is>
      </c>
      <c r="R80" s="33" t="inlineStr">
        <is>
          <t>2026-10-14 21:45:27</t>
        </is>
      </c>
    </row>
    <row r="81">
      <c r="A81" s="33" t="n"/>
      <c r="B81" s="33" t="inlineStr">
        <is>
          <t>400021523</t>
        </is>
      </c>
      <c r="C81" s="33" t="inlineStr">
        <is>
          <t>2026-06-30 22:00</t>
        </is>
      </c>
      <c r="D81" s="33" t="inlineStr">
        <is>
          <t>2026-07-01 00:15</t>
        </is>
      </c>
      <c r="E81" s="33" t="inlineStr">
        <is>
          <t>Round of 32</t>
        </is>
      </c>
      <c r="F81" s="33" t="inlineStr"/>
      <c r="G81" s="33" t="inlineStr">
        <is>
          <t>France</t>
        </is>
      </c>
      <c r="H81" s="33" t="inlineStr">
        <is>
          <t>FRA</t>
        </is>
      </c>
      <c r="I81" s="33" t="n">
        <v>3</v>
      </c>
      <c r="J81" s="33" t="inlineStr">
        <is>
          <t>Sweden</t>
        </is>
      </c>
      <c r="K81" s="33" t="inlineStr">
        <is>
          <t>SWE</t>
        </is>
      </c>
      <c r="L81" s="33" t="n">
        <v>0</v>
      </c>
      <c r="M81" s="33" t="inlineStr">
        <is>
          <t>0</t>
        </is>
      </c>
      <c r="N81" s="33" t="inlineStr">
        <is>
          <t>3-0</t>
        </is>
      </c>
      <c r="O81" s="33" t="inlineStr">
        <is>
          <t>France</t>
        </is>
      </c>
      <c r="P81" s="33" t="inlineStr">
        <is>
          <t>Sim</t>
        </is>
      </c>
      <c r="Q81" s="33" t="inlineStr">
        <is>
          <t>https://www.fifa.com/en/tournaments/mens/worldcup/canadamexicousa2026/scores-fixtures?country=PT&amp;wtw-filter=ALL</t>
        </is>
      </c>
      <c r="R81" s="33" t="inlineStr">
        <is>
          <t>2026-10-14 21:45:27</t>
        </is>
      </c>
    </row>
    <row r="82">
      <c r="A82" s="33" t="n"/>
      <c r="B82" s="33" t="inlineStr">
        <is>
          <t>400021521</t>
        </is>
      </c>
      <c r="C82" s="33" t="inlineStr">
        <is>
          <t>2026-07-03 23:00</t>
        </is>
      </c>
      <c r="D82" s="33" t="inlineStr">
        <is>
          <t>2026-07-04 01:15</t>
        </is>
      </c>
      <c r="E82" s="33" t="inlineStr">
        <is>
          <t>Round of 32</t>
        </is>
      </c>
      <c r="F82" s="33" t="inlineStr"/>
      <c r="G82" s="33" t="inlineStr">
        <is>
          <t>Argentina</t>
        </is>
      </c>
      <c r="H82" s="33" t="inlineStr">
        <is>
          <t>ARG</t>
        </is>
      </c>
      <c r="I82" s="33" t="n">
        <v>3</v>
      </c>
      <c r="J82" s="33" t="inlineStr">
        <is>
          <t>Cabo Verde</t>
        </is>
      </c>
      <c r="K82" s="33" t="inlineStr">
        <is>
          <t>CPV</t>
        </is>
      </c>
      <c r="L82" s="33" t="n">
        <v>2</v>
      </c>
      <c r="M82" s="33" t="inlineStr">
        <is>
          <t>0</t>
        </is>
      </c>
      <c r="N82" s="33" t="inlineStr">
        <is>
          <t>3-2</t>
        </is>
      </c>
      <c r="O82" s="33" t="inlineStr">
        <is>
          <t>Argentina</t>
        </is>
      </c>
      <c r="P82" s="33" t="inlineStr">
        <is>
          <t>Sim</t>
        </is>
      </c>
      <c r="Q82" s="33" t="inlineStr">
        <is>
          <t>https://www.fifa.com/en/tournaments/mens/worldcup/canadamexicousa2026/scores-fixtures?country=PT&amp;wtw-filter=ALL</t>
        </is>
      </c>
      <c r="R82" s="33" t="inlineStr">
        <is>
          <t>2026-10-14 21:45:27</t>
        </is>
      </c>
    </row>
    <row r="83">
      <c r="A83" s="33" t="n"/>
      <c r="B83" s="33" t="inlineStr">
        <is>
          <t>400021515</t>
        </is>
      </c>
      <c r="C83" s="33" t="inlineStr">
        <is>
          <t>2026-07-03 19:00</t>
        </is>
      </c>
      <c r="D83" s="33" t="inlineStr">
        <is>
          <t>2026-07-03 21:15</t>
        </is>
      </c>
      <c r="E83" s="33" t="inlineStr">
        <is>
          <t>Round of 32</t>
        </is>
      </c>
      <c r="F83" s="33" t="inlineStr"/>
      <c r="G83" s="33" t="inlineStr">
        <is>
          <t>Australia</t>
        </is>
      </c>
      <c r="H83" s="33" t="inlineStr">
        <is>
          <t>AUS</t>
        </is>
      </c>
      <c r="I83" s="33" t="n">
        <v>1</v>
      </c>
      <c r="J83" s="33" t="inlineStr">
        <is>
          <t>Egypt</t>
        </is>
      </c>
      <c r="K83" s="33" t="inlineStr">
        <is>
          <t>EGY</t>
        </is>
      </c>
      <c r="L83" s="33" t="n">
        <v>1</v>
      </c>
      <c r="M83" s="33" t="inlineStr">
        <is>
          <t>0</t>
        </is>
      </c>
      <c r="N83" s="33" t="inlineStr">
        <is>
          <t>1-1</t>
        </is>
      </c>
      <c r="O83" s="33" t="inlineStr">
        <is>
          <t>Empate</t>
        </is>
      </c>
      <c r="P83" s="33" t="inlineStr">
        <is>
          <t>Sim</t>
        </is>
      </c>
      <c r="Q83" s="33" t="inlineStr">
        <is>
          <t>https://www.fifa.com/en/tournaments/mens/worldcup/canadamexicousa2026/scores-fixtures?country=PT&amp;wtw-filter=ALL</t>
        </is>
      </c>
      <c r="R83" s="33" t="inlineStr">
        <is>
          <t>2026-10-14 21:45:27</t>
        </is>
      </c>
    </row>
    <row r="84">
      <c r="A84" s="33" t="n"/>
      <c r="B84" s="33" t="inlineStr">
        <is>
          <t>400021520</t>
        </is>
      </c>
      <c r="C84" s="33" t="inlineStr">
        <is>
          <t>2026-07-01 03:00</t>
        </is>
      </c>
      <c r="D84" s="33" t="inlineStr">
        <is>
          <t>2026-07-01 05:15</t>
        </is>
      </c>
      <c r="E84" s="33" t="inlineStr">
        <is>
          <t>Round of 32</t>
        </is>
      </c>
      <c r="F84" s="33" t="inlineStr"/>
      <c r="G84" s="33" t="inlineStr">
        <is>
          <t>Mexico</t>
        </is>
      </c>
      <c r="H84" s="33" t="inlineStr">
        <is>
          <t>MEX</t>
        </is>
      </c>
      <c r="I84" s="33" t="n">
        <v>2</v>
      </c>
      <c r="J84" s="33" t="inlineStr">
        <is>
          <t>Ecuador</t>
        </is>
      </c>
      <c r="K84" s="33" t="inlineStr">
        <is>
          <t>ECU</t>
        </is>
      </c>
      <c r="L84" s="33" t="n">
        <v>0</v>
      </c>
      <c r="M84" s="33" t="inlineStr">
        <is>
          <t>0</t>
        </is>
      </c>
      <c r="N84" s="33" t="inlineStr">
        <is>
          <t>2-0</t>
        </is>
      </c>
      <c r="O84" s="33" t="inlineStr">
        <is>
          <t>Mexico</t>
        </is>
      </c>
      <c r="P84" s="33" t="inlineStr">
        <is>
          <t>Sim</t>
        </is>
      </c>
      <c r="Q84" s="33" t="inlineStr">
        <is>
          <t>https://www.fifa.com/en/tournaments/mens/worldcup/canadamexicousa2026/scores-fixtures?country=PT&amp;wtw-filter=ALL</t>
        </is>
      </c>
      <c r="R84" s="33" t="inlineStr">
        <is>
          <t>2026-10-14 21:45:27</t>
        </is>
      </c>
    </row>
    <row r="85">
      <c r="A85" s="33" t="n"/>
      <c r="B85" s="33" t="inlineStr">
        <is>
          <t>400021512</t>
        </is>
      </c>
      <c r="C85" s="33" t="inlineStr">
        <is>
          <t>2026-07-01 17:00</t>
        </is>
      </c>
      <c r="D85" s="33" t="inlineStr">
        <is>
          <t>2026-07-01 19:15</t>
        </is>
      </c>
      <c r="E85" s="33" t="inlineStr">
        <is>
          <t>Round of 32</t>
        </is>
      </c>
      <c r="F85" s="33" t="inlineStr"/>
      <c r="G85" s="33" t="inlineStr">
        <is>
          <t>England</t>
        </is>
      </c>
      <c r="H85" s="33" t="inlineStr">
        <is>
          <t>ENG</t>
        </is>
      </c>
      <c r="I85" s="33" t="n">
        <v>2</v>
      </c>
      <c r="J85" s="33" t="inlineStr">
        <is>
          <t>Congo DR</t>
        </is>
      </c>
      <c r="K85" s="33" t="inlineStr">
        <is>
          <t>COD</t>
        </is>
      </c>
      <c r="L85" s="33" t="n">
        <v>1</v>
      </c>
      <c r="M85" s="33" t="inlineStr">
        <is>
          <t>0</t>
        </is>
      </c>
      <c r="N85" s="33" t="inlineStr">
        <is>
          <t>2-1</t>
        </is>
      </c>
      <c r="O85" s="33" t="inlineStr">
        <is>
          <t>England</t>
        </is>
      </c>
      <c r="P85" s="33" t="inlineStr">
        <is>
          <t>Sim</t>
        </is>
      </c>
      <c r="Q85" s="33" t="inlineStr">
        <is>
          <t>https://www.fifa.com/en/tournaments/mens/worldcup/canadamexicousa2026/scores-fixtures?country=PT&amp;wtw-filter=ALL</t>
        </is>
      </c>
      <c r="R85" s="33" t="inlineStr">
        <is>
          <t>2026-10-14 21:45:27</t>
        </is>
      </c>
    </row>
    <row r="86">
      <c r="A86" s="33" t="n"/>
      <c r="B86" s="33" t="inlineStr">
        <is>
          <t>400021525</t>
        </is>
      </c>
      <c r="C86" s="33" t="inlineStr">
        <is>
          <t>2026-07-01 21:00</t>
        </is>
      </c>
      <c r="D86" s="33" t="inlineStr">
        <is>
          <t>2026-07-01 23:15</t>
        </is>
      </c>
      <c r="E86" s="33" t="inlineStr">
        <is>
          <t>Round of 32</t>
        </is>
      </c>
      <c r="F86" s="33" t="inlineStr"/>
      <c r="G86" s="33" t="inlineStr">
        <is>
          <t>Belgium</t>
        </is>
      </c>
      <c r="H86" s="33" t="inlineStr">
        <is>
          <t>BEL</t>
        </is>
      </c>
      <c r="I86" s="33" t="n">
        <v>3</v>
      </c>
      <c r="J86" s="33" t="inlineStr">
        <is>
          <t>Senegal</t>
        </is>
      </c>
      <c r="K86" s="33" t="inlineStr">
        <is>
          <t>SEN</t>
        </is>
      </c>
      <c r="L86" s="33" t="n">
        <v>2</v>
      </c>
      <c r="M86" s="33" t="inlineStr">
        <is>
          <t>0</t>
        </is>
      </c>
      <c r="N86" s="33" t="inlineStr">
        <is>
          <t>3-2</t>
        </is>
      </c>
      <c r="O86" s="33" t="inlineStr">
        <is>
          <t>Belgium</t>
        </is>
      </c>
      <c r="P86" s="33" t="inlineStr">
        <is>
          <t>Sim</t>
        </is>
      </c>
      <c r="Q86" s="33" t="inlineStr">
        <is>
          <t>https://www.fifa.com/en/tournaments/mens/worldcup/canadamexicousa2026/scores-fixtures?country=PT&amp;wtw-filter=ALL</t>
        </is>
      </c>
      <c r="R86" s="33" t="inlineStr">
        <is>
          <t>2026-10-14 21:45:27</t>
        </is>
      </c>
    </row>
    <row r="87">
      <c r="A87" s="33" t="n"/>
      <c r="B87" s="33" t="inlineStr">
        <is>
          <t>400021526</t>
        </is>
      </c>
      <c r="C87" s="33" t="inlineStr">
        <is>
          <t>2026-07-03 00:00</t>
        </is>
      </c>
      <c r="D87" s="33" t="inlineStr">
        <is>
          <t>2026-07-03 02:15</t>
        </is>
      </c>
      <c r="E87" s="33" t="inlineStr">
        <is>
          <t>Round of 32</t>
        </is>
      </c>
      <c r="F87" s="33" t="inlineStr"/>
      <c r="G87" s="33" t="inlineStr">
        <is>
          <t>Portugal</t>
        </is>
      </c>
      <c r="H87" s="33" t="inlineStr">
        <is>
          <t>POR</t>
        </is>
      </c>
      <c r="I87" s="33" t="n">
        <v>2</v>
      </c>
      <c r="J87" s="33" t="inlineStr">
        <is>
          <t>Croatia</t>
        </is>
      </c>
      <c r="K87" s="33" t="inlineStr">
        <is>
          <t>CRO</t>
        </is>
      </c>
      <c r="L87" s="33" t="n">
        <v>1</v>
      </c>
      <c r="M87" s="33" t="inlineStr">
        <is>
          <t>0</t>
        </is>
      </c>
      <c r="N87" s="33" t="inlineStr">
        <is>
          <t>2-1</t>
        </is>
      </c>
      <c r="O87" s="33" t="inlineStr">
        <is>
          <t>Portugal</t>
        </is>
      </c>
      <c r="P87" s="33" t="inlineStr">
        <is>
          <t>Sim</t>
        </is>
      </c>
      <c r="Q87" s="33" t="inlineStr">
        <is>
          <t>https://www.fifa.com/en/tournaments/mens/worldcup/canadamexicousa2026/scores-fixtures?country=PT&amp;wtw-filter=ALL</t>
        </is>
      </c>
      <c r="R87" s="33" t="inlineStr">
        <is>
          <t>2026-10-14 21:45:27</t>
        </is>
      </c>
    </row>
    <row r="88">
      <c r="A88" s="33" t="n"/>
      <c r="B88" s="33" t="inlineStr">
        <is>
          <t>400021517</t>
        </is>
      </c>
      <c r="C88" s="33" t="inlineStr">
        <is>
          <t>2026-07-04 02:30</t>
        </is>
      </c>
      <c r="D88" s="33" t="inlineStr">
        <is>
          <t>2026-07-04 04:45</t>
        </is>
      </c>
      <c r="E88" s="33" t="inlineStr">
        <is>
          <t>Round of 32</t>
        </is>
      </c>
      <c r="F88" s="33" t="inlineStr"/>
      <c r="G88" s="33" t="inlineStr">
        <is>
          <t>Colombia</t>
        </is>
      </c>
      <c r="H88" s="33" t="inlineStr">
        <is>
          <t>COL</t>
        </is>
      </c>
      <c r="I88" s="33" t="n">
        <v>1</v>
      </c>
      <c r="J88" s="33" t="inlineStr">
        <is>
          <t>Ghana</t>
        </is>
      </c>
      <c r="K88" s="33" t="inlineStr">
        <is>
          <t>GHA</t>
        </is>
      </c>
      <c r="L88" s="33" t="n">
        <v>0</v>
      </c>
      <c r="M88" s="33" t="inlineStr">
        <is>
          <t>0</t>
        </is>
      </c>
      <c r="N88" s="33" t="inlineStr">
        <is>
          <t>1-0</t>
        </is>
      </c>
      <c r="O88" s="33" t="inlineStr">
        <is>
          <t>Colombia</t>
        </is>
      </c>
      <c r="P88" s="33" t="inlineStr">
        <is>
          <t>Sim</t>
        </is>
      </c>
      <c r="Q88" s="33" t="inlineStr">
        <is>
          <t>https://www.fifa.com/en/tournaments/mens/worldcup/canadamexicousa2026/scores-fixtures?country=PT&amp;wtw-filter=ALL</t>
        </is>
      </c>
      <c r="R88" s="33" t="inlineStr">
        <is>
          <t>2026-10-14 21:45:27</t>
        </is>
      </c>
    </row>
    <row r="89">
      <c r="A89" s="33" t="n"/>
      <c r="B89" s="33" t="inlineStr">
        <is>
          <t>400021519</t>
        </is>
      </c>
      <c r="C89" s="33" t="inlineStr">
        <is>
          <t>2026-07-02 20:00</t>
        </is>
      </c>
      <c r="D89" s="33" t="inlineStr">
        <is>
          <t>2026-07-02 22:15</t>
        </is>
      </c>
      <c r="E89" s="33" t="inlineStr">
        <is>
          <t>Round of 32</t>
        </is>
      </c>
      <c r="F89" s="33" t="inlineStr"/>
      <c r="G89" s="33" t="inlineStr">
        <is>
          <t>Spain</t>
        </is>
      </c>
      <c r="H89" s="33" t="inlineStr">
        <is>
          <t>ESP</t>
        </is>
      </c>
      <c r="I89" s="33" t="n">
        <v>3</v>
      </c>
      <c r="J89" s="33" t="inlineStr">
        <is>
          <t>Austria</t>
        </is>
      </c>
      <c r="K89" s="33" t="inlineStr">
        <is>
          <t>AUT</t>
        </is>
      </c>
      <c r="L89" s="33" t="n">
        <v>0</v>
      </c>
      <c r="M89" s="33" t="inlineStr">
        <is>
          <t>0</t>
        </is>
      </c>
      <c r="N89" s="33" t="inlineStr">
        <is>
          <t>3-0</t>
        </is>
      </c>
      <c r="O89" s="33" t="inlineStr">
        <is>
          <t>Spain</t>
        </is>
      </c>
      <c r="P89" s="33" t="inlineStr">
        <is>
          <t>Sim</t>
        </is>
      </c>
      <c r="Q89" s="33" t="inlineStr">
        <is>
          <t>https://www.fifa.com/en/tournaments/mens/worldcup/canadamexicousa2026/scores-fixtures?country=PT&amp;wtw-filter=ALL</t>
        </is>
      </c>
      <c r="R89" s="33" t="inlineStr">
        <is>
          <t>2026-10-14 21:45:27</t>
        </is>
      </c>
    </row>
    <row r="90">
      <c r="A90" s="33" t="n"/>
      <c r="B90" s="33" t="inlineStr">
        <is>
          <t>400021527</t>
        </is>
      </c>
      <c r="C90" s="33" t="inlineStr">
        <is>
          <t>2026-07-03 04:00</t>
        </is>
      </c>
      <c r="D90" s="33" t="inlineStr">
        <is>
          <t>2026-07-03 06:15</t>
        </is>
      </c>
      <c r="E90" s="33" t="inlineStr">
        <is>
          <t>Round of 32</t>
        </is>
      </c>
      <c r="F90" s="33" t="inlineStr"/>
      <c r="G90" s="33" t="inlineStr">
        <is>
          <t>Switzerland</t>
        </is>
      </c>
      <c r="H90" s="33" t="inlineStr">
        <is>
          <t>SUI</t>
        </is>
      </c>
      <c r="I90" s="33" t="n">
        <v>2</v>
      </c>
      <c r="J90" s="33" t="inlineStr">
        <is>
          <t>Algeria</t>
        </is>
      </c>
      <c r="K90" s="33" t="inlineStr">
        <is>
          <t>ALG</t>
        </is>
      </c>
      <c r="L90" s="33" t="n">
        <v>0</v>
      </c>
      <c r="M90" s="33" t="inlineStr">
        <is>
          <t>0</t>
        </is>
      </c>
      <c r="N90" s="33" t="inlineStr">
        <is>
          <t>2-0</t>
        </is>
      </c>
      <c r="O90" s="33" t="inlineStr">
        <is>
          <t>Switzerland</t>
        </is>
      </c>
      <c r="P90" s="33" t="inlineStr">
        <is>
          <t>Sim</t>
        </is>
      </c>
      <c r="Q90" s="33" t="inlineStr">
        <is>
          <t>https://www.fifa.com/en/tournaments/mens/worldcup/canadamexicousa2026/scores-fixtures?country=PT&amp;wtw-filter=ALL</t>
        </is>
      </c>
      <c r="R90" s="33" t="inlineStr">
        <is>
          <t>2026-10-14 21:45:27</t>
        </is>
      </c>
    </row>
    <row r="91">
      <c r="A91" s="33" t="n"/>
      <c r="B91" s="33" t="inlineStr">
        <is>
          <t>400021530</t>
        </is>
      </c>
      <c r="C91" s="33" t="inlineStr">
        <is>
          <t>2026-07-04 18:00</t>
        </is>
      </c>
      <c r="D91" s="33" t="inlineStr">
        <is>
          <t>2026-07-04 20:15</t>
        </is>
      </c>
      <c r="E91" s="33" t="inlineStr">
        <is>
          <t>Round of 16</t>
        </is>
      </c>
      <c r="F91" s="33" t="inlineStr"/>
      <c r="G91" s="33" t="inlineStr">
        <is>
          <t>Canada</t>
        </is>
      </c>
      <c r="H91" s="33" t="inlineStr">
        <is>
          <t>CAN</t>
        </is>
      </c>
      <c r="I91" s="33" t="n">
        <v>0</v>
      </c>
      <c r="J91" s="33" t="inlineStr">
        <is>
          <t>Morocco</t>
        </is>
      </c>
      <c r="K91" s="33" t="inlineStr">
        <is>
          <t>MAR</t>
        </is>
      </c>
      <c r="L91" s="33" t="n">
        <v>3</v>
      </c>
      <c r="M91" s="33" t="inlineStr">
        <is>
          <t>0</t>
        </is>
      </c>
      <c r="N91" s="33" t="inlineStr">
        <is>
          <t>0-3</t>
        </is>
      </c>
      <c r="O91" s="33" t="inlineStr">
        <is>
          <t>Morocco</t>
        </is>
      </c>
      <c r="P91" s="33" t="inlineStr">
        <is>
          <t>Sim</t>
        </is>
      </c>
      <c r="Q91" s="33" t="inlineStr">
        <is>
          <t>https://www.fifa.com/en/tournaments/mens/worldcup/canadamexicousa2026/scores-fixtures?country=PT&amp;wtw-filter=ALL</t>
        </is>
      </c>
      <c r="R91" s="33" t="inlineStr">
        <is>
          <t>2026-10-14 21:45:27</t>
        </is>
      </c>
    </row>
    <row r="92">
      <c r="A92" s="33" t="n"/>
      <c r="B92" s="33" t="inlineStr">
        <is>
          <t>400021532</t>
        </is>
      </c>
      <c r="C92" s="33" t="inlineStr">
        <is>
          <t>2026-07-05 21:00</t>
        </is>
      </c>
      <c r="D92" s="33" t="inlineStr">
        <is>
          <t>2026-07-05 23:15</t>
        </is>
      </c>
      <c r="E92" s="33" t="inlineStr">
        <is>
          <t>Round of 16</t>
        </is>
      </c>
      <c r="F92" s="33" t="inlineStr"/>
      <c r="G92" s="33" t="inlineStr">
        <is>
          <t>Brazil</t>
        </is>
      </c>
      <c r="H92" s="33" t="inlineStr">
        <is>
          <t>BRA</t>
        </is>
      </c>
      <c r="I92" s="33" t="n">
        <v>1</v>
      </c>
      <c r="J92" s="33" t="inlineStr">
        <is>
          <t>Norway</t>
        </is>
      </c>
      <c r="K92" s="33" t="inlineStr">
        <is>
          <t>NOR</t>
        </is>
      </c>
      <c r="L92" s="33" t="n">
        <v>2</v>
      </c>
      <c r="M92" s="33" t="inlineStr">
        <is>
          <t>0</t>
        </is>
      </c>
      <c r="N92" s="33" t="inlineStr">
        <is>
          <t>1-2</t>
        </is>
      </c>
      <c r="O92" s="33" t="inlineStr">
        <is>
          <t>Norway</t>
        </is>
      </c>
      <c r="P92" s="33" t="inlineStr">
        <is>
          <t>Sim</t>
        </is>
      </c>
      <c r="Q92" s="33" t="inlineStr">
        <is>
          <t>https://www.fifa.com/en/tournaments/mens/worldcup/canadamexicousa2026/scores-fixtures?country=PT&amp;wtw-filter=ALL</t>
        </is>
      </c>
      <c r="R92" s="33" t="inlineStr">
        <is>
          <t>2026-10-14 21:45:27</t>
        </is>
      </c>
    </row>
    <row r="93">
      <c r="A93" s="33" t="n"/>
      <c r="B93" s="33" t="inlineStr">
        <is>
          <t>400021533</t>
        </is>
      </c>
      <c r="C93" s="33" t="inlineStr">
        <is>
          <t>2026-07-04 22:00</t>
        </is>
      </c>
      <c r="D93" s="33" t="inlineStr">
        <is>
          <t>2026-07-05 00:15</t>
        </is>
      </c>
      <c r="E93" s="33" t="inlineStr">
        <is>
          <t>Round of 16</t>
        </is>
      </c>
      <c r="F93" s="33" t="inlineStr"/>
      <c r="G93" s="33" t="inlineStr">
        <is>
          <t>Paraguay</t>
        </is>
      </c>
      <c r="H93" s="33" t="inlineStr">
        <is>
          <t>PAR</t>
        </is>
      </c>
      <c r="I93" s="33" t="n">
        <v>0</v>
      </c>
      <c r="J93" s="33" t="inlineStr">
        <is>
          <t>France</t>
        </is>
      </c>
      <c r="K93" s="33" t="inlineStr">
        <is>
          <t>FRA</t>
        </is>
      </c>
      <c r="L93" s="33" t="n">
        <v>1</v>
      </c>
      <c r="M93" s="33" t="inlineStr">
        <is>
          <t>0</t>
        </is>
      </c>
      <c r="N93" s="33" t="inlineStr">
        <is>
          <t>0-1</t>
        </is>
      </c>
      <c r="O93" s="33" t="inlineStr">
        <is>
          <t>France</t>
        </is>
      </c>
      <c r="P93" s="33" t="inlineStr">
        <is>
          <t>Sim</t>
        </is>
      </c>
      <c r="Q93" s="33" t="inlineStr">
        <is>
          <t>https://www.fifa.com/en/tournaments/mens/worldcup/canadamexicousa2026/scores-fixtures?country=PT&amp;wtw-filter=ALL</t>
        </is>
      </c>
      <c r="R93" s="33" t="inlineStr">
        <is>
          <t>2026-10-14 21:45:27</t>
        </is>
      </c>
    </row>
    <row r="94">
      <c r="A94" s="33" t="n"/>
      <c r="B94" s="33" t="inlineStr">
        <is>
          <t>400021531</t>
        </is>
      </c>
      <c r="C94" s="33" t="inlineStr">
        <is>
          <t>2026-07-06 02:00</t>
        </is>
      </c>
      <c r="D94" s="33" t="inlineStr">
        <is>
          <t>2026-07-06 04:15</t>
        </is>
      </c>
      <c r="E94" s="33" t="inlineStr">
        <is>
          <t>Round of 16</t>
        </is>
      </c>
      <c r="F94" s="33" t="inlineStr"/>
      <c r="G94" s="33" t="inlineStr">
        <is>
          <t>Mexico</t>
        </is>
      </c>
      <c r="H94" s="33" t="inlineStr">
        <is>
          <t>MEX</t>
        </is>
      </c>
      <c r="I94" s="33" t="n">
        <v>2</v>
      </c>
      <c r="J94" s="33" t="inlineStr">
        <is>
          <t>England</t>
        </is>
      </c>
      <c r="K94" s="33" t="inlineStr">
        <is>
          <t>ENG</t>
        </is>
      </c>
      <c r="L94" s="33" t="n">
        <v>3</v>
      </c>
      <c r="M94" s="33" t="inlineStr">
        <is>
          <t>0</t>
        </is>
      </c>
      <c r="N94" s="33" t="inlineStr">
        <is>
          <t>2-3</t>
        </is>
      </c>
      <c r="O94" s="33" t="inlineStr">
        <is>
          <t>England</t>
        </is>
      </c>
      <c r="P94" s="33" t="inlineStr">
        <is>
          <t>Sim</t>
        </is>
      </c>
      <c r="Q94" s="33" t="inlineStr">
        <is>
          <t>https://www.fifa.com/en/tournaments/mens/worldcup/canadamexicousa2026/scores-fixtures?country=PT&amp;wtw-filter=ALL</t>
        </is>
      </c>
      <c r="R94" s="33" t="inlineStr">
        <is>
          <t>2026-10-14 21:45:27</t>
        </is>
      </c>
    </row>
    <row r="95">
      <c r="A95" s="33" t="n"/>
      <c r="B95" s="33" t="inlineStr">
        <is>
          <t>400021534</t>
        </is>
      </c>
      <c r="C95" s="33" t="inlineStr">
        <is>
          <t>2026-07-07 01:00</t>
        </is>
      </c>
      <c r="D95" s="33" t="inlineStr">
        <is>
          <t>2026-07-07 03:15</t>
        </is>
      </c>
      <c r="E95" s="33" t="inlineStr">
        <is>
          <t>Round of 16</t>
        </is>
      </c>
      <c r="F95" s="33" t="inlineStr"/>
      <c r="G95" s="33" t="inlineStr">
        <is>
          <t>USA</t>
        </is>
      </c>
      <c r="H95" s="33" t="inlineStr">
        <is>
          <t>USA</t>
        </is>
      </c>
      <c r="I95" s="33" t="n">
        <v>1</v>
      </c>
      <c r="J95" s="33" t="inlineStr">
        <is>
          <t>Belgium</t>
        </is>
      </c>
      <c r="K95" s="33" t="inlineStr">
        <is>
          <t>BEL</t>
        </is>
      </c>
      <c r="L95" s="33" t="n">
        <v>4</v>
      </c>
      <c r="M95" s="33" t="inlineStr">
        <is>
          <t>0</t>
        </is>
      </c>
      <c r="N95" s="33" t="inlineStr">
        <is>
          <t>1-4</t>
        </is>
      </c>
      <c r="O95" s="33" t="inlineStr">
        <is>
          <t>Belgium</t>
        </is>
      </c>
      <c r="P95" s="33" t="inlineStr">
        <is>
          <t>Sim</t>
        </is>
      </c>
      <c r="Q95" s="33" t="inlineStr">
        <is>
          <t>https://www.fifa.com/en/tournaments/mens/worldcup/canadamexicousa2026/scores-fixtures?country=PT&amp;wtw-filter=ALL</t>
        </is>
      </c>
      <c r="R95" s="33" t="inlineStr">
        <is>
          <t>2026-10-14 21:45:27</t>
        </is>
      </c>
    </row>
    <row r="96">
      <c r="A96" s="33" t="n"/>
      <c r="B96" s="33" t="inlineStr">
        <is>
          <t>400021529</t>
        </is>
      </c>
      <c r="C96" s="33" t="inlineStr">
        <is>
          <t>2026-07-06 20:00</t>
        </is>
      </c>
      <c r="D96" s="33" t="inlineStr">
        <is>
          <t>2026-07-06 22:15</t>
        </is>
      </c>
      <c r="E96" s="33" t="inlineStr">
        <is>
          <t>Round of 16</t>
        </is>
      </c>
      <c r="F96" s="33" t="inlineStr"/>
      <c r="G96" s="33" t="inlineStr">
        <is>
          <t>Portugal</t>
        </is>
      </c>
      <c r="H96" s="33" t="inlineStr">
        <is>
          <t>POR</t>
        </is>
      </c>
      <c r="I96" s="33" t="n">
        <v>0</v>
      </c>
      <c r="J96" s="33" t="inlineStr">
        <is>
          <t>Spain</t>
        </is>
      </c>
      <c r="K96" s="33" t="inlineStr">
        <is>
          <t>ESP</t>
        </is>
      </c>
      <c r="L96" s="33" t="n">
        <v>1</v>
      </c>
      <c r="M96" s="33" t="inlineStr">
        <is>
          <t>0</t>
        </is>
      </c>
      <c r="N96" s="33" t="inlineStr">
        <is>
          <t>0-1</t>
        </is>
      </c>
      <c r="O96" s="33" t="inlineStr">
        <is>
          <t>Spain</t>
        </is>
      </c>
      <c r="P96" s="33" t="inlineStr">
        <is>
          <t>Sim</t>
        </is>
      </c>
      <c r="Q96" s="33" t="inlineStr">
        <is>
          <t>https://www.fifa.com/en/tournaments/mens/worldcup/canadamexicousa2026/scores-fixtures?country=PT&amp;wtw-filter=ALL</t>
        </is>
      </c>
      <c r="R96" s="33" t="inlineStr">
        <is>
          <t>2026-10-14 21:45:27</t>
        </is>
      </c>
    </row>
    <row r="97">
      <c r="A97" s="33" t="n"/>
      <c r="B97" s="33" t="inlineStr">
        <is>
          <t>400021528</t>
        </is>
      </c>
      <c r="C97" s="33" t="inlineStr">
        <is>
          <t>2026-07-07 17:00</t>
        </is>
      </c>
      <c r="D97" s="33" t="inlineStr">
        <is>
          <t>2026-07-07 19:15</t>
        </is>
      </c>
      <c r="E97" s="33" t="inlineStr">
        <is>
          <t>Round of 16</t>
        </is>
      </c>
      <c r="F97" s="33" t="inlineStr"/>
      <c r="G97" s="33" t="inlineStr">
        <is>
          <t>Argentina</t>
        </is>
      </c>
      <c r="H97" s="33" t="inlineStr">
        <is>
          <t>ARG</t>
        </is>
      </c>
      <c r="I97" s="33" t="n">
        <v>3</v>
      </c>
      <c r="J97" s="33" t="inlineStr">
        <is>
          <t>Egypt</t>
        </is>
      </c>
      <c r="K97" s="33" t="inlineStr">
        <is>
          <t>EGY</t>
        </is>
      </c>
      <c r="L97" s="33" t="n">
        <v>2</v>
      </c>
      <c r="M97" s="33" t="inlineStr">
        <is>
          <t>0</t>
        </is>
      </c>
      <c r="N97" s="33" t="inlineStr">
        <is>
          <t>3-2</t>
        </is>
      </c>
      <c r="O97" s="33" t="inlineStr">
        <is>
          <t>Argentina</t>
        </is>
      </c>
      <c r="P97" s="33" t="inlineStr">
        <is>
          <t>Sim</t>
        </is>
      </c>
      <c r="Q97" s="33" t="inlineStr">
        <is>
          <t>https://www.fifa.com/en/tournaments/mens/worldcup/canadamexicousa2026/scores-fixtures?country=PT&amp;wtw-filter=ALL</t>
        </is>
      </c>
      <c r="R97" s="33" t="inlineStr">
        <is>
          <t>2026-10-14 21:45:27</t>
        </is>
      </c>
    </row>
    <row r="98">
      <c r="A98" s="33" t="n"/>
      <c r="B98" s="33" t="inlineStr">
        <is>
          <t>400021535</t>
        </is>
      </c>
      <c r="C98" s="33" t="inlineStr">
        <is>
          <t>2026-07-07 21:00</t>
        </is>
      </c>
      <c r="D98" s="33" t="inlineStr">
        <is>
          <t>2026-07-07 23:15</t>
        </is>
      </c>
      <c r="E98" s="33" t="inlineStr">
        <is>
          <t>Round of 16</t>
        </is>
      </c>
      <c r="F98" s="33" t="inlineStr"/>
      <c r="G98" s="33" t="inlineStr">
        <is>
          <t>Switzerland</t>
        </is>
      </c>
      <c r="H98" s="33" t="inlineStr">
        <is>
          <t>SUI</t>
        </is>
      </c>
      <c r="I98" s="33" t="n">
        <v>0</v>
      </c>
      <c r="J98" s="33" t="inlineStr">
        <is>
          <t>Colombia</t>
        </is>
      </c>
      <c r="K98" s="33" t="inlineStr">
        <is>
          <t>COL</t>
        </is>
      </c>
      <c r="L98" s="33" t="n">
        <v>0</v>
      </c>
      <c r="M98" s="33" t="inlineStr">
        <is>
          <t>0</t>
        </is>
      </c>
      <c r="N98" s="33" t="inlineStr">
        <is>
          <t>0-0</t>
        </is>
      </c>
      <c r="O98" s="33" t="inlineStr">
        <is>
          <t>Empate</t>
        </is>
      </c>
      <c r="P98" s="33" t="inlineStr">
        <is>
          <t>Sim</t>
        </is>
      </c>
      <c r="Q98" s="33" t="inlineStr">
        <is>
          <t>https://www.fifa.com/en/tournaments/mens/worldcup/canadamexicousa2026/scores-fixtures?country=PT&amp;wtw-filter=ALL</t>
        </is>
      </c>
      <c r="R98" s="33" t="inlineStr">
        <is>
          <t>2026-10-14 21:45:27</t>
        </is>
      </c>
    </row>
    <row r="99">
      <c r="A99" s="33" t="n"/>
      <c r="B99" s="33" t="inlineStr">
        <is>
          <t>400021536</t>
        </is>
      </c>
      <c r="C99" s="33" t="inlineStr">
        <is>
          <t>2026-07-09 21:00</t>
        </is>
      </c>
      <c r="D99" s="33" t="inlineStr">
        <is>
          <t>2026-07-09 23:15</t>
        </is>
      </c>
      <c r="E99" s="33" t="inlineStr">
        <is>
          <t>Quarter-final</t>
        </is>
      </c>
      <c r="F99" s="33" t="inlineStr"/>
      <c r="G99" s="33" t="inlineStr">
        <is>
          <t>France</t>
        </is>
      </c>
      <c r="H99" s="33" t="inlineStr">
        <is>
          <t>FRA</t>
        </is>
      </c>
      <c r="I99" s="33" t="n">
        <v>2</v>
      </c>
      <c r="J99" s="33" t="inlineStr">
        <is>
          <t>Morocco</t>
        </is>
      </c>
      <c r="K99" s="33" t="inlineStr">
        <is>
          <t>MAR</t>
        </is>
      </c>
      <c r="L99" s="33" t="n">
        <v>0</v>
      </c>
      <c r="M99" s="33" t="inlineStr">
        <is>
          <t>0</t>
        </is>
      </c>
      <c r="N99" s="33" t="inlineStr">
        <is>
          <t>2-0</t>
        </is>
      </c>
      <c r="O99" s="33" t="inlineStr">
        <is>
          <t>France</t>
        </is>
      </c>
      <c r="P99" s="33" t="inlineStr">
        <is>
          <t>Sim</t>
        </is>
      </c>
      <c r="Q99" s="33" t="inlineStr">
        <is>
          <t>https://www.fifa.com/en/tournaments/mens/worldcup/canadamexicousa2026/scores-fixtures?country=PT&amp;wtw-filter=ALL</t>
        </is>
      </c>
      <c r="R99" s="33" t="inlineStr">
        <is>
          <t>2026-10-14 21:45:27</t>
        </is>
      </c>
    </row>
    <row r="100">
      <c r="A100" s="33" t="n"/>
      <c r="B100" s="33" t="inlineStr">
        <is>
          <t>400021539</t>
        </is>
      </c>
      <c r="C100" s="33" t="inlineStr">
        <is>
          <t>2026-07-11 22:00</t>
        </is>
      </c>
      <c r="D100" s="33" t="inlineStr">
        <is>
          <t>2026-07-12 00:15</t>
        </is>
      </c>
      <c r="E100" s="33" t="inlineStr">
        <is>
          <t>Quarter-final</t>
        </is>
      </c>
      <c r="F100" s="33" t="inlineStr"/>
      <c r="G100" s="33" t="inlineStr">
        <is>
          <t>Norway</t>
        </is>
      </c>
      <c r="H100" s="33" t="inlineStr">
        <is>
          <t>NOR</t>
        </is>
      </c>
      <c r="I100" s="33" t="n">
        <v>1</v>
      </c>
      <c r="J100" s="33" t="inlineStr">
        <is>
          <t>England</t>
        </is>
      </c>
      <c r="K100" s="33" t="inlineStr">
        <is>
          <t>ENG</t>
        </is>
      </c>
      <c r="L100" s="33" t="n">
        <v>2</v>
      </c>
      <c r="M100" s="33" t="inlineStr">
        <is>
          <t>0</t>
        </is>
      </c>
      <c r="N100" s="33" t="inlineStr">
        <is>
          <t>1-2</t>
        </is>
      </c>
      <c r="O100" s="33" t="inlineStr">
        <is>
          <t>England</t>
        </is>
      </c>
      <c r="P100" s="33" t="inlineStr">
        <is>
          <t>Sim</t>
        </is>
      </c>
      <c r="Q100" s="33" t="inlineStr">
        <is>
          <t>https://www.fifa.com/en/tournaments/mens/worldcup/canadamexicousa2026/scores-fixtures?country=PT&amp;wtw-filter=ALL</t>
        </is>
      </c>
      <c r="R100" s="33" t="inlineStr">
        <is>
          <t>2026-10-14 21:45:27</t>
        </is>
      </c>
    </row>
    <row r="101">
      <c r="A101" s="33" t="n"/>
      <c r="B101" s="33" t="inlineStr">
        <is>
          <t>400021538</t>
        </is>
      </c>
      <c r="C101" s="33" t="inlineStr">
        <is>
          <t>2026-07-10 20:00</t>
        </is>
      </c>
      <c r="D101" s="33" t="inlineStr">
        <is>
          <t>2026-07-10 22:15</t>
        </is>
      </c>
      <c r="E101" s="33" t="inlineStr">
        <is>
          <t>Quarter-final</t>
        </is>
      </c>
      <c r="F101" s="33" t="inlineStr"/>
      <c r="G101" s="33" t="inlineStr">
        <is>
          <t>Spain</t>
        </is>
      </c>
      <c r="H101" s="33" t="inlineStr">
        <is>
          <t>ESP</t>
        </is>
      </c>
      <c r="I101" s="33" t="n">
        <v>2</v>
      </c>
      <c r="J101" s="33" t="inlineStr">
        <is>
          <t>Belgium</t>
        </is>
      </c>
      <c r="K101" s="33" t="inlineStr">
        <is>
          <t>BEL</t>
        </is>
      </c>
      <c r="L101" s="33" t="n">
        <v>1</v>
      </c>
      <c r="M101" s="33" t="inlineStr">
        <is>
          <t>0</t>
        </is>
      </c>
      <c r="N101" s="33" t="inlineStr">
        <is>
          <t>2-1</t>
        </is>
      </c>
      <c r="O101" s="33" t="inlineStr">
        <is>
          <t>Spain</t>
        </is>
      </c>
      <c r="P101" s="33" t="inlineStr">
        <is>
          <t>Sim</t>
        </is>
      </c>
      <c r="Q101" s="33" t="inlineStr">
        <is>
          <t>https://www.fifa.com/en/tournaments/mens/worldcup/canadamexicousa2026/scores-fixtures?country=PT&amp;wtw-filter=ALL</t>
        </is>
      </c>
      <c r="R101" s="33" t="inlineStr">
        <is>
          <t>2026-10-14 21:45:27</t>
        </is>
      </c>
    </row>
    <row r="102">
      <c r="A102" s="33" t="n"/>
      <c r="B102" s="33" t="inlineStr">
        <is>
          <t>400021537</t>
        </is>
      </c>
      <c r="C102" s="33" t="inlineStr">
        <is>
          <t>2026-07-12 02:00</t>
        </is>
      </c>
      <c r="D102" s="33" t="inlineStr">
        <is>
          <t>2026-07-12 04:15</t>
        </is>
      </c>
      <c r="E102" s="33" t="inlineStr">
        <is>
          <t>Quarter-final</t>
        </is>
      </c>
      <c r="F102" s="33" t="inlineStr"/>
      <c r="G102" s="33" t="inlineStr">
        <is>
          <t>Argentina</t>
        </is>
      </c>
      <c r="H102" s="33" t="inlineStr">
        <is>
          <t>ARG</t>
        </is>
      </c>
      <c r="I102" s="33" t="n">
        <v>3</v>
      </c>
      <c r="J102" s="33" t="inlineStr">
        <is>
          <t>Switzerland</t>
        </is>
      </c>
      <c r="K102" s="33" t="inlineStr">
        <is>
          <t>SUI</t>
        </is>
      </c>
      <c r="L102" s="33" t="n">
        <v>1</v>
      </c>
      <c r="M102" s="33" t="inlineStr">
        <is>
          <t>0</t>
        </is>
      </c>
      <c r="N102" s="33" t="inlineStr">
        <is>
          <t>3-1</t>
        </is>
      </c>
      <c r="O102" s="33" t="inlineStr">
        <is>
          <t>Argentina</t>
        </is>
      </c>
      <c r="P102" s="33" t="inlineStr">
        <is>
          <t>Sim</t>
        </is>
      </c>
      <c r="Q102" s="33" t="inlineStr">
        <is>
          <t>https://www.fifa.com/en/tournaments/mens/worldcup/canadamexicousa2026/scores-fixtures?country=PT&amp;wtw-filter=ALL</t>
        </is>
      </c>
      <c r="R102" s="33" t="inlineStr">
        <is>
          <t>2026-10-14 21:45:27</t>
        </is>
      </c>
    </row>
    <row r="103">
      <c r="A103" s="33" t="n"/>
      <c r="B103" s="33" t="inlineStr">
        <is>
          <t>400021541</t>
        </is>
      </c>
      <c r="C103" s="33" t="inlineStr">
        <is>
          <t>2026-07-14 20:00</t>
        </is>
      </c>
      <c r="D103" s="33" t="inlineStr">
        <is>
          <t>2026-07-14 22:15</t>
        </is>
      </c>
      <c r="E103" s="33" t="inlineStr">
        <is>
          <t>Semi-final</t>
        </is>
      </c>
      <c r="F103" s="33" t="inlineStr"/>
      <c r="G103" s="33" t="inlineStr">
        <is>
          <t>France</t>
        </is>
      </c>
      <c r="H103" s="33" t="inlineStr">
        <is>
          <t>FRA</t>
        </is>
      </c>
      <c r="I103" s="33" t="n">
        <v>0</v>
      </c>
      <c r="J103" s="33" t="inlineStr">
        <is>
          <t>Spain</t>
        </is>
      </c>
      <c r="K103" s="33" t="inlineStr">
        <is>
          <t>ESP</t>
        </is>
      </c>
      <c r="L103" s="33" t="n">
        <v>2</v>
      </c>
      <c r="M103" s="33" t="inlineStr">
        <is>
          <t>0</t>
        </is>
      </c>
      <c r="N103" s="33" t="inlineStr">
        <is>
          <t>0-2</t>
        </is>
      </c>
      <c r="O103" s="33" t="inlineStr">
        <is>
          <t>Spain</t>
        </is>
      </c>
      <c r="P103" s="33" t="inlineStr">
        <is>
          <t>Sim</t>
        </is>
      </c>
      <c r="Q103" s="33" t="inlineStr">
        <is>
          <t>https://www.fifa.com/en/tournaments/mens/worldcup/canadamexicousa2026/scores-fixtures?country=PT&amp;wtw-filter=ALL</t>
        </is>
      </c>
      <c r="R103" s="33" t="inlineStr">
        <is>
          <t>2026-10-14 21:45:27</t>
        </is>
      </c>
    </row>
    <row r="104">
      <c r="A104" s="33" t="n"/>
      <c r="B104" s="33" t="inlineStr">
        <is>
          <t>400021540</t>
        </is>
      </c>
      <c r="C104" s="33" t="inlineStr">
        <is>
          <t>2026-07-15 20:00</t>
        </is>
      </c>
      <c r="D104" s="33" t="inlineStr">
        <is>
          <t>2026-07-15 22:15</t>
        </is>
      </c>
      <c r="E104" s="33" t="inlineStr">
        <is>
          <t>Semi-final</t>
        </is>
      </c>
      <c r="F104" s="33" t="inlineStr"/>
      <c r="G104" s="33" t="inlineStr">
        <is>
          <t>England</t>
        </is>
      </c>
      <c r="H104" s="33" t="inlineStr">
        <is>
          <t>ENG</t>
        </is>
      </c>
      <c r="I104" s="33" t="n">
        <v>1</v>
      </c>
      <c r="J104" s="33" t="inlineStr">
        <is>
          <t>Argentina</t>
        </is>
      </c>
      <c r="K104" s="33" t="inlineStr">
        <is>
          <t>ARG</t>
        </is>
      </c>
      <c r="L104" s="33" t="n">
        <v>2</v>
      </c>
      <c r="M104" s="33" t="inlineStr">
        <is>
          <t>0</t>
        </is>
      </c>
      <c r="N104" s="33" t="inlineStr">
        <is>
          <t>1-2</t>
        </is>
      </c>
      <c r="O104" s="33" t="inlineStr">
        <is>
          <t>Argentina</t>
        </is>
      </c>
      <c r="P104" s="33" t="inlineStr">
        <is>
          <t>Sim</t>
        </is>
      </c>
      <c r="Q104" s="33" t="inlineStr">
        <is>
          <t>https://www.fifa.com/en/tournaments/mens/worldcup/canadamexicousa2026/scores-fixtures?country=PT&amp;wtw-filter=ALL</t>
        </is>
      </c>
      <c r="R104" s="33" t="inlineStr">
        <is>
          <t>2026-10-14 21:45:27</t>
        </is>
      </c>
    </row>
    <row r="105">
      <c r="A105" s="33" t="n"/>
      <c r="B105" s="33" t="inlineStr">
        <is>
          <t>400021542</t>
        </is>
      </c>
      <c r="C105" s="33" t="inlineStr">
        <is>
          <t>2026-07-18 22:00</t>
        </is>
      </c>
      <c r="D105" s="33" t="inlineStr">
        <is>
          <t>2026-07-19 00:15</t>
        </is>
      </c>
      <c r="E105" s="33" t="inlineStr">
        <is>
          <t>Bronze final</t>
        </is>
      </c>
      <c r="F105" s="33" t="inlineStr"/>
      <c r="G105" s="33" t="inlineStr">
        <is>
          <t>France</t>
        </is>
      </c>
      <c r="H105" s="33" t="inlineStr">
        <is>
          <t>FRA</t>
        </is>
      </c>
      <c r="I105" s="33" t="n">
        <v>4</v>
      </c>
      <c r="J105" s="33" t="inlineStr">
        <is>
          <t>England</t>
        </is>
      </c>
      <c r="K105" s="33" t="inlineStr">
        <is>
          <t>ENG</t>
        </is>
      </c>
      <c r="L105" s="33" t="n">
        <v>6</v>
      </c>
      <c r="M105" s="33" t="inlineStr">
        <is>
          <t>0</t>
        </is>
      </c>
      <c r="N105" s="33" t="inlineStr">
        <is>
          <t>4-6</t>
        </is>
      </c>
      <c r="O105" s="33" t="inlineStr">
        <is>
          <t>England</t>
        </is>
      </c>
      <c r="P105" s="33" t="inlineStr">
        <is>
          <t>Sim</t>
        </is>
      </c>
      <c r="Q105" s="33" t="inlineStr">
        <is>
          <t>https://www.fifa.com/en/tournaments/mens/worldcup/canadamexicousa2026/scores-fixtures?country=PT&amp;wtw-filter=ALL</t>
        </is>
      </c>
      <c r="R105" s="33" t="inlineStr">
        <is>
          <t>2026-10-14 21:45:27</t>
        </is>
      </c>
    </row>
    <row r="106">
      <c r="A106" s="33" t="n"/>
      <c r="B106" s="33" t="inlineStr">
        <is>
          <t>400021543</t>
        </is>
      </c>
      <c r="C106" s="33" t="inlineStr">
        <is>
          <t>2026-07-19 20:00</t>
        </is>
      </c>
      <c r="D106" s="33" t="inlineStr">
        <is>
          <t>2026-07-19 22:15</t>
        </is>
      </c>
      <c r="E106" s="33" t="inlineStr">
        <is>
          <t>Final</t>
        </is>
      </c>
      <c r="F106" s="33" t="inlineStr"/>
      <c r="G106" s="33" t="inlineStr">
        <is>
          <t>Spain</t>
        </is>
      </c>
      <c r="H106" s="33" t="inlineStr">
        <is>
          <t>ESP</t>
        </is>
      </c>
      <c r="I106" s="33" t="n">
        <v>1</v>
      </c>
      <c r="J106" s="33" t="inlineStr">
        <is>
          <t>Argentina</t>
        </is>
      </c>
      <c r="K106" s="33" t="inlineStr">
        <is>
          <t>ARG</t>
        </is>
      </c>
      <c r="L106" s="33" t="n">
        <v>0</v>
      </c>
      <c r="M106" s="33" t="inlineStr">
        <is>
          <t>0</t>
        </is>
      </c>
      <c r="N106" s="33" t="inlineStr">
        <is>
          <t>1-0</t>
        </is>
      </c>
      <c r="O106" s="33" t="inlineStr">
        <is>
          <t>Spain</t>
        </is>
      </c>
      <c r="P106" s="33" t="inlineStr">
        <is>
          <t>Sim</t>
        </is>
      </c>
      <c r="Q106" s="33" t="inlineStr">
        <is>
          <t>https://www.fifa.com/en/tournaments/mens/worldcup/canadamexicousa2026/scores-fixtures?country=PT&amp;wtw-filter=ALL</t>
        </is>
      </c>
      <c r="R106" s="33" t="inlineStr">
        <is>
          <t>2026-10-14 21:45:27</t>
        </is>
      </c>
    </row>
  </sheetData>
  <autoFilter ref="A1:R10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style="25" min="1" max="3"/>
    <col width="24" customWidth="1" style="25" min="2" max="2"/>
    <col width="24" customWidth="1" style="25" min="3" max="3"/>
    <col width="32" customWidth="1" style="25" min="7" max="7"/>
    <col width="18" customWidth="1" style="25" min="8" max="9"/>
  </cols>
  <sheetData>
    <row r="1">
      <c r="A1" s="32" t="inlineStr">
        <is>
          <t>parametro</t>
        </is>
      </c>
      <c r="B1" s="32" t="inlineStr">
        <is>
          <t>valor</t>
        </is>
      </c>
      <c r="C1" s="32" t="inlineStr">
        <is>
          <t>descricao</t>
        </is>
      </c>
    </row>
    <row r="2">
      <c r="A2" s="33" t="inlineStr">
        <is>
          <t>zona_empate</t>
        </is>
      </c>
      <c r="B2" s="33" t="n">
        <v>0.45</v>
      </c>
      <c r="C2" s="33" t="inlineStr">
        <is>
          <t>Intervalo em que o jogo tende a ser considerado empate.</t>
        </is>
      </c>
    </row>
    <row r="3">
      <c r="A3" s="33" t="inlineStr">
        <is>
          <t>bonus_anfitriao</t>
        </is>
      </c>
      <c r="B3" s="33" t="n">
        <v>0.08</v>
      </c>
      <c r="C3" s="33" t="inlineStr">
        <is>
          <t>Bónus para seleção anfitriã.</t>
        </is>
      </c>
    </row>
    <row r="4">
      <c r="A4" s="33" t="inlineStr">
        <is>
          <t>peso_xi</t>
        </is>
      </c>
      <c r="B4" s="33" t="n">
        <v>0.35</v>
      </c>
      <c r="C4" s="33" t="inlineStr">
        <is>
          <t>Peso da força provável do onze inicial.</t>
        </is>
      </c>
    </row>
    <row r="5">
      <c r="A5" s="33" t="inlineStr">
        <is>
          <t>peso_ranking_fifa</t>
        </is>
      </c>
      <c r="B5" s="33" t="n">
        <v>0.25</v>
      </c>
      <c r="C5" s="33" t="inlineStr">
        <is>
          <t>Peso do ranking FIFA.</t>
        </is>
      </c>
    </row>
    <row r="6">
      <c r="A6" s="33" t="inlineStr">
        <is>
          <t>peso_clube</t>
        </is>
      </c>
      <c r="B6" s="33" t="n">
        <v>0.15</v>
      </c>
      <c r="C6" s="33" t="inlineStr">
        <is>
          <t>Peso da força dos clubes dos jogadores.</t>
        </is>
      </c>
    </row>
    <row r="7">
      <c r="A7" s="33" t="inlineStr">
        <is>
          <t>peso_minutos_selecao</t>
        </is>
      </c>
      <c r="B7" s="33" t="n">
        <v>0.15</v>
      </c>
      <c r="C7" s="33" t="inlineStr">
        <is>
          <t>Peso dos minutos recentes na seleção.</t>
        </is>
      </c>
    </row>
    <row r="8">
      <c r="A8" s="33" t="inlineStr">
        <is>
          <t>peso_minutos_clube</t>
        </is>
      </c>
      <c r="B8" s="33" t="n">
        <v>0.1</v>
      </c>
      <c r="C8" s="33" t="inlineStr">
        <is>
          <t>Peso dos minutos recentes no clube.</t>
        </is>
      </c>
    </row>
    <row r="9">
      <c r="A9" s="33" t="inlineStr">
        <is>
          <t>media_golos_equipa</t>
        </is>
      </c>
      <c r="B9" s="33" t="n">
        <v>1.29</v>
      </c>
      <c r="C9" s="33" t="inlineStr">
        <is>
          <t>Média base de golos esperada por equipa.</t>
        </is>
      </c>
    </row>
    <row r="10">
      <c r="A10" s="33" t="inlineStr">
        <is>
          <t>fator_golos_diferenca_forca</t>
        </is>
      </c>
      <c r="B10" s="33" t="n">
        <v>0.5</v>
      </c>
      <c r="C10" s="33" t="inlineStr">
        <is>
          <t>Quanto a diferença de força aumenta ou baixa golos.</t>
        </is>
      </c>
    </row>
    <row r="11">
      <c r="A11" s="33" t="inlineStr">
        <is>
          <t>penalizacao_underdog</t>
        </is>
      </c>
      <c r="B11" s="33" t="n">
        <v>0.35</v>
      </c>
      <c r="C11" s="33" t="inlineStr">
        <is>
          <t>Penalização aplicada ao underdog quando há favorito claro.</t>
        </is>
      </c>
    </row>
    <row r="12">
      <c r="A12" s="33" t="inlineStr">
        <is>
          <t>resistencia_underdog</t>
        </is>
      </c>
      <c r="B12" s="33" t="n">
        <v>0.4</v>
      </c>
      <c r="C12" s="33" t="inlineStr">
        <is>
          <t>Capacidade do underdog de equilibrar jogos.</t>
        </is>
      </c>
    </row>
    <row r="13">
      <c r="A13" s="33" t="inlineStr">
        <is>
          <t>learning_rate</t>
        </is>
      </c>
      <c r="B13" s="33" t="n">
        <v>0.04</v>
      </c>
      <c r="C13" s="33" t="inlineStr">
        <is>
          <t>Velocidade de aprendizagem após resultados reais.</t>
        </is>
      </c>
    </row>
    <row r="14">
      <c r="A14" s="33" t="inlineStr">
        <is>
          <t>margem_favorito_claro</t>
        </is>
      </c>
      <c r="B14" s="33" t="n">
        <v>0.35</v>
      </c>
      <c r="C14" s="33" t="inlineStr">
        <is>
          <t>Diferença mínima para considerar favorito claro.</t>
        </is>
      </c>
    </row>
    <row r="15">
      <c r="A15" s="33" t="inlineStr">
        <is>
          <t>ultima_calibracao</t>
        </is>
      </c>
      <c r="B15" s="33" t="inlineStr">
        <is>
          <t>2026-06-28 05:19:18</t>
        </is>
      </c>
      <c r="C15" s="33" t="inlineStr">
        <is>
          <t>Data/hora da última calibração.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3"/>
  <sheetViews>
    <sheetView topLeftCell="G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4" customWidth="1" style="25" min="1" max="14"/>
    <col width="24" customWidth="1" style="25" min="2" max="2"/>
    <col width="24" customWidth="1" style="25" min="3" max="3"/>
    <col width="24" customWidth="1" style="25" min="4" max="4"/>
    <col width="24" customWidth="1" style="25" min="5" max="5"/>
    <col width="24" customWidth="1" style="25" min="6" max="6"/>
    <col width="24" customWidth="1" style="25" min="7" max="7"/>
    <col width="24" customWidth="1" style="25" min="8" max="8"/>
    <col width="24" customWidth="1" style="25" min="9" max="9"/>
    <col width="24" customWidth="1" style="25" min="10" max="10"/>
    <col width="24" customWidth="1" style="25" min="11" max="11"/>
    <col width="24" customWidth="1" style="25" min="12" max="12"/>
    <col width="24" customWidth="1" style="25" min="13" max="13"/>
    <col width="24" customWidth="1" style="25" min="14" max="14"/>
  </cols>
  <sheetData>
    <row r="1">
      <c r="A1" s="32" t="inlineStr">
        <is>
          <t>game_id</t>
        </is>
      </c>
      <c r="B1" s="32" t="inlineStr">
        <is>
          <t>data_hora</t>
        </is>
      </c>
      <c r="C1" s="32" t="inlineStr">
        <is>
          <t>equipa_a</t>
        </is>
      </c>
      <c r="D1" s="32" t="inlineStr">
        <is>
          <t>equipa_b</t>
        </is>
      </c>
      <c r="E1" s="32" t="inlineStr">
        <is>
          <t>previsto_veredicto</t>
        </is>
      </c>
      <c r="F1" s="32" t="inlineStr">
        <is>
          <t>previsto_golos_a</t>
        </is>
      </c>
      <c r="G1" s="32" t="inlineStr">
        <is>
          <t>previsto_golos_b</t>
        </is>
      </c>
      <c r="H1" s="32" t="inlineStr">
        <is>
          <t>real_golos_a</t>
        </is>
      </c>
      <c r="I1" s="32" t="inlineStr">
        <is>
          <t>real_golos_b</t>
        </is>
      </c>
      <c r="J1" s="32" t="inlineStr">
        <is>
          <t>real_veredicto</t>
        </is>
      </c>
      <c r="K1" s="32" t="inlineStr">
        <is>
          <t>erro_vencedor</t>
        </is>
      </c>
      <c r="L1" s="32" t="inlineStr">
        <is>
          <t>erro_golos_total</t>
        </is>
      </c>
      <c r="M1" s="32" t="inlineStr">
        <is>
          <t>ajuste_aplicado</t>
        </is>
      </c>
      <c r="N1" s="32" t="inlineStr">
        <is>
          <t>data_calibracao</t>
        </is>
      </c>
    </row>
    <row r="2">
      <c r="A2" s="33" t="inlineStr">
        <is>
          <t>400021443</t>
        </is>
      </c>
      <c r="B2" s="33" t="inlineStr">
        <is>
          <t>2026-06-11 19:00</t>
        </is>
      </c>
      <c r="C2" s="33" t="inlineStr">
        <is>
          <t>Mexico</t>
        </is>
      </c>
      <c r="D2" s="33" t="inlineStr">
        <is>
          <t>South Africa</t>
        </is>
      </c>
      <c r="E2" s="33" t="inlineStr">
        <is>
          <t>Vitória México</t>
        </is>
      </c>
      <c r="F2" s="33" t="n">
        <v>2</v>
      </c>
      <c r="G2" s="33" t="n">
        <v>1</v>
      </c>
      <c r="H2" s="33" t="n">
        <v>2</v>
      </c>
      <c r="I2" s="33" t="n">
        <v>0</v>
      </c>
      <c r="J2" s="33" t="inlineStr">
        <is>
          <t>Vitória Equipa A</t>
        </is>
      </c>
      <c r="K2" s="33" t="n">
        <v>1</v>
      </c>
      <c r="L2" s="33" t="n">
        <v>-1</v>
      </c>
      <c r="M2" s="33" t="inlineStr">
        <is>
          <t>Falhou vencedor; aumentou prudência e resistência do underdog. | Equipa B ficou a zero; aumentou ligeiramente penalização ofensiva.</t>
        </is>
      </c>
      <c r="N2" s="33" t="inlineStr">
        <is>
          <t>2026-06-13 17:00:17</t>
        </is>
      </c>
    </row>
    <row r="3">
      <c r="A3" s="33" t="inlineStr">
        <is>
          <t>400021441</t>
        </is>
      </c>
      <c r="B3" s="33" t="inlineStr">
        <is>
          <t>2026-06-12 02:00</t>
        </is>
      </c>
      <c r="C3" s="33" t="inlineStr">
        <is>
          <t>Korea Republic</t>
        </is>
      </c>
      <c r="D3" s="33" t="inlineStr">
        <is>
          <t>Czechia</t>
        </is>
      </c>
      <c r="E3" s="33" t="inlineStr">
        <is>
          <t>Vitória República da Coreia</t>
        </is>
      </c>
      <c r="F3" s="33" t="n">
        <v>2</v>
      </c>
      <c r="G3" s="33" t="n">
        <v>1</v>
      </c>
      <c r="H3" s="33" t="n">
        <v>2</v>
      </c>
      <c r="I3" s="33" t="n">
        <v>1</v>
      </c>
      <c r="J3" s="33" t="inlineStr">
        <is>
          <t>Vitória Equipa A</t>
        </is>
      </c>
      <c r="K3" s="33" t="n">
        <v>1</v>
      </c>
      <c r="L3" s="33" t="n">
        <v>0</v>
      </c>
      <c r="M3" s="33" t="inlineStr">
        <is>
          <t>Falhou vencedor; aumentou prudência e resistência do underdog.</t>
        </is>
      </c>
      <c r="N3" s="33" t="inlineStr">
        <is>
          <t>2026-06-13 17:00:17</t>
        </is>
      </c>
    </row>
    <row r="4">
      <c r="A4" s="33" t="inlineStr">
        <is>
          <t>400021449</t>
        </is>
      </c>
      <c r="B4" s="33" t="inlineStr">
        <is>
          <t>2026-06-12 19:00</t>
        </is>
      </c>
      <c r="C4" s="33" t="inlineStr">
        <is>
          <t>Canada</t>
        </is>
      </c>
      <c r="D4" s="33" t="inlineStr">
        <is>
          <t>Bosnia and Herzegovina</t>
        </is>
      </c>
      <c r="E4" s="33" t="inlineStr">
        <is>
          <t>Vitória Bósnia e Herzegovina</t>
        </is>
      </c>
      <c r="F4" s="33" t="n">
        <v>1</v>
      </c>
      <c r="G4" s="33" t="n">
        <v>2</v>
      </c>
      <c r="H4" s="33" t="n">
        <v>1</v>
      </c>
      <c r="I4" s="33" t="n">
        <v>1</v>
      </c>
      <c r="J4" s="33" t="inlineStr">
        <is>
          <t>Empate</t>
        </is>
      </c>
      <c r="K4" s="33" t="n">
        <v>1</v>
      </c>
      <c r="L4" s="33" t="n">
        <v>-1</v>
      </c>
      <c r="M4" s="33" t="inlineStr">
        <is>
          <t>Falhou vencedor; aumentou prudência e resistência do underdog.</t>
        </is>
      </c>
      <c r="N4" s="33" t="inlineStr">
        <is>
          <t>2026-06-13 17:00:17</t>
        </is>
      </c>
    </row>
    <row r="5">
      <c r="A5" s="33" t="inlineStr">
        <is>
          <t>400021458</t>
        </is>
      </c>
      <c r="B5" s="33" t="inlineStr">
        <is>
          <t>2026-06-13 01:00</t>
        </is>
      </c>
      <c r="C5" s="33" t="inlineStr">
        <is>
          <t>USA</t>
        </is>
      </c>
      <c r="D5" s="33" t="inlineStr">
        <is>
          <t>Paraguay</t>
        </is>
      </c>
      <c r="E5" s="33" t="inlineStr">
        <is>
          <t>Vitória Estados Unidos</t>
        </is>
      </c>
      <c r="F5" s="33" t="n">
        <v>2</v>
      </c>
      <c r="G5" s="33" t="n">
        <v>1</v>
      </c>
      <c r="H5" s="33" t="n">
        <v>4</v>
      </c>
      <c r="I5" s="33" t="n">
        <v>1</v>
      </c>
      <c r="J5" s="33" t="inlineStr">
        <is>
          <t>Vitória Equipa A</t>
        </is>
      </c>
      <c r="K5" s="33" t="n">
        <v>1</v>
      </c>
      <c r="L5" s="33" t="n">
        <v>2</v>
      </c>
      <c r="M5" s="33" t="inlineStr">
        <is>
          <t>Falhou vencedor; aumentou prudência e resistência do underdog.</t>
        </is>
      </c>
      <c r="N5" s="33" t="inlineStr">
        <is>
          <t>2026-06-13 17:00:17</t>
        </is>
      </c>
    </row>
    <row r="6">
      <c r="A6" s="33" t="inlineStr">
        <is>
          <t>400021447</t>
        </is>
      </c>
      <c r="B6" s="33" t="inlineStr">
        <is>
          <t>2026-06-13 20:00</t>
        </is>
      </c>
      <c r="C6" s="33" t="inlineStr">
        <is>
          <t>Qatar</t>
        </is>
      </c>
      <c r="D6" s="33" t="inlineStr">
        <is>
          <t>Switzerland</t>
        </is>
      </c>
      <c r="E6" s="33" t="inlineStr">
        <is>
          <t>Vitória Equipa B</t>
        </is>
      </c>
      <c r="F6" s="33" t="n">
        <v>1</v>
      </c>
      <c r="G6" s="33" t="n">
        <v>2</v>
      </c>
      <c r="H6" s="33" t="n">
        <v>1</v>
      </c>
      <c r="I6" s="33" t="n">
        <v>1</v>
      </c>
      <c r="J6" s="33" t="inlineStr">
        <is>
          <t>Empate</t>
        </is>
      </c>
      <c r="K6" s="33" t="n">
        <v>1</v>
      </c>
      <c r="L6" s="33" t="n">
        <v>-1</v>
      </c>
      <c r="M6" s="33" t="inlineStr">
        <is>
          <t>Aumentou zona_empate e resistência_underdog; reduziu agressividade do favorito.</t>
        </is>
      </c>
      <c r="N6" s="33" t="inlineStr">
        <is>
          <t>2026-06-13 22:15:48</t>
        </is>
      </c>
    </row>
    <row r="7">
      <c r="A7" s="33" t="inlineStr">
        <is>
          <t>400021456</t>
        </is>
      </c>
      <c r="B7" s="33" t="inlineStr">
        <is>
          <t>2026-06-13 23:00</t>
        </is>
      </c>
      <c r="C7" s="33" t="inlineStr">
        <is>
          <t>Brazil</t>
        </is>
      </c>
      <c r="D7" s="33" t="inlineStr">
        <is>
          <t>Morocco</t>
        </is>
      </c>
      <c r="E7" s="33" t="inlineStr">
        <is>
          <t>Vitória Equipa A</t>
        </is>
      </c>
      <c r="F7" s="33" t="n">
        <v>2</v>
      </c>
      <c r="G7" s="33" t="n">
        <v>1</v>
      </c>
      <c r="H7" s="33" t="n">
        <v>1</v>
      </c>
      <c r="I7" s="33" t="n">
        <v>1</v>
      </c>
      <c r="J7" s="33" t="inlineStr">
        <is>
          <t>Empate</t>
        </is>
      </c>
      <c r="K7" s="33" t="n">
        <v>1</v>
      </c>
      <c r="L7" s="33" t="n">
        <v>-1</v>
      </c>
      <c r="M7" s="33" t="inlineStr">
        <is>
          <t>Aumentou zona_empate e resistência_underdog; reduziu agressividade do favorito.</t>
        </is>
      </c>
      <c r="N7" s="33" t="inlineStr">
        <is>
          <t>2026-06-14 01:15:49</t>
        </is>
      </c>
    </row>
    <row r="8">
      <c r="A8" s="33" t="inlineStr">
        <is>
          <t>400021453</t>
        </is>
      </c>
      <c r="B8" s="33" t="inlineStr">
        <is>
          <t>2026-06-14 02:00</t>
        </is>
      </c>
      <c r="C8" s="33" t="inlineStr">
        <is>
          <t>Haiti</t>
        </is>
      </c>
      <c r="D8" s="33" t="inlineStr">
        <is>
          <t>Scotland</t>
        </is>
      </c>
      <c r="E8" s="33" t="inlineStr">
        <is>
          <t>Vitória Equipa B</t>
        </is>
      </c>
      <c r="F8" s="33" t="n">
        <v>0</v>
      </c>
      <c r="G8" s="33" t="n">
        <v>2</v>
      </c>
      <c r="H8" s="33" t="n">
        <v>0</v>
      </c>
      <c r="I8" s="33" t="n">
        <v>1</v>
      </c>
      <c r="J8" s="33" t="inlineStr">
        <is>
          <t>Vitória Equipa B</t>
        </is>
      </c>
      <c r="K8" s="33" t="n">
        <v>0</v>
      </c>
      <c r="L8" s="33" t="n">
        <v>-1</v>
      </c>
      <c r="M8" s="33" t="inlineStr">
        <is>
          <t>Vencedor/margem razoáveis; ajuste mínimo.</t>
        </is>
      </c>
      <c r="N8" s="33" t="inlineStr">
        <is>
          <t>2026-06-14 04:15:53</t>
        </is>
      </c>
    </row>
    <row r="9">
      <c r="A9" s="33" t="inlineStr">
        <is>
          <t>400021464</t>
        </is>
      </c>
      <c r="B9" s="33" t="inlineStr">
        <is>
          <t>2026-06-14 18:00</t>
        </is>
      </c>
      <c r="C9" s="33" t="inlineStr">
        <is>
          <t>Germany</t>
        </is>
      </c>
      <c r="D9" s="33" t="inlineStr">
        <is>
          <t>Curaçao</t>
        </is>
      </c>
      <c r="E9" s="33" t="inlineStr">
        <is>
          <t>Vitória Equipa A</t>
        </is>
      </c>
      <c r="F9" s="33" t="n">
        <v>3</v>
      </c>
      <c r="G9" s="33" t="n">
        <v>0</v>
      </c>
      <c r="H9" s="33" t="n">
        <v>7</v>
      </c>
      <c r="I9" s="33" t="n">
        <v>1</v>
      </c>
      <c r="J9" s="33" t="inlineStr">
        <is>
          <t>Vitória Equipa A</t>
        </is>
      </c>
      <c r="K9" s="33" t="n">
        <v>0</v>
      </c>
      <c r="L9" s="33" t="n">
        <v>5</v>
      </c>
      <c r="M9" s="33" t="inlineStr">
        <is>
          <t>Aumentou média de golos e fator de diferença de força.</t>
        </is>
      </c>
      <c r="N9" s="33" t="inlineStr">
        <is>
          <t>2026-06-14 20:15:56</t>
        </is>
      </c>
    </row>
    <row r="10">
      <c r="A10" s="33" t="inlineStr">
        <is>
          <t>400021470</t>
        </is>
      </c>
      <c r="B10" s="33" t="inlineStr">
        <is>
          <t>2026-06-14 21:00</t>
        </is>
      </c>
      <c r="C10" s="33" t="inlineStr">
        <is>
          <t>Netherlands</t>
        </is>
      </c>
      <c r="D10" s="33" t="inlineStr">
        <is>
          <t>Japan</t>
        </is>
      </c>
      <c r="E10" s="33" t="inlineStr">
        <is>
          <t>Vitória Equipa A</t>
        </is>
      </c>
      <c r="F10" s="33" t="n">
        <v>1</v>
      </c>
      <c r="G10" s="33" t="n">
        <v>0</v>
      </c>
      <c r="H10" s="33" t="n">
        <v>2</v>
      </c>
      <c r="I10" s="33" t="n">
        <v>2</v>
      </c>
      <c r="J10" s="33" t="inlineStr">
        <is>
          <t>Empate</t>
        </is>
      </c>
      <c r="K10" s="33" t="n">
        <v>1</v>
      </c>
      <c r="L10" s="33" t="n">
        <v>3</v>
      </c>
      <c r="M10" s="33" t="inlineStr">
        <is>
          <t>Aumentou zona_empate e resistência_underdog; reduziu agressividade do favorito.</t>
        </is>
      </c>
      <c r="N10" s="33" t="inlineStr">
        <is>
          <t>2026-06-14 23:15:54</t>
        </is>
      </c>
    </row>
    <row r="11">
      <c r="A11" s="33" t="inlineStr">
        <is>
          <t>400021474</t>
        </is>
      </c>
      <c r="B11" s="33" t="inlineStr">
        <is>
          <t>2026-06-15 03:00</t>
        </is>
      </c>
      <c r="C11" s="33" t="inlineStr">
        <is>
          <t>Sweden</t>
        </is>
      </c>
      <c r="D11" s="33" t="inlineStr">
        <is>
          <t>Tunisia</t>
        </is>
      </c>
      <c r="E11" s="33" t="inlineStr">
        <is>
          <t>Vitória Equipa A</t>
        </is>
      </c>
      <c r="F11" s="33" t="n">
        <v>1</v>
      </c>
      <c r="G11" s="33" t="n">
        <v>0</v>
      </c>
      <c r="H11" s="33" t="n">
        <v>5</v>
      </c>
      <c r="I11" s="33" t="n">
        <v>1</v>
      </c>
      <c r="J11" s="33" t="inlineStr">
        <is>
          <t>Vitória Equipa A</t>
        </is>
      </c>
      <c r="K11" s="33" t="n">
        <v>0</v>
      </c>
      <c r="L11" s="33" t="n">
        <v>5</v>
      </c>
      <c r="M11" s="33" t="inlineStr">
        <is>
          <t>Aumentou média de golos e fator de diferença de força.</t>
        </is>
      </c>
      <c r="N11" s="33" t="inlineStr">
        <is>
          <t>2026-06-15 05:16:02</t>
        </is>
      </c>
    </row>
    <row r="12">
      <c r="A12" s="33" t="inlineStr">
        <is>
          <t>400021482</t>
        </is>
      </c>
      <c r="B12" s="33" t="inlineStr">
        <is>
          <t>2026-06-15 17:00</t>
        </is>
      </c>
      <c r="C12" s="33" t="inlineStr">
        <is>
          <t>Spain</t>
        </is>
      </c>
      <c r="D12" s="33" t="inlineStr">
        <is>
          <t>Cabo Verde</t>
        </is>
      </c>
      <c r="E12" s="33" t="inlineStr">
        <is>
          <t>4-0</t>
        </is>
      </c>
      <c r="F12" s="33" t="n">
        <v>4</v>
      </c>
      <c r="G12" s="33" t="n">
        <v>0</v>
      </c>
      <c r="H12" s="33" t="n">
        <v>0</v>
      </c>
      <c r="I12" s="33" t="n">
        <v>0</v>
      </c>
      <c r="J12" s="33" t="inlineStr">
        <is>
          <t>Empate</t>
        </is>
      </c>
      <c r="K12" s="33" t="n">
        <v>1</v>
      </c>
      <c r="L12" s="33" t="n">
        <v>-4</v>
      </c>
      <c r="M12" s="33" t="inlineStr">
        <is>
          <t>Falhou vencedor; aumentou prudência e resistência do underdog. | Equipa A ficou a zero; aumentou ligeiramente penalização ofensiva.</t>
        </is>
      </c>
      <c r="N12" s="33" t="inlineStr">
        <is>
          <t>2026-06-15 19:39:40</t>
        </is>
      </c>
    </row>
    <row r="13">
      <c r="A13" s="33" t="inlineStr">
        <is>
          <t>400021478</t>
        </is>
      </c>
      <c r="B13" s="33" t="inlineStr">
        <is>
          <t>2026-06-15 20:00</t>
        </is>
      </c>
      <c r="C13" s="33" t="inlineStr">
        <is>
          <t>Belgium</t>
        </is>
      </c>
      <c r="D13" s="33" t="inlineStr">
        <is>
          <t>Egypt</t>
        </is>
      </c>
      <c r="E13" s="33" t="inlineStr">
        <is>
          <t>3-2</t>
        </is>
      </c>
      <c r="F13" s="33" t="n">
        <v>3</v>
      </c>
      <c r="G13" s="33" t="n">
        <v>2</v>
      </c>
      <c r="H13" s="33" t="n">
        <v>1</v>
      </c>
      <c r="I13" s="33" t="n">
        <v>1</v>
      </c>
      <c r="J13" s="33" t="inlineStr">
        <is>
          <t>Empate</t>
        </is>
      </c>
      <c r="K13" s="33" t="n">
        <v>1</v>
      </c>
      <c r="L13" s="33" t="n">
        <v>-3</v>
      </c>
      <c r="M13" s="33" t="inlineStr">
        <is>
          <t>Falhou vencedor; aumentou prudência e resistência do underdog.</t>
        </is>
      </c>
      <c r="N13" s="33" t="inlineStr">
        <is>
          <t>2026-06-16 01:44:46</t>
        </is>
      </c>
    </row>
    <row r="14">
      <c r="A14" s="33" t="inlineStr">
        <is>
          <t>400021486</t>
        </is>
      </c>
      <c r="B14" s="33" t="inlineStr">
        <is>
          <t>2026-06-15 23:00</t>
        </is>
      </c>
      <c r="C14" s="33" t="inlineStr">
        <is>
          <t>Saudi Arabia</t>
        </is>
      </c>
      <c r="D14" s="33" t="inlineStr">
        <is>
          <t>Uruguay</t>
        </is>
      </c>
      <c r="E14" s="33" t="inlineStr">
        <is>
          <t>1-2</t>
        </is>
      </c>
      <c r="F14" s="33" t="n">
        <v>1</v>
      </c>
      <c r="G14" s="33" t="n">
        <v>2</v>
      </c>
      <c r="H14" s="33" t="n">
        <v>1</v>
      </c>
      <c r="I14" s="33" t="n">
        <v>1</v>
      </c>
      <c r="J14" s="33" t="inlineStr">
        <is>
          <t>Empate</t>
        </is>
      </c>
      <c r="K14" s="33" t="n">
        <v>1</v>
      </c>
      <c r="L14" s="33" t="n">
        <v>-1</v>
      </c>
      <c r="M14" s="33" t="inlineStr">
        <is>
          <t>Falhou vencedor; aumentou prudência e resistência do underdog.</t>
        </is>
      </c>
      <c r="N14" s="33" t="inlineStr">
        <is>
          <t>2026-06-16 01:44:46</t>
        </is>
      </c>
    </row>
    <row r="15">
      <c r="A15" s="33" t="inlineStr">
        <is>
          <t>400021490</t>
        </is>
      </c>
      <c r="B15" s="33" t="inlineStr">
        <is>
          <t>2026-06-16 20:00</t>
        </is>
      </c>
      <c r="C15" s="33" t="inlineStr">
        <is>
          <t>France</t>
        </is>
      </c>
      <c r="D15" s="33" t="inlineStr">
        <is>
          <t>Senegal</t>
        </is>
      </c>
      <c r="E15" s="33" t="inlineStr">
        <is>
          <t>2-1</t>
        </is>
      </c>
      <c r="F15" s="33" t="n">
        <v>2</v>
      </c>
      <c r="G15" s="33" t="n">
        <v>1</v>
      </c>
      <c r="H15" s="33" t="n">
        <v>3</v>
      </c>
      <c r="I15" s="33" t="n">
        <v>1</v>
      </c>
      <c r="J15" s="33" t="inlineStr">
        <is>
          <t>Vitória Equipa A</t>
        </is>
      </c>
      <c r="K15" s="33" t="n">
        <v>1</v>
      </c>
      <c r="L15" s="33" t="n">
        <v>1</v>
      </c>
      <c r="M15" s="33" t="inlineStr">
        <is>
          <t>Falhou vencedor; aumentou prudência e resistência do underdog.</t>
        </is>
      </c>
      <c r="N15" s="33" t="inlineStr">
        <is>
          <t>2026-06-16 22:17:09</t>
        </is>
      </c>
    </row>
    <row r="16">
      <c r="A16" s="33" t="inlineStr">
        <is>
          <t>400021488</t>
        </is>
      </c>
      <c r="B16" s="33" t="inlineStr">
        <is>
          <t>2026-06-16 23:00</t>
        </is>
      </c>
      <c r="C16" s="33" t="inlineStr">
        <is>
          <t>Iraq</t>
        </is>
      </c>
      <c r="D16" s="33" t="inlineStr">
        <is>
          <t>Norway</t>
        </is>
      </c>
      <c r="E16" s="33" t="inlineStr">
        <is>
          <t>1-2</t>
        </is>
      </c>
      <c r="F16" s="33" t="n">
        <v>1</v>
      </c>
      <c r="G16" s="33" t="n">
        <v>2</v>
      </c>
      <c r="H16" s="33" t="n">
        <v>2</v>
      </c>
      <c r="I16" s="33" t="n">
        <v>0</v>
      </c>
      <c r="J16" s="33" t="inlineStr">
        <is>
          <t>Vitória Equipa A</t>
        </is>
      </c>
      <c r="K16" s="33" t="n">
        <v>1</v>
      </c>
      <c r="L16" s="33" t="n">
        <v>-1</v>
      </c>
      <c r="M16" s="33" t="inlineStr">
        <is>
          <t>Falhou vencedor; aumentou prudência e resistência do underdog. | Equipa B ficou a zero; aumentou ligeiramente penalização ofensiva.</t>
        </is>
      </c>
      <c r="N16" s="33" t="inlineStr">
        <is>
          <t>2026-06-17 01:16:22</t>
        </is>
      </c>
    </row>
    <row r="17">
      <c r="A17" s="33" t="inlineStr">
        <is>
          <t>400021496</t>
        </is>
      </c>
      <c r="B17" s="33" t="inlineStr">
        <is>
          <t>2026-06-17 02:00</t>
        </is>
      </c>
      <c r="C17" s="33" t="inlineStr">
        <is>
          <t>Argentina</t>
        </is>
      </c>
      <c r="D17" s="33" t="inlineStr">
        <is>
          <t>Algeria</t>
        </is>
      </c>
      <c r="E17" s="33" t="inlineStr">
        <is>
          <t>2-1</t>
        </is>
      </c>
      <c r="F17" s="33" t="n">
        <v>2</v>
      </c>
      <c r="G17" s="33" t="n">
        <v>1</v>
      </c>
      <c r="H17" s="33" t="n">
        <v>3</v>
      </c>
      <c r="I17" s="33" t="n">
        <v>0</v>
      </c>
      <c r="J17" s="33" t="inlineStr">
        <is>
          <t>Vitória Equipa A</t>
        </is>
      </c>
      <c r="K17" s="33" t="n">
        <v>1</v>
      </c>
      <c r="L17" s="33" t="n">
        <v>0</v>
      </c>
      <c r="M17" s="33" t="inlineStr">
        <is>
          <t>Falhou vencedor; aumentou prudência e resistência do underdog. | Equipa B ficou a zero; aumentou ligeiramente penalização ofensiva.</t>
        </is>
      </c>
      <c r="N17" s="33" t="inlineStr">
        <is>
          <t>2026-06-17 04:16:35</t>
        </is>
      </c>
    </row>
    <row r="18">
      <c r="A18" s="33" t="inlineStr">
        <is>
          <t>400021498</t>
        </is>
      </c>
      <c r="B18" s="33" t="inlineStr">
        <is>
          <t>2026-06-17 05:00</t>
        </is>
      </c>
      <c r="C18" s="33" t="inlineStr">
        <is>
          <t>Austria</t>
        </is>
      </c>
      <c r="D18" s="33" t="inlineStr">
        <is>
          <t>Jordan</t>
        </is>
      </c>
      <c r="E18" s="33" t="inlineStr">
        <is>
          <t>2-1</t>
        </is>
      </c>
      <c r="F18" s="33" t="n">
        <v>2</v>
      </c>
      <c r="G18" s="33" t="n">
        <v>1</v>
      </c>
      <c r="H18" s="33" t="n">
        <v>3</v>
      </c>
      <c r="I18" s="33" t="n">
        <v>1</v>
      </c>
      <c r="J18" s="33" t="inlineStr">
        <is>
          <t>Vitória Equipa A</t>
        </is>
      </c>
      <c r="K18" s="33" t="n">
        <v>1</v>
      </c>
      <c r="L18" s="33" t="n">
        <v>1</v>
      </c>
      <c r="M18" s="33" t="inlineStr">
        <is>
          <t>Falhou vencedor; aumentou prudência e resistência do underdog.</t>
        </is>
      </c>
      <c r="N18" s="33" t="inlineStr">
        <is>
          <t>2026-06-17 07:16:55</t>
        </is>
      </c>
    </row>
    <row r="19">
      <c r="A19" s="33" t="inlineStr">
        <is>
          <t>400021502</t>
        </is>
      </c>
      <c r="B19" s="33" t="inlineStr">
        <is>
          <t>2026-06-17 18:00</t>
        </is>
      </c>
      <c r="C19" s="33" t="inlineStr">
        <is>
          <t>Portugal</t>
        </is>
      </c>
      <c r="D19" s="33" t="inlineStr">
        <is>
          <t>Congo DR</t>
        </is>
      </c>
      <c r="E19" s="33" t="inlineStr">
        <is>
          <t>3-1</t>
        </is>
      </c>
      <c r="F19" s="33" t="n">
        <v>3</v>
      </c>
      <c r="G19" s="33" t="n">
        <v>1</v>
      </c>
      <c r="H19" s="33" t="n">
        <v>1</v>
      </c>
      <c r="I19" s="33" t="n">
        <v>1</v>
      </c>
      <c r="J19" s="33" t="inlineStr">
        <is>
          <t>Empate</t>
        </is>
      </c>
      <c r="K19" s="33" t="n">
        <v>1</v>
      </c>
      <c r="L19" s="33" t="n">
        <v>-2</v>
      </c>
      <c r="M19" s="33" t="inlineStr">
        <is>
          <t>Falhou vencedor; aumentou prudência e resistência do underdog.</t>
        </is>
      </c>
      <c r="N19" s="33" t="inlineStr">
        <is>
          <t>2026-06-18 11:06:26</t>
        </is>
      </c>
    </row>
    <row r="20">
      <c r="A20" s="33" t="inlineStr">
        <is>
          <t>400021507</t>
        </is>
      </c>
      <c r="B20" s="33" t="inlineStr">
        <is>
          <t>2026-06-17 21:00</t>
        </is>
      </c>
      <c r="C20" s="33" t="inlineStr">
        <is>
          <t>England</t>
        </is>
      </c>
      <c r="D20" s="33" t="inlineStr">
        <is>
          <t>Croatia</t>
        </is>
      </c>
      <c r="E20" s="33" t="inlineStr">
        <is>
          <t>2-1</t>
        </is>
      </c>
      <c r="F20" s="33" t="n">
        <v>2</v>
      </c>
      <c r="G20" s="33" t="n">
        <v>1</v>
      </c>
      <c r="H20" s="33" t="n">
        <v>4</v>
      </c>
      <c r="I20" s="33" t="n">
        <v>2</v>
      </c>
      <c r="J20" s="33" t="inlineStr">
        <is>
          <t>Vitória Equipa A</t>
        </is>
      </c>
      <c r="K20" s="33" t="n">
        <v>1</v>
      </c>
      <c r="L20" s="33" t="n">
        <v>3</v>
      </c>
      <c r="M20" s="33" t="inlineStr">
        <is>
          <t>Falhou vencedor; aumentou prudência e resistência do underdog.</t>
        </is>
      </c>
      <c r="N20" s="33" t="inlineStr">
        <is>
          <t>2026-06-18 11:06:26</t>
        </is>
      </c>
    </row>
    <row r="21">
      <c r="A21" s="33" t="inlineStr">
        <is>
          <t>400021510</t>
        </is>
      </c>
      <c r="B21" s="33" t="inlineStr">
        <is>
          <t>2026-06-18 00:00</t>
        </is>
      </c>
      <c r="C21" s="33" t="inlineStr">
        <is>
          <t>Ghana</t>
        </is>
      </c>
      <c r="D21" s="33" t="inlineStr">
        <is>
          <t>Panama</t>
        </is>
      </c>
      <c r="E21" s="33" t="inlineStr">
        <is>
          <t>2-2</t>
        </is>
      </c>
      <c r="F21" s="33" t="n">
        <v>2</v>
      </c>
      <c r="G21" s="33" t="n">
        <v>2</v>
      </c>
      <c r="H21" s="33" t="n">
        <v>1</v>
      </c>
      <c r="I21" s="33" t="n">
        <v>0</v>
      </c>
      <c r="J21" s="33" t="inlineStr">
        <is>
          <t>Vitória Equipa A</t>
        </is>
      </c>
      <c r="K21" s="33" t="n">
        <v>1</v>
      </c>
      <c r="L21" s="33" t="n">
        <v>-3</v>
      </c>
      <c r="M21" s="33" t="inlineStr">
        <is>
          <t>Falhou vencedor; aumentou prudência e resistência do underdog. | Equipa B ficou a zero; aumentou ligeiramente penalização ofensiva.</t>
        </is>
      </c>
      <c r="N21" s="33" t="inlineStr">
        <is>
          <t>2026-06-18 11:06:26</t>
        </is>
      </c>
    </row>
    <row r="22">
      <c r="A22" s="33" t="inlineStr">
        <is>
          <t>400021504</t>
        </is>
      </c>
      <c r="B22" s="33" t="inlineStr">
        <is>
          <t>2026-06-18 03:00</t>
        </is>
      </c>
      <c r="C22" s="33" t="inlineStr">
        <is>
          <t>Uzbekistan</t>
        </is>
      </c>
      <c r="D22" s="33" t="inlineStr">
        <is>
          <t>Colombia</t>
        </is>
      </c>
      <c r="E22" s="33" t="inlineStr">
        <is>
          <t>1-2</t>
        </is>
      </c>
      <c r="F22" s="33" t="n">
        <v>1</v>
      </c>
      <c r="G22" s="33" t="n">
        <v>2</v>
      </c>
      <c r="H22" s="33" t="n">
        <v>1</v>
      </c>
      <c r="I22" s="33" t="n">
        <v>3</v>
      </c>
      <c r="J22" s="33" t="inlineStr">
        <is>
          <t>Vitória Equipa B</t>
        </is>
      </c>
      <c r="K22" s="33" t="n">
        <v>1</v>
      </c>
      <c r="L22" s="33" t="n">
        <v>1</v>
      </c>
      <c r="M22" s="33" t="inlineStr">
        <is>
          <t>Falhou vencedor; aumentou prudência e resistência do underdog.</t>
        </is>
      </c>
      <c r="N22" s="33" t="inlineStr">
        <is>
          <t>2026-06-18 11:19:28</t>
        </is>
      </c>
    </row>
    <row r="23">
      <c r="A23" s="33" t="inlineStr">
        <is>
          <t>400021440</t>
        </is>
      </c>
      <c r="B23" s="33" t="inlineStr">
        <is>
          <t>2026-06-18 17:00</t>
        </is>
      </c>
      <c r="C23" s="33" t="inlineStr">
        <is>
          <t>Czechia</t>
        </is>
      </c>
      <c r="D23" s="33" t="inlineStr">
        <is>
          <t>South Africa</t>
        </is>
      </c>
      <c r="E23" s="33" t="inlineStr">
        <is>
          <t>2-1</t>
        </is>
      </c>
      <c r="F23" s="33" t="n">
        <v>2</v>
      </c>
      <c r="G23" s="33" t="n">
        <v>1</v>
      </c>
      <c r="H23" s="33" t="n">
        <v>1</v>
      </c>
      <c r="I23" s="33" t="n">
        <v>1</v>
      </c>
      <c r="J23" s="33" t="inlineStr">
        <is>
          <t>Empate</t>
        </is>
      </c>
      <c r="K23" s="33" t="n">
        <v>1</v>
      </c>
      <c r="L23" s="33" t="n">
        <v>-1</v>
      </c>
      <c r="M23" s="33" t="inlineStr">
        <is>
          <t>Falhou vencedor; aumentou prudência e resistência do underdog.</t>
        </is>
      </c>
      <c r="N23" s="33" t="inlineStr">
        <is>
          <t>2026-06-18 20:41:42</t>
        </is>
      </c>
    </row>
    <row r="24">
      <c r="A24" s="33" t="inlineStr">
        <is>
          <t>400021446</t>
        </is>
      </c>
      <c r="B24" s="33" t="inlineStr">
        <is>
          <t>2026-06-18 20:00</t>
        </is>
      </c>
      <c r="C24" s="33" t="inlineStr">
        <is>
          <t>Switzerland</t>
        </is>
      </c>
      <c r="D24" s="33" t="inlineStr">
        <is>
          <t>Bosnia and Herzegovina</t>
        </is>
      </c>
      <c r="E24" s="33" t="inlineStr">
        <is>
          <t>2-1</t>
        </is>
      </c>
      <c r="F24" s="33" t="n">
        <v>2</v>
      </c>
      <c r="G24" s="33" t="n">
        <v>1</v>
      </c>
      <c r="H24" s="33" t="n">
        <v>4</v>
      </c>
      <c r="I24" s="33" t="n">
        <v>1</v>
      </c>
      <c r="J24" s="33" t="inlineStr">
        <is>
          <t>Vitória Equipa A</t>
        </is>
      </c>
      <c r="K24" s="33" t="n">
        <v>1</v>
      </c>
      <c r="L24" s="33" t="n">
        <v>2</v>
      </c>
      <c r="M24" s="33" t="inlineStr">
        <is>
          <t>Falhou vencedor; aumentou prudência e resistência do underdog.</t>
        </is>
      </c>
      <c r="N24" s="33" t="inlineStr">
        <is>
          <t>2026-06-18 22:16:10</t>
        </is>
      </c>
    </row>
    <row r="25">
      <c r="A25" s="33" t="inlineStr">
        <is>
          <t>400021450</t>
        </is>
      </c>
      <c r="B25" s="33" t="inlineStr">
        <is>
          <t>2026-06-18 23:00</t>
        </is>
      </c>
      <c r="C25" s="33" t="inlineStr">
        <is>
          <t>Canada</t>
        </is>
      </c>
      <c r="D25" s="33" t="inlineStr">
        <is>
          <t>Qatar</t>
        </is>
      </c>
      <c r="E25" s="33" t="inlineStr">
        <is>
          <t>2-1</t>
        </is>
      </c>
      <c r="F25" s="33" t="n">
        <v>2</v>
      </c>
      <c r="G25" s="33" t="n">
        <v>1</v>
      </c>
      <c r="H25" s="33" t="n">
        <v>6</v>
      </c>
      <c r="I25" s="33" t="n">
        <v>0</v>
      </c>
      <c r="J25" s="33" t="inlineStr">
        <is>
          <t>Vitória Equipa A</t>
        </is>
      </c>
      <c r="K25" s="33" t="n">
        <v>1</v>
      </c>
      <c r="L25" s="33" t="n">
        <v>3</v>
      </c>
      <c r="M25" s="33" t="inlineStr">
        <is>
          <t>Falhou vencedor; aumentou prudência e resistência do underdog. | Equipa B ficou a zero; aumentou ligeiramente penalização ofensiva.</t>
        </is>
      </c>
      <c r="N25" s="33" t="inlineStr">
        <is>
          <t>2026-06-19 01:17:06</t>
        </is>
      </c>
    </row>
    <row r="26">
      <c r="A26" s="33" t="inlineStr">
        <is>
          <t>400021442</t>
        </is>
      </c>
      <c r="B26" s="33" t="inlineStr">
        <is>
          <t>2026-06-19 02:00</t>
        </is>
      </c>
      <c r="C26" s="33" t="inlineStr">
        <is>
          <t>Mexico</t>
        </is>
      </c>
      <c r="D26" s="33" t="inlineStr">
        <is>
          <t>Korea Republic</t>
        </is>
      </c>
      <c r="E26" s="33" t="inlineStr">
        <is>
          <t>2-2</t>
        </is>
      </c>
      <c r="F26" s="33" t="n">
        <v>2</v>
      </c>
      <c r="G26" s="33" t="n">
        <v>2</v>
      </c>
      <c r="H26" s="33" t="n">
        <v>1</v>
      </c>
      <c r="I26" s="33" t="n">
        <v>0</v>
      </c>
      <c r="J26" s="33" t="inlineStr">
        <is>
          <t>Vitória Equipa A</t>
        </is>
      </c>
      <c r="K26" s="33" t="n">
        <v>1</v>
      </c>
      <c r="L26" s="33" t="n">
        <v>-3</v>
      </c>
      <c r="M26" s="33" t="inlineStr">
        <is>
          <t>Falhou vencedor; aumentou prudência e resistência do underdog. | Equipa B ficou a zero; aumentou ligeiramente penalização ofensiva.</t>
        </is>
      </c>
      <c r="N26" s="33" t="inlineStr">
        <is>
          <t>2026-06-19 13:07:25</t>
        </is>
      </c>
    </row>
    <row r="27">
      <c r="A27" s="33" t="inlineStr">
        <is>
          <t>400021462</t>
        </is>
      </c>
      <c r="B27" s="33" t="inlineStr">
        <is>
          <t>2026-06-19 20:00</t>
        </is>
      </c>
      <c r="C27" s="33" t="inlineStr">
        <is>
          <t>USA</t>
        </is>
      </c>
      <c r="D27" s="33" t="inlineStr">
        <is>
          <t>Australia</t>
        </is>
      </c>
      <c r="E27" s="33" t="inlineStr">
        <is>
          <t>2-1</t>
        </is>
      </c>
      <c r="F27" s="33" t="n">
        <v>2</v>
      </c>
      <c r="G27" s="33" t="n">
        <v>1</v>
      </c>
      <c r="H27" s="33" t="n">
        <v>2</v>
      </c>
      <c r="I27" s="33" t="n">
        <v>0</v>
      </c>
      <c r="J27" s="33" t="inlineStr">
        <is>
          <t>Vitória Equipa A</t>
        </is>
      </c>
      <c r="K27" s="33" t="n">
        <v>1</v>
      </c>
      <c r="L27" s="33" t="n">
        <v>-1</v>
      </c>
      <c r="M27" s="33" t="inlineStr">
        <is>
          <t>Falhou vencedor; aumentou prudência e resistência do underdog. | Equipa B ficou a zero; aumentou ligeiramente penalização ofensiva.</t>
        </is>
      </c>
      <c r="N27" s="33" t="inlineStr">
        <is>
          <t>2026-06-20 01:21:55</t>
        </is>
      </c>
    </row>
    <row r="28">
      <c r="A28" s="33" t="inlineStr">
        <is>
          <t>400021454</t>
        </is>
      </c>
      <c r="B28" s="33" t="inlineStr">
        <is>
          <t>2026-06-19 23:00</t>
        </is>
      </c>
      <c r="C28" s="33" t="inlineStr">
        <is>
          <t>Scotland</t>
        </is>
      </c>
      <c r="D28" s="33" t="inlineStr">
        <is>
          <t>Morocco</t>
        </is>
      </c>
      <c r="E28" s="33" t="inlineStr">
        <is>
          <t>1-1</t>
        </is>
      </c>
      <c r="F28" s="33" t="n">
        <v>1</v>
      </c>
      <c r="G28" s="33" t="n">
        <v>1</v>
      </c>
      <c r="H28" s="33" t="n">
        <v>0</v>
      </c>
      <c r="I28" s="33" t="n">
        <v>1</v>
      </c>
      <c r="J28" s="33" t="inlineStr">
        <is>
          <t>Vitória Equipa B</t>
        </is>
      </c>
      <c r="K28" s="33" t="n">
        <v>1</v>
      </c>
      <c r="L28" s="33" t="n">
        <v>-1</v>
      </c>
      <c r="M28" s="33" t="inlineStr">
        <is>
          <t>Falhou vencedor; aumentou prudência e resistência do underdog. | Equipa A ficou a zero; aumentou ligeiramente penalização ofensiva.</t>
        </is>
      </c>
      <c r="N28" s="33" t="inlineStr">
        <is>
          <t>2026-06-20 01:21:55</t>
        </is>
      </c>
    </row>
    <row r="29">
      <c r="A29" s="33" t="inlineStr">
        <is>
          <t>400021457</t>
        </is>
      </c>
      <c r="B29" s="33" t="inlineStr">
        <is>
          <t>2026-06-20 01:30</t>
        </is>
      </c>
      <c r="C29" s="33" t="inlineStr">
        <is>
          <t>Brazil</t>
        </is>
      </c>
      <c r="D29" s="33" t="inlineStr">
        <is>
          <t>Haiti</t>
        </is>
      </c>
      <c r="E29" s="33" t="inlineStr">
        <is>
          <t>4-0</t>
        </is>
      </c>
      <c r="F29" s="33" t="n">
        <v>4</v>
      </c>
      <c r="G29" s="33" t="n">
        <v>0</v>
      </c>
      <c r="H29" s="33" t="n">
        <v>3</v>
      </c>
      <c r="I29" s="33" t="n">
        <v>0</v>
      </c>
      <c r="J29" s="33" t="inlineStr">
        <is>
          <t>Vitória Equipa A</t>
        </is>
      </c>
      <c r="K29" s="33" t="n">
        <v>1</v>
      </c>
      <c r="L29" s="33" t="n">
        <v>-1</v>
      </c>
      <c r="M29" s="33" t="inlineStr">
        <is>
          <t>Falhou vencedor; aumentou prudência e resistência do underdog.</t>
        </is>
      </c>
      <c r="N29" s="33" t="inlineStr">
        <is>
          <t>2026-06-20 03:51:23</t>
        </is>
      </c>
    </row>
    <row r="30">
      <c r="A30" s="33" t="inlineStr">
        <is>
          <t>400021472</t>
        </is>
      </c>
      <c r="B30" s="33" t="inlineStr">
        <is>
          <t>2026-06-20 18:00</t>
        </is>
      </c>
      <c r="C30" s="33" t="inlineStr">
        <is>
          <t>Netherlands</t>
        </is>
      </c>
      <c r="D30" s="33" t="inlineStr">
        <is>
          <t>Sweden</t>
        </is>
      </c>
      <c r="E30" s="33" t="inlineStr">
        <is>
          <t>2-1</t>
        </is>
      </c>
      <c r="F30" s="33" t="n">
        <v>2</v>
      </c>
      <c r="G30" s="33" t="n">
        <v>1</v>
      </c>
      <c r="H30" s="33" t="n">
        <v>5</v>
      </c>
      <c r="I30" s="33" t="n">
        <v>1</v>
      </c>
      <c r="J30" s="33" t="inlineStr">
        <is>
          <t>Vitória Equipa A</t>
        </is>
      </c>
      <c r="K30" s="33" t="n">
        <v>1</v>
      </c>
      <c r="L30" s="33" t="n">
        <v>3</v>
      </c>
      <c r="M30" s="33" t="inlineStr">
        <is>
          <t>Falhou vencedor; aumentou prudência e resistência do underdog.</t>
        </is>
      </c>
      <c r="N30" s="33" t="inlineStr">
        <is>
          <t>2026-06-20 20:18:58</t>
        </is>
      </c>
    </row>
    <row r="31">
      <c r="A31" s="33" t="inlineStr">
        <is>
          <t>400021465</t>
        </is>
      </c>
      <c r="B31" s="33" t="inlineStr">
        <is>
          <t>2026-06-21 01:00</t>
        </is>
      </c>
      <c r="C31" s="33" t="inlineStr">
        <is>
          <t>Ecuador</t>
        </is>
      </c>
      <c r="D31" s="33" t="inlineStr">
        <is>
          <t>Curaçao</t>
        </is>
      </c>
      <c r="E31" s="33" t="inlineStr">
        <is>
          <t>2-1</t>
        </is>
      </c>
      <c r="F31" s="33" t="n">
        <v>2</v>
      </c>
      <c r="G31" s="33" t="n">
        <v>1</v>
      </c>
      <c r="H31" s="33" t="n">
        <v>0</v>
      </c>
      <c r="I31" s="33" t="n">
        <v>0</v>
      </c>
      <c r="J31" s="33" t="inlineStr">
        <is>
          <t>Empate</t>
        </is>
      </c>
      <c r="K31" s="33" t="n">
        <v>1</v>
      </c>
      <c r="L31" s="33" t="n">
        <v>-3</v>
      </c>
      <c r="M31" s="33" t="inlineStr">
        <is>
          <t>Falhou vencedor; aumentou prudência e resistência do underdog. | Equipa A ficou a zero; aumentou ligeiramente penalização ofensiva. | Equipa B ficou a zero; aumentou ligeiramente penalização ofensiva.</t>
        </is>
      </c>
      <c r="N31" s="33" t="inlineStr">
        <is>
          <t>2026-06-21 03:26:13</t>
        </is>
      </c>
    </row>
    <row r="32">
      <c r="A32" s="33" t="inlineStr">
        <is>
          <t>400021475</t>
        </is>
      </c>
      <c r="B32" s="33" t="inlineStr">
        <is>
          <t>2026-06-21 05:00</t>
        </is>
      </c>
      <c r="C32" s="33" t="inlineStr">
        <is>
          <t>Tunisia</t>
        </is>
      </c>
      <c r="D32" s="33" t="inlineStr">
        <is>
          <t>Japan</t>
        </is>
      </c>
      <c r="E32" s="33" t="inlineStr">
        <is>
          <t>2-2</t>
        </is>
      </c>
      <c r="F32" s="33" t="n">
        <v>2</v>
      </c>
      <c r="G32" s="33" t="n">
        <v>2</v>
      </c>
      <c r="H32" s="33" t="n">
        <v>0</v>
      </c>
      <c r="I32" s="33" t="n">
        <v>4</v>
      </c>
      <c r="J32" s="33" t="inlineStr">
        <is>
          <t>Vitória Equipa B</t>
        </is>
      </c>
      <c r="K32" s="33" t="n">
        <v>1</v>
      </c>
      <c r="L32" s="33" t="n">
        <v>0</v>
      </c>
      <c r="M32" s="33" t="inlineStr">
        <is>
          <t>Falhou vencedor; aumentou prudência e resistência do underdog. | Equipa A ficou a zero; aumentou ligeiramente penalização ofensiva.</t>
        </is>
      </c>
      <c r="N32" s="33" t="inlineStr">
        <is>
          <t>2026-06-21 07:21:48</t>
        </is>
      </c>
    </row>
    <row r="33">
      <c r="A33" s="33" t="inlineStr">
        <is>
          <t>400021483</t>
        </is>
      </c>
      <c r="B33" s="33" t="inlineStr">
        <is>
          <t>2026-06-21 17:00</t>
        </is>
      </c>
      <c r="C33" s="33" t="inlineStr">
        <is>
          <t>Spain</t>
        </is>
      </c>
      <c r="D33" s="33" t="inlineStr">
        <is>
          <t>Saudi Arabia</t>
        </is>
      </c>
      <c r="E33" s="33" t="inlineStr">
        <is>
          <t>4-0</t>
        </is>
      </c>
      <c r="F33" s="33" t="n">
        <v>4</v>
      </c>
      <c r="G33" s="33" t="n">
        <v>0</v>
      </c>
      <c r="H33" s="33" t="n">
        <v>4</v>
      </c>
      <c r="I33" s="33" t="n">
        <v>0</v>
      </c>
      <c r="J33" s="33" t="inlineStr">
        <is>
          <t>Vitória Equipa A</t>
        </is>
      </c>
      <c r="K33" s="33" t="n">
        <v>1</v>
      </c>
      <c r="L33" s="33" t="n">
        <v>0</v>
      </c>
      <c r="M33" s="33" t="inlineStr">
        <is>
          <t>Falhou vencedor; aumentou prudência e resistência do underdog.</t>
        </is>
      </c>
      <c r="N33" s="33" t="inlineStr">
        <is>
          <t>2026-06-21 19:20:54</t>
        </is>
      </c>
    </row>
    <row r="34">
      <c r="A34" s="33" t="inlineStr">
        <is>
          <t>400021487</t>
        </is>
      </c>
      <c r="B34" s="33" t="inlineStr">
        <is>
          <t>2026-06-21 23:00</t>
        </is>
      </c>
      <c r="C34" s="33" t="inlineStr">
        <is>
          <t>Uruguay</t>
        </is>
      </c>
      <c r="D34" s="33" t="inlineStr">
        <is>
          <t>Cabo Verde</t>
        </is>
      </c>
      <c r="E34" s="33" t="inlineStr">
        <is>
          <t>2-1</t>
        </is>
      </c>
      <c r="F34" s="33" t="n">
        <v>2</v>
      </c>
      <c r="G34" s="33" t="n">
        <v>1</v>
      </c>
      <c r="H34" s="33" t="n">
        <v>2</v>
      </c>
      <c r="I34" s="33" t="n">
        <v>2</v>
      </c>
      <c r="J34" s="33" t="inlineStr">
        <is>
          <t>Empate</t>
        </is>
      </c>
      <c r="K34" s="33" t="n">
        <v>1</v>
      </c>
      <c r="L34" s="33" t="n">
        <v>1</v>
      </c>
      <c r="M34" s="33" t="inlineStr">
        <is>
          <t>Falhou vencedor; aumentou prudência e resistência do underdog.</t>
        </is>
      </c>
      <c r="N34" s="33" t="inlineStr">
        <is>
          <t>2026-06-22 01:20:47</t>
        </is>
      </c>
    </row>
    <row r="35">
      <c r="A35" s="33" t="inlineStr">
        <is>
          <t>400021480</t>
        </is>
      </c>
      <c r="B35" s="33" t="inlineStr">
        <is>
          <t>2026-06-22 02:00</t>
        </is>
      </c>
      <c r="C35" s="33" t="inlineStr">
        <is>
          <t>New Zealand</t>
        </is>
      </c>
      <c r="D35" s="33" t="inlineStr">
        <is>
          <t>Egypt</t>
        </is>
      </c>
      <c r="E35" s="33" t="inlineStr">
        <is>
          <t>1-2</t>
        </is>
      </c>
      <c r="F35" s="33" t="n">
        <v>1</v>
      </c>
      <c r="G35" s="33" t="n">
        <v>2</v>
      </c>
      <c r="H35" s="33" t="n">
        <v>1</v>
      </c>
      <c r="I35" s="33" t="n">
        <v>3</v>
      </c>
      <c r="J35" s="33" t="inlineStr">
        <is>
          <t>Vitória Equipa B</t>
        </is>
      </c>
      <c r="K35" s="33" t="n">
        <v>1</v>
      </c>
      <c r="L35" s="33" t="n">
        <v>1</v>
      </c>
      <c r="M35" s="33" t="inlineStr">
        <is>
          <t>Falhou vencedor; aumentou prudência e resistência do underdog.</t>
        </is>
      </c>
      <c r="N35" s="33" t="inlineStr">
        <is>
          <t>2026-06-22 04:20:29</t>
        </is>
      </c>
    </row>
    <row r="36">
      <c r="A36" s="33" t="inlineStr">
        <is>
          <t>400021494</t>
        </is>
      </c>
      <c r="B36" s="33" t="inlineStr">
        <is>
          <t>2026-06-22 18:00</t>
        </is>
      </c>
      <c r="C36" s="33" t="inlineStr">
        <is>
          <t>Argentina</t>
        </is>
      </c>
      <c r="D36" s="33" t="inlineStr">
        <is>
          <t>Austria</t>
        </is>
      </c>
      <c r="E36" s="33" t="inlineStr">
        <is>
          <t>2-1</t>
        </is>
      </c>
      <c r="F36" s="33" t="n">
        <v>2</v>
      </c>
      <c r="G36" s="33" t="n">
        <v>1</v>
      </c>
      <c r="H36" s="33" t="n">
        <v>2</v>
      </c>
      <c r="I36" s="33" t="n">
        <v>0</v>
      </c>
      <c r="J36" s="33" t="inlineStr">
        <is>
          <t>Vitória Equipa A</t>
        </is>
      </c>
      <c r="K36" s="33" t="n">
        <v>1</v>
      </c>
      <c r="L36" s="33" t="n">
        <v>-1</v>
      </c>
      <c r="M36" s="33" t="inlineStr">
        <is>
          <t>Falhou vencedor; aumentou prudência e resistência do underdog. | Equipa B ficou a zero; aumentou ligeiramente penalização ofensiva.</t>
        </is>
      </c>
      <c r="N36" s="33" t="inlineStr">
        <is>
          <t>2026-06-22 20:26:05</t>
        </is>
      </c>
    </row>
    <row r="37">
      <c r="A37" s="33" t="inlineStr">
        <is>
          <t>400021492</t>
        </is>
      </c>
      <c r="B37" s="33" t="inlineStr">
        <is>
          <t>2026-06-22 22:00</t>
        </is>
      </c>
      <c r="C37" s="33" t="inlineStr">
        <is>
          <t>France</t>
        </is>
      </c>
      <c r="D37" s="33" t="inlineStr">
        <is>
          <t>Iraq</t>
        </is>
      </c>
      <c r="E37" s="33" t="inlineStr">
        <is>
          <t>4-0</t>
        </is>
      </c>
      <c r="F37" s="33" t="n">
        <v>4</v>
      </c>
      <c r="G37" s="33" t="n">
        <v>0</v>
      </c>
      <c r="H37" s="33" t="n">
        <v>1</v>
      </c>
      <c r="I37" s="33" t="n">
        <v>0</v>
      </c>
      <c r="J37" s="33" t="inlineStr">
        <is>
          <t>Vitória Equipa A</t>
        </is>
      </c>
      <c r="K37" s="33" t="n">
        <v>1</v>
      </c>
      <c r="L37" s="33" t="n">
        <v>-3</v>
      </c>
      <c r="M37" s="33" t="inlineStr">
        <is>
          <t>Falhou vencedor; aumentou prudência e resistência do underdog.</t>
        </is>
      </c>
      <c r="N37" s="33" t="inlineStr">
        <is>
          <t>2026-06-23 00:22:38</t>
        </is>
      </c>
    </row>
    <row r="38">
      <c r="A38" s="33" t="inlineStr">
        <is>
          <t>400021491</t>
        </is>
      </c>
      <c r="B38" s="33" t="inlineStr">
        <is>
          <t>2026-06-23 01:00</t>
        </is>
      </c>
      <c r="C38" s="33" t="inlineStr">
        <is>
          <t>Norway</t>
        </is>
      </c>
      <c r="D38" s="33" t="inlineStr">
        <is>
          <t>Senegal</t>
        </is>
      </c>
      <c r="E38" s="33" t="inlineStr">
        <is>
          <t>1-1</t>
        </is>
      </c>
      <c r="F38" s="33" t="n">
        <v>1</v>
      </c>
      <c r="G38" s="33" t="n">
        <v>1</v>
      </c>
      <c r="H38" s="33" t="n">
        <v>3</v>
      </c>
      <c r="I38" s="33" t="n">
        <v>2</v>
      </c>
      <c r="J38" s="33" t="inlineStr">
        <is>
          <t>Vitória Equipa A</t>
        </is>
      </c>
      <c r="K38" s="33" t="n">
        <v>1</v>
      </c>
      <c r="L38" s="33" t="n">
        <v>3</v>
      </c>
      <c r="M38" s="33" t="inlineStr">
        <is>
          <t>Falhou vencedor; aumentou prudência e resistência do underdog.</t>
        </is>
      </c>
      <c r="N38" s="33" t="inlineStr">
        <is>
          <t>2026-06-23 03:26:13</t>
        </is>
      </c>
    </row>
    <row r="39">
      <c r="A39" s="33" t="inlineStr">
        <is>
          <t>400021499</t>
        </is>
      </c>
      <c r="B39" s="33" t="inlineStr">
        <is>
          <t>2026-06-23 04:00</t>
        </is>
      </c>
      <c r="C39" s="33" t="inlineStr">
        <is>
          <t>Jordan</t>
        </is>
      </c>
      <c r="D39" s="33" t="inlineStr">
        <is>
          <t>Algeria</t>
        </is>
      </c>
      <c r="E39" s="33" t="inlineStr">
        <is>
          <t>1-2</t>
        </is>
      </c>
      <c r="F39" s="33" t="n">
        <v>1</v>
      </c>
      <c r="G39" s="33" t="n">
        <v>2</v>
      </c>
      <c r="H39" s="33" t="n">
        <v>1</v>
      </c>
      <c r="I39" s="33" t="n">
        <v>2</v>
      </c>
      <c r="J39" s="33" t="inlineStr">
        <is>
          <t>Vitória Equipa B</t>
        </is>
      </c>
      <c r="K39" s="33" t="n">
        <v>1</v>
      </c>
      <c r="L39" s="33" t="n">
        <v>0</v>
      </c>
      <c r="M39" s="33" t="inlineStr">
        <is>
          <t>Falhou vencedor; aumentou prudência e resistência do underdog.</t>
        </is>
      </c>
      <c r="N39" s="33" t="inlineStr">
        <is>
          <t>2026-06-23 06:16:00</t>
        </is>
      </c>
    </row>
    <row r="40">
      <c r="A40" s="33" t="inlineStr">
        <is>
          <t>400021503</t>
        </is>
      </c>
      <c r="B40" s="33" t="inlineStr">
        <is>
          <t>2026-06-23 18:00</t>
        </is>
      </c>
      <c r="C40" s="33" t="inlineStr">
        <is>
          <t>Portugal</t>
        </is>
      </c>
      <c r="D40" s="33" t="inlineStr">
        <is>
          <t>Uzbekistan</t>
        </is>
      </c>
      <c r="E40" s="33" t="inlineStr">
        <is>
          <t>3-0</t>
        </is>
      </c>
      <c r="F40" s="33" t="n">
        <v>3</v>
      </c>
      <c r="G40" s="33" t="n">
        <v>0</v>
      </c>
      <c r="H40" s="33" t="n">
        <v>5</v>
      </c>
      <c r="I40" s="33" t="n">
        <v>0</v>
      </c>
      <c r="J40" s="33" t="inlineStr">
        <is>
          <t>Vitória Equipa A</t>
        </is>
      </c>
      <c r="K40" s="33" t="n">
        <v>1</v>
      </c>
      <c r="L40" s="33" t="n">
        <v>2</v>
      </c>
      <c r="M40" s="33" t="inlineStr">
        <is>
          <t>Falhou vencedor; aumentou prudência e resistência do underdog.</t>
        </is>
      </c>
      <c r="N40" s="33" t="inlineStr">
        <is>
          <t>2026-06-23 20:20:44</t>
        </is>
      </c>
    </row>
    <row r="41">
      <c r="A41" s="33" t="inlineStr">
        <is>
          <t>400021506</t>
        </is>
      </c>
      <c r="B41" s="33" t="inlineStr">
        <is>
          <t>2026-06-23 21:00</t>
        </is>
      </c>
      <c r="C41" s="33" t="inlineStr">
        <is>
          <t>England</t>
        </is>
      </c>
      <c r="D41" s="33" t="inlineStr">
        <is>
          <t>Ghana</t>
        </is>
      </c>
      <c r="E41" s="33" t="inlineStr">
        <is>
          <t>3-1</t>
        </is>
      </c>
      <c r="F41" s="33" t="n">
        <v>3</v>
      </c>
      <c r="G41" s="33" t="n">
        <v>1</v>
      </c>
      <c r="H41" s="33" t="n">
        <v>0</v>
      </c>
      <c r="I41" s="33" t="n">
        <v>0</v>
      </c>
      <c r="J41" s="33" t="inlineStr">
        <is>
          <t>Empate</t>
        </is>
      </c>
      <c r="K41" s="33" t="n">
        <v>1</v>
      </c>
      <c r="L41" s="33" t="n">
        <v>-4</v>
      </c>
      <c r="M41" s="33" t="inlineStr">
        <is>
          <t>Falhou vencedor; aumentou prudência e resistência do underdog. | Equipa A ficou a zero; aumentou ligeiramente penalização ofensiva. | Equipa B ficou a zero; aumentou ligeiramente penalização ofensiva.</t>
        </is>
      </c>
      <c r="N41" s="33" t="inlineStr">
        <is>
          <t>2026-06-23 23:21:00</t>
        </is>
      </c>
    </row>
    <row r="42">
      <c r="A42" s="33" t="inlineStr">
        <is>
          <t>400021511</t>
        </is>
      </c>
      <c r="B42" s="33" t="inlineStr">
        <is>
          <t>2026-06-24 00:00</t>
        </is>
      </c>
      <c r="C42" s="33" t="inlineStr">
        <is>
          <t>Panama</t>
        </is>
      </c>
      <c r="D42" s="33" t="inlineStr">
        <is>
          <t>Croatia</t>
        </is>
      </c>
      <c r="E42" s="33" t="inlineStr">
        <is>
          <t>1-2</t>
        </is>
      </c>
      <c r="F42" s="33" t="n">
        <v>1</v>
      </c>
      <c r="G42" s="33" t="n">
        <v>2</v>
      </c>
      <c r="H42" s="33" t="n">
        <v>0</v>
      </c>
      <c r="I42" s="33" t="n">
        <v>1</v>
      </c>
      <c r="J42" s="33" t="inlineStr">
        <is>
          <t>Vitória Equipa B</t>
        </is>
      </c>
      <c r="K42" s="33" t="n">
        <v>1</v>
      </c>
      <c r="L42" s="33" t="n">
        <v>-2</v>
      </c>
      <c r="M42" s="33" t="inlineStr">
        <is>
          <t>Falhou vencedor; aumentou prudência e resistência do underdog. | Equipa A ficou a zero; aumentou ligeiramente penalização ofensiva.</t>
        </is>
      </c>
      <c r="N42" s="33" t="inlineStr">
        <is>
          <t>2026-06-24 02:22:07</t>
        </is>
      </c>
    </row>
    <row r="43">
      <c r="A43" s="33" t="inlineStr">
        <is>
          <t>400021501</t>
        </is>
      </c>
      <c r="B43" s="33" t="inlineStr">
        <is>
          <t>2026-06-24 03:00</t>
        </is>
      </c>
      <c r="C43" s="33" t="inlineStr">
        <is>
          <t>Colombia</t>
        </is>
      </c>
      <c r="D43" s="33" t="inlineStr">
        <is>
          <t>Congo DR</t>
        </is>
      </c>
      <c r="E43" s="33" t="inlineStr">
        <is>
          <t>2-2</t>
        </is>
      </c>
      <c r="F43" s="33" t="n">
        <v>2</v>
      </c>
      <c r="G43" s="33" t="n">
        <v>2</v>
      </c>
      <c r="H43" s="33" t="n">
        <v>1</v>
      </c>
      <c r="I43" s="33" t="n">
        <v>0</v>
      </c>
      <c r="J43" s="33" t="inlineStr">
        <is>
          <t>Vitória Equipa A</t>
        </is>
      </c>
      <c r="K43" s="33" t="n">
        <v>1</v>
      </c>
      <c r="L43" s="33" t="n">
        <v>-3</v>
      </c>
      <c r="M43" s="33" t="inlineStr">
        <is>
          <t>Falhou vencedor; aumentou prudência e resistência do underdog. | Equipa B ficou a zero; aumentou ligeiramente penalização ofensiva.</t>
        </is>
      </c>
      <c r="N43" s="33" t="inlineStr">
        <is>
          <t>2026-06-24 05:23:19</t>
        </is>
      </c>
    </row>
    <row r="44">
      <c r="A44" s="33" t="inlineStr">
        <is>
          <t>400021448</t>
        </is>
      </c>
      <c r="B44" s="33" t="inlineStr">
        <is>
          <t>2026-06-24 20:00</t>
        </is>
      </c>
      <c r="C44" s="33" t="inlineStr">
        <is>
          <t>Bosnia and Herzegovina</t>
        </is>
      </c>
      <c r="D44" s="33" t="inlineStr">
        <is>
          <t>Qatar</t>
        </is>
      </c>
      <c r="E44" s="33" t="inlineStr">
        <is>
          <t>2-2</t>
        </is>
      </c>
      <c r="F44" s="33" t="n">
        <v>2</v>
      </c>
      <c r="G44" s="33" t="n">
        <v>2</v>
      </c>
      <c r="H44" s="33" t="n">
        <v>3</v>
      </c>
      <c r="I44" s="33" t="n">
        <v>1</v>
      </c>
      <c r="J44" s="33" t="inlineStr">
        <is>
          <t>Vitória Equipa A</t>
        </is>
      </c>
      <c r="K44" s="33" t="n">
        <v>1</v>
      </c>
      <c r="L44" s="33" t="n">
        <v>0</v>
      </c>
      <c r="M44" s="33" t="inlineStr">
        <is>
          <t>Falhou vencedor; aumentou prudência e resistência do underdog.</t>
        </is>
      </c>
      <c r="N44" s="33" t="inlineStr">
        <is>
          <t>2026-06-24 22:17:28</t>
        </is>
      </c>
    </row>
    <row r="45">
      <c r="A45" s="33" t="inlineStr">
        <is>
          <t>400021451</t>
        </is>
      </c>
      <c r="B45" s="33" t="inlineStr">
        <is>
          <t>2026-06-24 20:00</t>
        </is>
      </c>
      <c r="C45" s="33" t="inlineStr">
        <is>
          <t>Switzerland</t>
        </is>
      </c>
      <c r="D45" s="33" t="inlineStr">
        <is>
          <t>Canada</t>
        </is>
      </c>
      <c r="E45" s="33" t="inlineStr">
        <is>
          <t>1-1</t>
        </is>
      </c>
      <c r="F45" s="33" t="n">
        <v>1</v>
      </c>
      <c r="G45" s="33" t="n">
        <v>1</v>
      </c>
      <c r="H45" s="33" t="n">
        <v>2</v>
      </c>
      <c r="I45" s="33" t="n">
        <v>1</v>
      </c>
      <c r="J45" s="33" t="inlineStr">
        <is>
          <t>Vitória Equipa A</t>
        </is>
      </c>
      <c r="K45" s="33" t="n">
        <v>1</v>
      </c>
      <c r="L45" s="33" t="n">
        <v>1</v>
      </c>
      <c r="M45" s="33" t="inlineStr">
        <is>
          <t>Falhou vencedor; aumentou prudência e resistência do underdog.</t>
        </is>
      </c>
      <c r="N45" s="33" t="inlineStr">
        <is>
          <t>2026-06-24 22:17:28</t>
        </is>
      </c>
    </row>
    <row r="46">
      <c r="A46" s="33" t="inlineStr">
        <is>
          <t>400021452</t>
        </is>
      </c>
      <c r="B46" s="33" t="inlineStr">
        <is>
          <t>2026-06-24 23:00</t>
        </is>
      </c>
      <c r="C46" s="33" t="inlineStr">
        <is>
          <t>Morocco</t>
        </is>
      </c>
      <c r="D46" s="33" t="inlineStr">
        <is>
          <t>Haiti</t>
        </is>
      </c>
      <c r="E46" s="33" t="inlineStr">
        <is>
          <t>3-0</t>
        </is>
      </c>
      <c r="F46" s="33" t="n">
        <v>3</v>
      </c>
      <c r="G46" s="33" t="n">
        <v>0</v>
      </c>
      <c r="H46" s="33" t="n">
        <v>4</v>
      </c>
      <c r="I46" s="33" t="n">
        <v>2</v>
      </c>
      <c r="J46" s="33" t="inlineStr">
        <is>
          <t>Vitória Equipa A</t>
        </is>
      </c>
      <c r="K46" s="33" t="n">
        <v>1</v>
      </c>
      <c r="L46" s="33" t="n">
        <v>3</v>
      </c>
      <c r="M46" s="33" t="inlineStr">
        <is>
          <t>Falhou vencedor; aumentou prudência e resistência do underdog.</t>
        </is>
      </c>
      <c r="N46" s="33" t="inlineStr">
        <is>
          <t>2026-06-25 01:18:54</t>
        </is>
      </c>
    </row>
    <row r="47">
      <c r="A47" s="33" t="inlineStr">
        <is>
          <t>400021455</t>
        </is>
      </c>
      <c r="B47" s="33" t="inlineStr">
        <is>
          <t>2026-06-24 23:00</t>
        </is>
      </c>
      <c r="C47" s="33" t="inlineStr">
        <is>
          <t>Scotland</t>
        </is>
      </c>
      <c r="D47" s="33" t="inlineStr">
        <is>
          <t>Brazil</t>
        </is>
      </c>
      <c r="E47" s="33" t="inlineStr">
        <is>
          <t>1-2</t>
        </is>
      </c>
      <c r="F47" s="33" t="n">
        <v>1</v>
      </c>
      <c r="G47" s="33" t="n">
        <v>2</v>
      </c>
      <c r="H47" s="33" t="n">
        <v>0</v>
      </c>
      <c r="I47" s="33" t="n">
        <v>3</v>
      </c>
      <c r="J47" s="33" t="inlineStr">
        <is>
          <t>Vitória Equipa B</t>
        </is>
      </c>
      <c r="K47" s="33" t="n">
        <v>1</v>
      </c>
      <c r="L47" s="33" t="n">
        <v>0</v>
      </c>
      <c r="M47" s="33" t="inlineStr">
        <is>
          <t>Falhou vencedor; aumentou prudência e resistência do underdog. | Equipa A ficou a zero; aumentou ligeiramente penalização ofensiva.</t>
        </is>
      </c>
      <c r="N47" s="33" t="inlineStr">
        <is>
          <t>2026-06-25 01:18:54</t>
        </is>
      </c>
    </row>
    <row r="48">
      <c r="A48" s="33" t="inlineStr">
        <is>
          <t>400021444</t>
        </is>
      </c>
      <c r="B48" s="33" t="inlineStr">
        <is>
          <t>2026-06-25 02:00</t>
        </is>
      </c>
      <c r="C48" s="33" t="inlineStr">
        <is>
          <t>Czechia</t>
        </is>
      </c>
      <c r="D48" s="33" t="inlineStr">
        <is>
          <t>Mexico</t>
        </is>
      </c>
      <c r="E48" s="33" t="inlineStr">
        <is>
          <t>2-2</t>
        </is>
      </c>
      <c r="F48" s="33" t="n">
        <v>2</v>
      </c>
      <c r="G48" s="33" t="n">
        <v>2</v>
      </c>
      <c r="H48" s="33" t="n">
        <v>0</v>
      </c>
      <c r="I48" s="33" t="n">
        <v>3</v>
      </c>
      <c r="J48" s="33" t="inlineStr">
        <is>
          <t>Vitória Equipa B</t>
        </is>
      </c>
      <c r="K48" s="33" t="n">
        <v>1</v>
      </c>
      <c r="L48" s="33" t="n">
        <v>-1</v>
      </c>
      <c r="M48" s="33" t="inlineStr">
        <is>
          <t>Falhou vencedor; aumentou prudência e resistência do underdog. | Equipa A ficou a zero; aumentou ligeiramente penalização ofensiva.</t>
        </is>
      </c>
      <c r="N48" s="33" t="inlineStr">
        <is>
          <t>2026-06-25 04:18:50</t>
        </is>
      </c>
    </row>
    <row r="49">
      <c r="A49" s="33" t="inlineStr">
        <is>
          <t>400021466</t>
        </is>
      </c>
      <c r="B49" s="33" t="inlineStr">
        <is>
          <t>2026-06-25 21:00</t>
        </is>
      </c>
      <c r="C49" s="33" t="inlineStr">
        <is>
          <t>Ecuador</t>
        </is>
      </c>
      <c r="D49" s="33" t="inlineStr">
        <is>
          <t>Germany</t>
        </is>
      </c>
      <c r="E49" s="33" t="inlineStr">
        <is>
          <t>1-2</t>
        </is>
      </c>
      <c r="F49" s="33" t="n">
        <v>1</v>
      </c>
      <c r="G49" s="33" t="n">
        <v>2</v>
      </c>
      <c r="H49" s="33" t="n">
        <v>2</v>
      </c>
      <c r="I49" s="33" t="n">
        <v>1</v>
      </c>
      <c r="J49" s="33" t="inlineStr">
        <is>
          <t>Vitória Equipa A</t>
        </is>
      </c>
      <c r="K49" s="33" t="n">
        <v>1</v>
      </c>
      <c r="L49" s="33" t="n">
        <v>0</v>
      </c>
      <c r="M49" s="33" t="inlineStr">
        <is>
          <t>Falhou vencedor; aumentou prudência e resistência do underdog.</t>
        </is>
      </c>
      <c r="N49" s="33" t="inlineStr">
        <is>
          <t>2026-06-25 23:27:57</t>
        </is>
      </c>
    </row>
    <row r="50">
      <c r="A50" s="33" t="inlineStr">
        <is>
          <t>400021471</t>
        </is>
      </c>
      <c r="B50" s="33" t="inlineStr">
        <is>
          <t>2026-06-26 00:00</t>
        </is>
      </c>
      <c r="C50" s="33" t="inlineStr">
        <is>
          <t>Japan</t>
        </is>
      </c>
      <c r="D50" s="33" t="inlineStr">
        <is>
          <t>Sweden</t>
        </is>
      </c>
      <c r="E50" s="33" t="inlineStr">
        <is>
          <t>2-2</t>
        </is>
      </c>
      <c r="F50" s="33" t="n">
        <v>2</v>
      </c>
      <c r="G50" s="33" t="n">
        <v>2</v>
      </c>
      <c r="H50" s="33" t="n">
        <v>1</v>
      </c>
      <c r="I50" s="33" t="n">
        <v>1</v>
      </c>
      <c r="J50" s="33" t="inlineStr">
        <is>
          <t>Empate</t>
        </is>
      </c>
      <c r="K50" s="33" t="n">
        <v>1</v>
      </c>
      <c r="L50" s="33" t="n">
        <v>-2</v>
      </c>
      <c r="M50" s="33" t="inlineStr">
        <is>
          <t>Falhou vencedor; aumentou prudência e resistência do underdog.</t>
        </is>
      </c>
      <c r="N50" s="33" t="inlineStr">
        <is>
          <t>2026-06-26 02:17:29</t>
        </is>
      </c>
    </row>
    <row r="51">
      <c r="A51" s="33" t="inlineStr">
        <is>
          <t>400021473</t>
        </is>
      </c>
      <c r="B51" s="33" t="inlineStr">
        <is>
          <t>2026-06-26 00:00</t>
        </is>
      </c>
      <c r="C51" s="33" t="inlineStr">
        <is>
          <t>Tunisia</t>
        </is>
      </c>
      <c r="D51" s="33" t="inlineStr">
        <is>
          <t>Netherlands</t>
        </is>
      </c>
      <c r="E51" s="33" t="inlineStr">
        <is>
          <t>1-3</t>
        </is>
      </c>
      <c r="F51" s="33" t="n">
        <v>1</v>
      </c>
      <c r="G51" s="33" t="n">
        <v>3</v>
      </c>
      <c r="H51" s="33" t="n">
        <v>1</v>
      </c>
      <c r="I51" s="33" t="n">
        <v>3</v>
      </c>
      <c r="J51" s="33" t="inlineStr">
        <is>
          <t>Vitória Equipa B</t>
        </is>
      </c>
      <c r="K51" s="33" t="n">
        <v>1</v>
      </c>
      <c r="L51" s="33" t="n">
        <v>0</v>
      </c>
      <c r="M51" s="33" t="inlineStr">
        <is>
          <t>Falhou vencedor; aumentou prudência e resistência do underdog.</t>
        </is>
      </c>
      <c r="N51" s="33" t="inlineStr">
        <is>
          <t>2026-06-26 02:17:29</t>
        </is>
      </c>
    </row>
    <row r="52">
      <c r="A52" s="33" t="inlineStr">
        <is>
          <t>400021461</t>
        </is>
      </c>
      <c r="B52" s="33" t="inlineStr">
        <is>
          <t>2026-06-26 03:00</t>
        </is>
      </c>
      <c r="C52" s="33" t="inlineStr">
        <is>
          <t>Paraguay</t>
        </is>
      </c>
      <c r="D52" s="33" t="inlineStr">
        <is>
          <t>Australia</t>
        </is>
      </c>
      <c r="E52" s="33" t="inlineStr">
        <is>
          <t>2-2</t>
        </is>
      </c>
      <c r="F52" s="33" t="n">
        <v>2</v>
      </c>
      <c r="G52" s="33" t="n">
        <v>2</v>
      </c>
      <c r="H52" s="33" t="n">
        <v>0</v>
      </c>
      <c r="I52" s="33" t="n">
        <v>0</v>
      </c>
      <c r="J52" s="33" t="inlineStr">
        <is>
          <t>Empate</t>
        </is>
      </c>
      <c r="K52" s="33" t="n">
        <v>1</v>
      </c>
      <c r="L52" s="33" t="n">
        <v>-4</v>
      </c>
      <c r="M52" s="33" t="inlineStr">
        <is>
          <t>Falhou vencedor; aumentou prudência e resistência do underdog. | Equipa A ficou a zero; aumentou ligeiramente penalização ofensiva. | Equipa B ficou a zero; aumentou ligeiramente penalização ofensiva.</t>
        </is>
      </c>
      <c r="N52" s="33" t="inlineStr">
        <is>
          <t>2026-06-26 05:21:52</t>
        </is>
      </c>
    </row>
    <row r="53">
      <c r="A53" s="33" t="inlineStr">
        <is>
          <t>400021489</t>
        </is>
      </c>
      <c r="B53" s="33" t="inlineStr">
        <is>
          <t>2026-06-26 20:00</t>
        </is>
      </c>
      <c r="C53" s="33" t="inlineStr">
        <is>
          <t>Norway</t>
        </is>
      </c>
      <c r="D53" s="33" t="inlineStr">
        <is>
          <t>France</t>
        </is>
      </c>
      <c r="E53" s="33" t="inlineStr">
        <is>
          <t>1-2</t>
        </is>
      </c>
      <c r="F53" s="33" t="n">
        <v>1</v>
      </c>
      <c r="G53" s="33" t="n">
        <v>2</v>
      </c>
      <c r="H53" s="33" t="n">
        <v>1</v>
      </c>
      <c r="I53" s="33" t="n">
        <v>4</v>
      </c>
      <c r="J53" s="33" t="inlineStr">
        <is>
          <t>Vitória Equipa B</t>
        </is>
      </c>
      <c r="K53" s="33" t="n">
        <v>1</v>
      </c>
      <c r="L53" s="33" t="n">
        <v>2</v>
      </c>
      <c r="M53" s="33" t="inlineStr">
        <is>
          <t>Falhou vencedor; aumentou prudência e resistência do underdog.</t>
        </is>
      </c>
      <c r="N53" s="33" t="inlineStr">
        <is>
          <t>2026-06-26 22:37:56</t>
        </is>
      </c>
    </row>
    <row r="54">
      <c r="A54" s="33" t="inlineStr">
        <is>
          <t>400021493</t>
        </is>
      </c>
      <c r="B54" s="33" t="inlineStr">
        <is>
          <t>2026-06-26 20:00</t>
        </is>
      </c>
      <c r="C54" s="33" t="inlineStr">
        <is>
          <t>Senegal</t>
        </is>
      </c>
      <c r="D54" s="33" t="inlineStr">
        <is>
          <t>Iraq</t>
        </is>
      </c>
      <c r="E54" s="33" t="inlineStr">
        <is>
          <t>3-1</t>
        </is>
      </c>
      <c r="F54" s="33" t="n">
        <v>3</v>
      </c>
      <c r="G54" s="33" t="n">
        <v>1</v>
      </c>
      <c r="H54" s="33" t="n">
        <v>5</v>
      </c>
      <c r="I54" s="33" t="n">
        <v>0</v>
      </c>
      <c r="J54" s="33" t="inlineStr">
        <is>
          <t>Vitória Equipa A</t>
        </is>
      </c>
      <c r="K54" s="33" t="n">
        <v>1</v>
      </c>
      <c r="L54" s="33" t="n">
        <v>1</v>
      </c>
      <c r="M54" s="33" t="inlineStr">
        <is>
          <t>Falhou vencedor; aumentou prudência e resistência do underdog. | Equipa B ficou a zero; aumentou ligeiramente penalização ofensiva.</t>
        </is>
      </c>
      <c r="N54" s="33" t="inlineStr">
        <is>
          <t>2026-06-26 22:37:56</t>
        </is>
      </c>
    </row>
    <row r="55">
      <c r="A55" s="33" t="inlineStr">
        <is>
          <t>400021485</t>
        </is>
      </c>
      <c r="B55" s="33" t="inlineStr">
        <is>
          <t>2026-06-27 01:00</t>
        </is>
      </c>
      <c r="C55" s="33" t="inlineStr">
        <is>
          <t>Cabo Verde</t>
        </is>
      </c>
      <c r="D55" s="33" t="inlineStr">
        <is>
          <t>Saudi Arabia</t>
        </is>
      </c>
      <c r="E55" s="33" t="inlineStr">
        <is>
          <t>1-1</t>
        </is>
      </c>
      <c r="F55" s="33" t="n">
        <v>1</v>
      </c>
      <c r="G55" s="33" t="n">
        <v>1</v>
      </c>
      <c r="H55" s="33" t="n">
        <v>0</v>
      </c>
      <c r="I55" s="33" t="n">
        <v>0</v>
      </c>
      <c r="J55" s="33" t="inlineStr">
        <is>
          <t>Empate</t>
        </is>
      </c>
      <c r="K55" s="33" t="n">
        <v>1</v>
      </c>
      <c r="L55" s="33" t="n">
        <v>-2</v>
      </c>
      <c r="M55" s="33" t="inlineStr">
        <is>
          <t>Falhou vencedor; aumentou prudência e resistência do underdog. | Equipa A ficou a zero; aumentou ligeiramente penalização ofensiva. | Equipa B ficou a zero; aumentou ligeiramente penalização ofensiva.</t>
        </is>
      </c>
      <c r="N55" s="33" t="inlineStr">
        <is>
          <t>2026-06-27 03:19:40</t>
        </is>
      </c>
    </row>
    <row r="56">
      <c r="A56" s="33" t="inlineStr">
        <is>
          <t>400021484</t>
        </is>
      </c>
      <c r="B56" s="33" t="inlineStr">
        <is>
          <t>2026-06-27 01:00</t>
        </is>
      </c>
      <c r="C56" s="33" t="inlineStr">
        <is>
          <t>Uruguay</t>
        </is>
      </c>
      <c r="D56" s="33" t="inlineStr">
        <is>
          <t>Spain</t>
        </is>
      </c>
      <c r="E56" s="33" t="inlineStr">
        <is>
          <t>1-2</t>
        </is>
      </c>
      <c r="F56" s="33" t="n">
        <v>1</v>
      </c>
      <c r="G56" s="33" t="n">
        <v>2</v>
      </c>
      <c r="H56" s="33" t="n">
        <v>0</v>
      </c>
      <c r="I56" s="33" t="n">
        <v>1</v>
      </c>
      <c r="J56" s="33" t="inlineStr">
        <is>
          <t>Vitória Equipa B</t>
        </is>
      </c>
      <c r="K56" s="33" t="n">
        <v>1</v>
      </c>
      <c r="L56" s="33" t="n">
        <v>-2</v>
      </c>
      <c r="M56" s="33" t="inlineStr">
        <is>
          <t>Falhou vencedor; aumentou prudência e resistência do underdog. | Equipa A ficou a zero; aumentou ligeiramente penalização ofensiva.</t>
        </is>
      </c>
      <c r="N56" s="33" t="inlineStr">
        <is>
          <t>2026-06-27 03:19:40</t>
        </is>
      </c>
    </row>
    <row r="57">
      <c r="A57" s="33" t="inlineStr">
        <is>
          <t>400021481</t>
        </is>
      </c>
      <c r="B57" s="33" t="inlineStr">
        <is>
          <t>2026-06-27 04:00</t>
        </is>
      </c>
      <c r="C57" s="33" t="inlineStr">
        <is>
          <t>New Zealand</t>
        </is>
      </c>
      <c r="D57" s="33" t="inlineStr">
        <is>
          <t>Belgium</t>
        </is>
      </c>
      <c r="E57" s="33" t="inlineStr">
        <is>
          <t>0-4</t>
        </is>
      </c>
      <c r="F57" s="33" t="n">
        <v>0</v>
      </c>
      <c r="G57" s="33" t="n">
        <v>4</v>
      </c>
      <c r="H57" s="33" t="n">
        <v>1</v>
      </c>
      <c r="I57" s="33" t="n">
        <v>5</v>
      </c>
      <c r="J57" s="33" t="inlineStr">
        <is>
          <t>Vitória Equipa B</t>
        </is>
      </c>
      <c r="K57" s="33" t="n">
        <v>1</v>
      </c>
      <c r="L57" s="33" t="n">
        <v>2</v>
      </c>
      <c r="M57" s="33" t="inlineStr">
        <is>
          <t>Falhou vencedor; aumentou prudência e resistência do underdog.</t>
        </is>
      </c>
      <c r="N57" s="33" t="inlineStr">
        <is>
          <t>2026-06-27 06:20:20</t>
        </is>
      </c>
    </row>
    <row r="58">
      <c r="A58" s="33" t="inlineStr">
        <is>
          <t>400021509</t>
        </is>
      </c>
      <c r="B58" s="33" t="inlineStr">
        <is>
          <t>2026-06-27 22:00</t>
        </is>
      </c>
      <c r="C58" s="33" t="inlineStr">
        <is>
          <t>Croatia</t>
        </is>
      </c>
      <c r="D58" s="33" t="inlineStr">
        <is>
          <t>Ghana</t>
        </is>
      </c>
      <c r="E58" s="33" t="inlineStr">
        <is>
          <t>2-2</t>
        </is>
      </c>
      <c r="F58" s="33" t="n">
        <v>2</v>
      </c>
      <c r="G58" s="33" t="n">
        <v>2</v>
      </c>
      <c r="H58" s="33" t="n">
        <v>2</v>
      </c>
      <c r="I58" s="33" t="n">
        <v>1</v>
      </c>
      <c r="J58" s="33" t="inlineStr">
        <is>
          <t>Vitória Equipa A</t>
        </is>
      </c>
      <c r="K58" s="33" t="n">
        <v>1</v>
      </c>
      <c r="L58" s="33" t="n">
        <v>-1</v>
      </c>
      <c r="M58" s="33" t="inlineStr">
        <is>
          <t>Falhou vencedor; aumentou prudência e resistência do underdog.</t>
        </is>
      </c>
      <c r="N58" s="33" t="inlineStr">
        <is>
          <t>2026-06-28 00:20:07</t>
        </is>
      </c>
    </row>
    <row r="59">
      <c r="A59" s="33" t="inlineStr">
        <is>
          <t>400021508</t>
        </is>
      </c>
      <c r="B59" s="33" t="inlineStr">
        <is>
          <t>2026-06-27 22:00</t>
        </is>
      </c>
      <c r="C59" s="33" t="inlineStr">
        <is>
          <t>Panama</t>
        </is>
      </c>
      <c r="D59" s="33" t="inlineStr">
        <is>
          <t>England</t>
        </is>
      </c>
      <c r="E59" s="33" t="inlineStr">
        <is>
          <t>0-3</t>
        </is>
      </c>
      <c r="F59" s="33" t="n">
        <v>0</v>
      </c>
      <c r="G59" s="33" t="n">
        <v>3</v>
      </c>
      <c r="H59" s="33" t="n">
        <v>0</v>
      </c>
      <c r="I59" s="33" t="n">
        <v>2</v>
      </c>
      <c r="J59" s="33" t="inlineStr">
        <is>
          <t>Vitória Equipa B</t>
        </is>
      </c>
      <c r="K59" s="33" t="n">
        <v>1</v>
      </c>
      <c r="L59" s="33" t="n">
        <v>-1</v>
      </c>
      <c r="M59" s="33" t="inlineStr">
        <is>
          <t>Falhou vencedor; aumentou prudência e resistência do underdog.</t>
        </is>
      </c>
      <c r="N59" s="33" t="inlineStr">
        <is>
          <t>2026-06-28 00:20:07</t>
        </is>
      </c>
    </row>
    <row r="60">
      <c r="A60" s="33" t="inlineStr">
        <is>
          <t>400021505</t>
        </is>
      </c>
      <c r="B60" s="33" t="inlineStr">
        <is>
          <t>2026-06-28 00:30</t>
        </is>
      </c>
      <c r="C60" s="33" t="inlineStr">
        <is>
          <t>Colombia</t>
        </is>
      </c>
      <c r="D60" s="33" t="inlineStr">
        <is>
          <t>Portugal</t>
        </is>
      </c>
      <c r="E60" s="33" t="inlineStr">
        <is>
          <t>1-2</t>
        </is>
      </c>
      <c r="F60" s="33" t="n">
        <v>1</v>
      </c>
      <c r="G60" s="33" t="n">
        <v>2</v>
      </c>
      <c r="H60" s="33" t="n">
        <v>0</v>
      </c>
      <c r="I60" s="33" t="n">
        <v>0</v>
      </c>
      <c r="J60" s="33" t="inlineStr">
        <is>
          <t>Empate</t>
        </is>
      </c>
      <c r="K60" s="33" t="n">
        <v>1</v>
      </c>
      <c r="L60" s="33" t="n">
        <v>-3</v>
      </c>
      <c r="M60" s="33" t="inlineStr">
        <is>
          <t>Falhou vencedor; aumentou prudência e resistência do underdog. | Equipa A ficou a zero; aumentou ligeiramente penalização ofensiva. | Equipa B ficou a zero; aumentou ligeiramente penalização ofensiva.</t>
        </is>
      </c>
      <c r="N60" s="33" t="inlineStr">
        <is>
          <t>2026-06-28 02:46:51</t>
        </is>
      </c>
    </row>
    <row r="61">
      <c r="A61" s="33" t="inlineStr">
        <is>
          <t>400021500</t>
        </is>
      </c>
      <c r="B61" s="33" t="inlineStr">
        <is>
          <t>2026-06-28 00:30</t>
        </is>
      </c>
      <c r="C61" s="33" t="inlineStr">
        <is>
          <t>Congo DR</t>
        </is>
      </c>
      <c r="D61" s="33" t="inlineStr">
        <is>
          <t>Uzbekistan</t>
        </is>
      </c>
      <c r="E61" s="33" t="inlineStr">
        <is>
          <t>2-1</t>
        </is>
      </c>
      <c r="F61" s="33" t="n">
        <v>2</v>
      </c>
      <c r="G61" s="33" t="n">
        <v>1</v>
      </c>
      <c r="H61" s="33" t="n">
        <v>3</v>
      </c>
      <c r="I61" s="33" t="n">
        <v>1</v>
      </c>
      <c r="J61" s="33" t="inlineStr">
        <is>
          <t>Vitória Equipa A</t>
        </is>
      </c>
      <c r="K61" s="33" t="n">
        <v>1</v>
      </c>
      <c r="L61" s="33" t="n">
        <v>1</v>
      </c>
      <c r="M61" s="33" t="inlineStr">
        <is>
          <t>Falhou vencedor; aumentou prudência e resistência do underdog.</t>
        </is>
      </c>
      <c r="N61" s="33" t="inlineStr">
        <is>
          <t>2026-06-28 02:46:51</t>
        </is>
      </c>
    </row>
    <row r="62">
      <c r="A62" s="33" t="inlineStr">
        <is>
          <t>400021497</t>
        </is>
      </c>
      <c r="B62" s="33" t="inlineStr">
        <is>
          <t>2026-06-28 03:00</t>
        </is>
      </c>
      <c r="C62" s="33" t="inlineStr">
        <is>
          <t>Algeria</t>
        </is>
      </c>
      <c r="D62" s="33" t="inlineStr">
        <is>
          <t>Austria</t>
        </is>
      </c>
      <c r="E62" s="33" t="inlineStr">
        <is>
          <t>1-1</t>
        </is>
      </c>
      <c r="F62" s="33" t="n">
        <v>1</v>
      </c>
      <c r="G62" s="33" t="n">
        <v>1</v>
      </c>
      <c r="H62" s="33" t="n">
        <v>3</v>
      </c>
      <c r="I62" s="33" t="n">
        <v>3</v>
      </c>
      <c r="J62" s="33" t="inlineStr">
        <is>
          <t>Empate</t>
        </is>
      </c>
      <c r="K62" s="33" t="n">
        <v>1</v>
      </c>
      <c r="L62" s="33" t="n">
        <v>4</v>
      </c>
      <c r="M62" s="33" t="inlineStr">
        <is>
          <t>Falhou vencedor; aumentou prudência e resistência do underdog.</t>
        </is>
      </c>
      <c r="N62" s="33" t="inlineStr">
        <is>
          <t>2026-06-28 05:19:18</t>
        </is>
      </c>
    </row>
    <row r="63">
      <c r="A63" s="33" t="inlineStr">
        <is>
          <t>400021495</t>
        </is>
      </c>
      <c r="B63" s="33" t="inlineStr">
        <is>
          <t>2026-06-28 03:00</t>
        </is>
      </c>
      <c r="C63" s="33" t="inlineStr">
        <is>
          <t>Jordan</t>
        </is>
      </c>
      <c r="D63" s="33" t="inlineStr">
        <is>
          <t>Argentina</t>
        </is>
      </c>
      <c r="E63" s="33" t="inlineStr">
        <is>
          <t>0-3</t>
        </is>
      </c>
      <c r="F63" s="33" t="n">
        <v>0</v>
      </c>
      <c r="G63" s="33" t="n">
        <v>3</v>
      </c>
      <c r="H63" s="33" t="n">
        <v>1</v>
      </c>
      <c r="I63" s="33" t="n">
        <v>3</v>
      </c>
      <c r="J63" s="33" t="inlineStr">
        <is>
          <t>Vitória Equipa B</t>
        </is>
      </c>
      <c r="K63" s="33" t="n">
        <v>1</v>
      </c>
      <c r="L63" s="33" t="n">
        <v>1</v>
      </c>
      <c r="M63" s="33" t="inlineStr">
        <is>
          <t>Falhou vencedor; aumentou prudência e resistência do underdog.</t>
        </is>
      </c>
      <c r="N63" s="33" t="inlineStr">
        <is>
          <t>2026-06-28 05:19:18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2026-06-09T01:02:01Z</dcterms:created>
  <dcterms:modified xsi:type="dcterms:W3CDTF">2026-10-14T21:45:36Z</dcterms:modified>
  <cp:lastModifiedBy>Nuno Teixeira</cp:lastModifiedBy>
</cp:coreProperties>
</file>